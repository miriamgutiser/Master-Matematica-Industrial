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Master\SoftFin\German\"/>
    </mc:Choice>
  </mc:AlternateContent>
  <xr:revisionPtr revIDLastSave="0" documentId="13_ncr:1_{A220251F-E2E5-4B7A-8D58-2B157275A4D2}" xr6:coauthVersionLast="47" xr6:coauthVersionMax="47" xr10:uidLastSave="{00000000-0000-0000-0000-000000000000}"/>
  <bookViews>
    <workbookView xWindow="-90" yWindow="-90" windowWidth="19380" windowHeight="10260" xr2:uid="{F2DD597B-EF2F-4C85-B046-3A15E50A2453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 a="1"/>
  <c r="D13" i="1" a="1"/>
  <c r="C14" i="1" a="1"/>
  <c r="C13" i="1" a="1"/>
  <c r="I13" i="1" a="1"/>
  <c r="H13" i="1" a="1"/>
  <c r="H14" i="1" a="1"/>
  <c r="D14" i="1" a="1"/>
  <c r="E14" i="1" a="1"/>
  <c r="F13" i="1" a="1"/>
  <c r="I14" i="1" a="1"/>
  <c r="G13" i="1" a="1"/>
  <c r="G14" i="1" a="1"/>
  <c r="F14" i="1" a="1"/>
  <c r="E13" i="1" a="1"/>
  <c r="E21" i="1" a="1"/>
  <c r="E21" i="1" l="1"/>
  <c r="C15" i="1"/>
  <c r="G14" i="1"/>
  <c r="I14" i="1"/>
  <c r="F14" i="1"/>
  <c r="E14" i="1"/>
  <c r="H14" i="1"/>
  <c r="D14" i="1"/>
  <c r="D13" i="1"/>
  <c r="G13" i="1"/>
  <c r="F13" i="1"/>
  <c r="I13" i="1"/>
  <c r="E13" i="1"/>
  <c r="H13" i="1"/>
  <c r="C13" i="1"/>
  <c r="C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<sst xmlns="http://schemas.openxmlformats.org/spreadsheetml/2006/main" count="16" uniqueCount="16">
  <si>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 xml:space="preserve">S </t>
  </si>
  <si>
    <t>K</t>
  </si>
  <si>
    <t>R</t>
  </si>
  <si>
    <t>Q</t>
  </si>
  <si>
    <t>Sigma</t>
  </si>
  <si>
    <t>T</t>
  </si>
  <si>
    <t>blsprice</t>
  </si>
  <si>
    <t>blsvega</t>
  </si>
  <si>
    <t>blsimpv</t>
  </si>
  <si>
    <t>V0</t>
  </si>
  <si>
    <t>M</t>
  </si>
  <si>
    <t>N</t>
  </si>
  <si>
    <t>kappa</t>
  </si>
  <si>
    <t>theta</t>
  </si>
  <si>
    <t>rho</t>
  </si>
  <si>
    <t>cond feller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</si>
</sst>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D5592-7AD0-4F7C-AE19-4224B02FAFCA}">
  <sheetPr codeName="Hoja1"/>
  <dimension ref="B4:I26"/>
  <sheetViews>
    <sheetView tabSelected="1" topLeftCell="A2" zoomScale="115" workbookViewId="0">
      <selection activeCell="E21" sqref="E21"/>
    </sheetView>
  </sheetViews>
  <sheetFormatPr baseColWidth="10" defaultRowHeight="14.75" x14ac:dyDescent="0.75"/>
  <cols>
    <col min="3" max="3" width="11.6796875" bestFit="1" customWidth="1"/>
  </cols>
  <sheetData>
    <row r="4" spans="2:9" x14ac:dyDescent="0.75">
      <c r="B4" t="s">
        <v>0</v>
      </c>
      <c r="C4">
        <v>100</v>
      </c>
    </row>
    <row r="5" spans="2:9" x14ac:dyDescent="0.75">
      <c r="B5" t="s">
        <v>1</v>
      </c>
      <c r="C5">
        <v>70</v>
      </c>
      <c r="D5">
        <v>80</v>
      </c>
      <c r="E5">
        <v>90</v>
      </c>
      <c r="F5">
        <v>100</v>
      </c>
      <c r="G5">
        <v>110</v>
      </c>
      <c r="H5">
        <v>120</v>
      </c>
      <c r="I5">
        <v>130</v>
      </c>
    </row>
    <row r="6" spans="2:9" x14ac:dyDescent="0.75">
      <c r="B6" t="s">
        <v>2</v>
      </c>
      <c r="C6">
        <v>0.01</v>
      </c>
    </row>
    <row r="7" spans="2:9" x14ac:dyDescent="0.75">
      <c r="B7" t="s">
        <v>3</v>
      </c>
      <c r="C7">
        <v>0</v>
      </c>
    </row>
    <row r="8" spans="2:9" x14ac:dyDescent="0.75">
      <c r="B8" t="s">
        <v>4</v>
      </c>
      <c r="C8">
        <v>0.1</v>
      </c>
    </row>
    <row r="9" spans="2:9" x14ac:dyDescent="0.75">
      <c r="B9" t="s">
        <v>5</v>
      </c>
      <c r="C9">
        <v>0.25</v>
      </c>
    </row>
    <row r="13" spans="2:9" x14ac:dyDescent="0.75">
      <c r="B13" t="s">
        <v>6</v>
      </c>
      <c r="C13" cm="1">
        <f t="array" ref="C13">blsprice($C$4,C5,$C$6,$C$7,$C$8,$C$9)</f>
        <v>30.17478143217798</v>
      </c>
      <c r="D13" cm="1">
        <f t="array" ref="D13">blsprice($C$4,D5,$C$6,$C$7,$C$8,$C$9)</f>
        <v>20.199753118565852</v>
      </c>
      <c r="E13" cm="1">
        <f t="array" ref="E13">blsprice($C$4,E5,$C$6,$C$7,$C$8,$C$9)</f>
        <v>10.250841814456187</v>
      </c>
      <c r="F13" cm="1">
        <f t="array" ref="F13">blsprice($C$4,F5,$C$6,$C$7,$C$8,$C$9)</f>
        <v>2.1193464816249361</v>
      </c>
      <c r="G13" cm="1">
        <f t="array" ref="G13">blsprice($C$4,G5,$C$6,$C$7,$C$8,$C$9)</f>
        <v>6.4807465054007127E-2</v>
      </c>
      <c r="H13" cm="1">
        <f t="array" ref="H13">blsprice($C$4,H5,$C$6,$C$7,$C$8,$C$9)</f>
        <v>2.1701918497351108E-4</v>
      </c>
      <c r="I13" cm="1">
        <f t="array" ref="I13">blsprice($C$4,I5,$C$6,$C$7,$C$8,$C$9)</f>
        <v>1.0374308112533817E-7</v>
      </c>
    </row>
    <row r="14" spans="2:9" x14ac:dyDescent="0.75">
      <c r="B14" t="s">
        <v>7</v>
      </c>
      <c r="C14" cm="1">
        <f t="array" ref="C14">blsvega($C$4,C5,$C$6,$C$7,$C$8,$C$9)</f>
        <v>1.0384273025413564E-10</v>
      </c>
      <c r="D14" cm="1">
        <f t="array" ref="D14">blsvega($C$4,D5,$C$6,$C$7,$C$8,$C$9)</f>
        <v>6.7348000323496694E-4</v>
      </c>
      <c r="E14" cm="1">
        <f t="array" ref="E14">blsvega($C$4,E5,$C$6,$C$7,$C$8,$C$9)</f>
        <v>1.844233136288012</v>
      </c>
      <c r="F14" cm="1">
        <f t="array" ref="F14">blsvega($C$4,F5,$C$6,$C$7,$C$8,$C$9)</f>
        <v>19.891091580374855</v>
      </c>
      <c r="G14" cm="1">
        <f t="array" ref="G14">blsvega($C$4,G5,$C$6,$C$7,$C$8,$C$9)</f>
        <v>3.7300855425915658</v>
      </c>
      <c r="H14" cm="1">
        <f t="array" ref="H14">blsvega($C$4,H5,$C$6,$C$7,$C$8,$C$9)</f>
        <v>3.3895408815462325E-2</v>
      </c>
      <c r="I14" cm="1">
        <f t="array" ref="I14">blsvega($C$4,I5,$C$6,$C$7,$C$8,$C$9)</f>
        <v>3.0948590997572071E-5</v>
      </c>
    </row>
    <row r="15" spans="2:9" x14ac:dyDescent="0.75">
      <c r="B15" t="s">
        <v>8</v>
      </c>
      <c r="C15" t="e" cm="1">
        <f t="array" aca="1" ref="C15" ca="1">blsimpv($C$4,C5,$C$6,$C$7,C9,C13)</f>
        <v>#NAME?</v>
      </c>
    </row>
    <row r="19" spans="2:5" x14ac:dyDescent="0.75">
      <c r="B19" t="s">
        <v>9</v>
      </c>
      <c r="C19">
        <v>0.1</v>
      </c>
    </row>
    <row r="20" spans="2:5" x14ac:dyDescent="0.75">
      <c r="B20" t="s">
        <v>10</v>
      </c>
      <c r="C20">
        <v>1000</v>
      </c>
    </row>
    <row r="21" spans="2:5" x14ac:dyDescent="0.75">
      <c r="B21" t="s">
        <v>11</v>
      </c>
      <c r="C21">
        <v>10</v>
      </c>
      <c r="E21" cm="1">
        <f t="array" ref="E21">monteCarloHestonVBA(C4,C19,C5,C6,C8,C9,C22,C22,C24,C20,C21)</f>
        <v>31.481784221845587</v>
      </c>
    </row>
    <row r="22" spans="2:5" x14ac:dyDescent="0.75">
      <c r="B22" t="s">
        <v>12</v>
      </c>
      <c r="C22">
        <v>1.5</v>
      </c>
    </row>
    <row r="23" spans="2:5" x14ac:dyDescent="0.75">
      <c r="B23" t="s">
        <v>13</v>
      </c>
      <c r="C23">
        <v>0.04</v>
      </c>
    </row>
    <row r="24" spans="2:5" x14ac:dyDescent="0.75">
      <c r="B24" t="s">
        <v>14</v>
      </c>
      <c r="C24">
        <v>0.5</v>
      </c>
    </row>
    <row r="26" spans="2:5" x14ac:dyDescent="0.75">
      <c r="B26" t="s">
        <v>15</v>
      </c>
      <c r="C26">
        <v>0.11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Gutiérrez Serrano</dc:creator>
  <cp:lastModifiedBy>Miriam Gutiérrez Serrano</cp:lastModifiedBy>
  <dcterms:created xsi:type="dcterms:W3CDTF">2025-05-16T13:36:08Z</dcterms:created>
  <dcterms:modified xsi:type="dcterms:W3CDTF">2025-05-25T18:22:14Z</dcterms:modified>
</cp:coreProperties>
</file>