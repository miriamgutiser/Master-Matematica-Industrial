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Master\SoftFin\"/>
    </mc:Choice>
  </mc:AlternateContent>
  <xr:revisionPtr revIDLastSave="0" documentId="13_ncr:1_{F2961F38-D802-483F-A5A5-0CC995CFC253}" xr6:coauthVersionLast="47" xr6:coauthVersionMax="47" xr10:uidLastSave="{00000000-0000-0000-0000-000000000000}"/>
  <bookViews>
    <workbookView xWindow="-90" yWindow="-90" windowWidth="19380" windowHeight="10260" firstSheet="2" activeTab="3" xr2:uid="{2E137F69-9D28-4990-A1CF-D0E5DB0F2177}"/>
  </bookViews>
  <sheets>
    <sheet name="Vainilla" sheetId="1" r:id="rId1"/>
    <sheet name="Asiatica" sheetId="2" r:id="rId2"/>
    <sheet name="Barrera" sheetId="3" r:id="rId3"/>
    <sheet name="Bask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15" i="1"/>
  <c r="C19" i="4"/>
  <c r="C18" i="4"/>
  <c r="C17" i="4"/>
  <c r="G7" i="4"/>
  <c r="H7" i="4"/>
  <c r="G8" i="4"/>
  <c r="H8" i="4"/>
  <c r="G9" i="4"/>
  <c r="H9" i="4"/>
  <c r="G10" i="4"/>
  <c r="I10" i="4" s="1"/>
  <c r="K10" i="4" s="1"/>
  <c r="H10" i="4"/>
  <c r="G11" i="4"/>
  <c r="I11" i="4" s="1"/>
  <c r="K11" i="4" s="1"/>
  <c r="H11" i="4"/>
  <c r="G12" i="4"/>
  <c r="H12" i="4"/>
  <c r="G13" i="4"/>
  <c r="H13" i="4"/>
  <c r="G14" i="4"/>
  <c r="I14" i="4" s="1"/>
  <c r="K14" i="4" s="1"/>
  <c r="H14" i="4"/>
  <c r="G15" i="4"/>
  <c r="H15" i="4"/>
  <c r="G16" i="4"/>
  <c r="H16" i="4"/>
  <c r="G17" i="4"/>
  <c r="H17" i="4"/>
  <c r="G18" i="4"/>
  <c r="I18" i="4" s="1"/>
  <c r="K18" i="4" s="1"/>
  <c r="H18" i="4"/>
  <c r="G19" i="4"/>
  <c r="I19" i="4" s="1"/>
  <c r="K19" i="4" s="1"/>
  <c r="H19" i="4"/>
  <c r="G20" i="4"/>
  <c r="I20" i="4" s="1"/>
  <c r="K20" i="4" s="1"/>
  <c r="H20" i="4"/>
  <c r="G21" i="4"/>
  <c r="H21" i="4"/>
  <c r="G22" i="4"/>
  <c r="I22" i="4" s="1"/>
  <c r="K22" i="4" s="1"/>
  <c r="H22" i="4"/>
  <c r="G23" i="4"/>
  <c r="H23" i="4"/>
  <c r="G24" i="4"/>
  <c r="H24" i="4"/>
  <c r="G25" i="4"/>
  <c r="H25" i="4"/>
  <c r="G26" i="4"/>
  <c r="I26" i="4" s="1"/>
  <c r="K26" i="4" s="1"/>
  <c r="H26" i="4"/>
  <c r="G27" i="4"/>
  <c r="I27" i="4" s="1"/>
  <c r="K27" i="4" s="1"/>
  <c r="H27" i="4"/>
  <c r="G28" i="4"/>
  <c r="I28" i="4" s="1"/>
  <c r="K28" i="4" s="1"/>
  <c r="H28" i="4"/>
  <c r="G29" i="4"/>
  <c r="I29" i="4" s="1"/>
  <c r="K29" i="4" s="1"/>
  <c r="H29" i="4"/>
  <c r="G30" i="4"/>
  <c r="I30" i="4" s="1"/>
  <c r="K30" i="4" s="1"/>
  <c r="H30" i="4"/>
  <c r="G31" i="4"/>
  <c r="H31" i="4"/>
  <c r="G32" i="4"/>
  <c r="H32" i="4"/>
  <c r="G33" i="4"/>
  <c r="H33" i="4"/>
  <c r="G34" i="4"/>
  <c r="I34" i="4" s="1"/>
  <c r="K34" i="4" s="1"/>
  <c r="H34" i="4"/>
  <c r="G35" i="4"/>
  <c r="I35" i="4" s="1"/>
  <c r="K35" i="4" s="1"/>
  <c r="H35" i="4"/>
  <c r="G36" i="4"/>
  <c r="H36" i="4"/>
  <c r="G37" i="4"/>
  <c r="H37" i="4"/>
  <c r="G38" i="4"/>
  <c r="I38" i="4" s="1"/>
  <c r="K38" i="4" s="1"/>
  <c r="H38" i="4"/>
  <c r="G39" i="4"/>
  <c r="H39" i="4"/>
  <c r="G40" i="4"/>
  <c r="H40" i="4"/>
  <c r="G41" i="4"/>
  <c r="H41" i="4"/>
  <c r="G42" i="4"/>
  <c r="I42" i="4" s="1"/>
  <c r="K42" i="4" s="1"/>
  <c r="H42" i="4"/>
  <c r="G43" i="4"/>
  <c r="I43" i="4" s="1"/>
  <c r="K43" i="4" s="1"/>
  <c r="H43" i="4"/>
  <c r="G44" i="4"/>
  <c r="I44" i="4" s="1"/>
  <c r="K44" i="4" s="1"/>
  <c r="H44" i="4"/>
  <c r="G45" i="4"/>
  <c r="I45" i="4" s="1"/>
  <c r="K45" i="4" s="1"/>
  <c r="H45" i="4"/>
  <c r="G46" i="4"/>
  <c r="I46" i="4" s="1"/>
  <c r="K46" i="4" s="1"/>
  <c r="H46" i="4"/>
  <c r="G47" i="4"/>
  <c r="H47" i="4"/>
  <c r="G48" i="4"/>
  <c r="H48" i="4"/>
  <c r="G49" i="4"/>
  <c r="H49" i="4"/>
  <c r="G50" i="4"/>
  <c r="I50" i="4" s="1"/>
  <c r="K50" i="4" s="1"/>
  <c r="H50" i="4"/>
  <c r="G51" i="4"/>
  <c r="I51" i="4" s="1"/>
  <c r="K51" i="4" s="1"/>
  <c r="H51" i="4"/>
  <c r="G52" i="4"/>
  <c r="H52" i="4"/>
  <c r="G53" i="4"/>
  <c r="I53" i="4" s="1"/>
  <c r="K53" i="4" s="1"/>
  <c r="H53" i="4"/>
  <c r="G54" i="4"/>
  <c r="I54" i="4" s="1"/>
  <c r="K54" i="4" s="1"/>
  <c r="H54" i="4"/>
  <c r="G55" i="4"/>
  <c r="H55" i="4"/>
  <c r="G56" i="4"/>
  <c r="H56" i="4"/>
  <c r="G57" i="4"/>
  <c r="H57" i="4"/>
  <c r="G58" i="4"/>
  <c r="I58" i="4" s="1"/>
  <c r="K58" i="4" s="1"/>
  <c r="H58" i="4"/>
  <c r="G59" i="4"/>
  <c r="I59" i="4" s="1"/>
  <c r="K59" i="4" s="1"/>
  <c r="H59" i="4"/>
  <c r="G60" i="4"/>
  <c r="H60" i="4"/>
  <c r="G61" i="4"/>
  <c r="H61" i="4"/>
  <c r="G62" i="4"/>
  <c r="I62" i="4" s="1"/>
  <c r="K62" i="4" s="1"/>
  <c r="H62" i="4"/>
  <c r="G63" i="4"/>
  <c r="H63" i="4"/>
  <c r="G64" i="4"/>
  <c r="H64" i="4"/>
  <c r="G65" i="4"/>
  <c r="H65" i="4"/>
  <c r="G66" i="4"/>
  <c r="I66" i="4" s="1"/>
  <c r="K66" i="4" s="1"/>
  <c r="H66" i="4"/>
  <c r="G67" i="4"/>
  <c r="I67" i="4" s="1"/>
  <c r="K67" i="4" s="1"/>
  <c r="H67" i="4"/>
  <c r="G68" i="4"/>
  <c r="I68" i="4" s="1"/>
  <c r="K68" i="4" s="1"/>
  <c r="H68" i="4"/>
  <c r="G69" i="4"/>
  <c r="I69" i="4" s="1"/>
  <c r="K69" i="4" s="1"/>
  <c r="H69" i="4"/>
  <c r="G70" i="4"/>
  <c r="I70" i="4" s="1"/>
  <c r="K70" i="4" s="1"/>
  <c r="H70" i="4"/>
  <c r="G71" i="4"/>
  <c r="H71" i="4"/>
  <c r="G72" i="4"/>
  <c r="H72" i="4"/>
  <c r="G73" i="4"/>
  <c r="H73" i="4"/>
  <c r="G74" i="4"/>
  <c r="I74" i="4" s="1"/>
  <c r="K74" i="4" s="1"/>
  <c r="H74" i="4"/>
  <c r="G75" i="4"/>
  <c r="I75" i="4" s="1"/>
  <c r="K75" i="4" s="1"/>
  <c r="H75" i="4"/>
  <c r="G76" i="4"/>
  <c r="H76" i="4"/>
  <c r="G77" i="4"/>
  <c r="H77" i="4"/>
  <c r="G78" i="4"/>
  <c r="I78" i="4" s="1"/>
  <c r="K78" i="4" s="1"/>
  <c r="H78" i="4"/>
  <c r="G79" i="4"/>
  <c r="H79" i="4"/>
  <c r="G80" i="4"/>
  <c r="H80" i="4"/>
  <c r="G81" i="4"/>
  <c r="H81" i="4"/>
  <c r="G82" i="4"/>
  <c r="I82" i="4" s="1"/>
  <c r="K82" i="4" s="1"/>
  <c r="H82" i="4"/>
  <c r="G83" i="4"/>
  <c r="I83" i="4" s="1"/>
  <c r="K83" i="4" s="1"/>
  <c r="H83" i="4"/>
  <c r="G84" i="4"/>
  <c r="I84" i="4" s="1"/>
  <c r="K84" i="4" s="1"/>
  <c r="H84" i="4"/>
  <c r="G85" i="4"/>
  <c r="H85" i="4"/>
  <c r="G86" i="4"/>
  <c r="I86" i="4" s="1"/>
  <c r="K86" i="4" s="1"/>
  <c r="H86" i="4"/>
  <c r="G87" i="4"/>
  <c r="H87" i="4"/>
  <c r="G88" i="4"/>
  <c r="H88" i="4"/>
  <c r="G89" i="4"/>
  <c r="H89" i="4"/>
  <c r="G90" i="4"/>
  <c r="I90" i="4" s="1"/>
  <c r="K90" i="4" s="1"/>
  <c r="H90" i="4"/>
  <c r="G91" i="4"/>
  <c r="I91" i="4" s="1"/>
  <c r="K91" i="4" s="1"/>
  <c r="H91" i="4"/>
  <c r="G92" i="4"/>
  <c r="I92" i="4" s="1"/>
  <c r="K92" i="4" s="1"/>
  <c r="H92" i="4"/>
  <c r="G93" i="4"/>
  <c r="I93" i="4" s="1"/>
  <c r="K93" i="4" s="1"/>
  <c r="H93" i="4"/>
  <c r="G94" i="4"/>
  <c r="I94" i="4" s="1"/>
  <c r="K94" i="4" s="1"/>
  <c r="H94" i="4"/>
  <c r="G95" i="4"/>
  <c r="H95" i="4"/>
  <c r="G96" i="4"/>
  <c r="H96" i="4"/>
  <c r="G97" i="4"/>
  <c r="H97" i="4"/>
  <c r="G98" i="4"/>
  <c r="I98" i="4" s="1"/>
  <c r="K98" i="4" s="1"/>
  <c r="H98" i="4"/>
  <c r="G99" i="4"/>
  <c r="I99" i="4" s="1"/>
  <c r="K99" i="4" s="1"/>
  <c r="H99" i="4"/>
  <c r="G100" i="4"/>
  <c r="H100" i="4"/>
  <c r="G101" i="4"/>
  <c r="H101" i="4"/>
  <c r="G102" i="4"/>
  <c r="I102" i="4" s="1"/>
  <c r="K102" i="4" s="1"/>
  <c r="H102" i="4"/>
  <c r="G103" i="4"/>
  <c r="H103" i="4"/>
  <c r="G104" i="4"/>
  <c r="H104" i="4"/>
  <c r="G105" i="4"/>
  <c r="H105" i="4"/>
  <c r="G106" i="4"/>
  <c r="I106" i="4" s="1"/>
  <c r="K106" i="4" s="1"/>
  <c r="H106" i="4"/>
  <c r="G107" i="4"/>
  <c r="I107" i="4" s="1"/>
  <c r="K107" i="4" s="1"/>
  <c r="H107" i="4"/>
  <c r="G108" i="4"/>
  <c r="I108" i="4" s="1"/>
  <c r="K108" i="4" s="1"/>
  <c r="H108" i="4"/>
  <c r="G109" i="4"/>
  <c r="I109" i="4" s="1"/>
  <c r="K109" i="4" s="1"/>
  <c r="H109" i="4"/>
  <c r="G110" i="4"/>
  <c r="I110" i="4" s="1"/>
  <c r="K110" i="4" s="1"/>
  <c r="H110" i="4"/>
  <c r="G111" i="4"/>
  <c r="H111" i="4"/>
  <c r="G112" i="4"/>
  <c r="H112" i="4"/>
  <c r="G113" i="4"/>
  <c r="H113" i="4"/>
  <c r="G114" i="4"/>
  <c r="I114" i="4" s="1"/>
  <c r="K114" i="4" s="1"/>
  <c r="H114" i="4"/>
  <c r="G115" i="4"/>
  <c r="I115" i="4" s="1"/>
  <c r="K115" i="4" s="1"/>
  <c r="H115" i="4"/>
  <c r="G116" i="4"/>
  <c r="H116" i="4"/>
  <c r="G117" i="4"/>
  <c r="I117" i="4" s="1"/>
  <c r="K117" i="4" s="1"/>
  <c r="H117" i="4"/>
  <c r="G118" i="4"/>
  <c r="I118" i="4" s="1"/>
  <c r="K118" i="4" s="1"/>
  <c r="H118" i="4"/>
  <c r="G119" i="4"/>
  <c r="H119" i="4"/>
  <c r="G120" i="4"/>
  <c r="H120" i="4"/>
  <c r="G121" i="4"/>
  <c r="H121" i="4"/>
  <c r="G122" i="4"/>
  <c r="I122" i="4" s="1"/>
  <c r="K122" i="4" s="1"/>
  <c r="H122" i="4"/>
  <c r="G123" i="4"/>
  <c r="H123" i="4"/>
  <c r="G124" i="4"/>
  <c r="H124" i="4"/>
  <c r="G125" i="4"/>
  <c r="H125" i="4"/>
  <c r="G126" i="4"/>
  <c r="I126" i="4" s="1"/>
  <c r="K126" i="4" s="1"/>
  <c r="H126" i="4"/>
  <c r="G127" i="4"/>
  <c r="H127" i="4"/>
  <c r="G128" i="4"/>
  <c r="H128" i="4"/>
  <c r="G129" i="4"/>
  <c r="H129" i="4"/>
  <c r="G130" i="4"/>
  <c r="I130" i="4" s="1"/>
  <c r="K130" i="4" s="1"/>
  <c r="H130" i="4"/>
  <c r="G131" i="4"/>
  <c r="I131" i="4" s="1"/>
  <c r="K131" i="4" s="1"/>
  <c r="H131" i="4"/>
  <c r="G132" i="4"/>
  <c r="I132" i="4" s="1"/>
  <c r="K132" i="4" s="1"/>
  <c r="H132" i="4"/>
  <c r="G133" i="4"/>
  <c r="I133" i="4" s="1"/>
  <c r="K133" i="4" s="1"/>
  <c r="H133" i="4"/>
  <c r="G134" i="4"/>
  <c r="I134" i="4" s="1"/>
  <c r="K134" i="4" s="1"/>
  <c r="H134" i="4"/>
  <c r="G135" i="4"/>
  <c r="H135" i="4"/>
  <c r="G136" i="4"/>
  <c r="H136" i="4"/>
  <c r="G137" i="4"/>
  <c r="H137" i="4"/>
  <c r="G138" i="4"/>
  <c r="I138" i="4" s="1"/>
  <c r="K138" i="4" s="1"/>
  <c r="H138" i="4"/>
  <c r="G139" i="4"/>
  <c r="I139" i="4" s="1"/>
  <c r="K139" i="4" s="1"/>
  <c r="H139" i="4"/>
  <c r="G140" i="4"/>
  <c r="H140" i="4"/>
  <c r="G141" i="4"/>
  <c r="H141" i="4"/>
  <c r="G142" i="4"/>
  <c r="I142" i="4" s="1"/>
  <c r="K142" i="4" s="1"/>
  <c r="H142" i="4"/>
  <c r="G143" i="4"/>
  <c r="H143" i="4"/>
  <c r="G144" i="4"/>
  <c r="H144" i="4"/>
  <c r="G145" i="4"/>
  <c r="H145" i="4"/>
  <c r="G146" i="4"/>
  <c r="I146" i="4" s="1"/>
  <c r="K146" i="4" s="1"/>
  <c r="H146" i="4"/>
  <c r="G147" i="4"/>
  <c r="I147" i="4" s="1"/>
  <c r="K147" i="4" s="1"/>
  <c r="H147" i="4"/>
  <c r="G148" i="4"/>
  <c r="H148" i="4"/>
  <c r="G149" i="4"/>
  <c r="H149" i="4"/>
  <c r="G150" i="4"/>
  <c r="I150" i="4" s="1"/>
  <c r="K150" i="4" s="1"/>
  <c r="H150" i="4"/>
  <c r="G151" i="4"/>
  <c r="H151" i="4"/>
  <c r="G152" i="4"/>
  <c r="H152" i="4"/>
  <c r="G153" i="4"/>
  <c r="H153" i="4"/>
  <c r="G154" i="4"/>
  <c r="I154" i="4" s="1"/>
  <c r="K154" i="4" s="1"/>
  <c r="H154" i="4"/>
  <c r="G155" i="4"/>
  <c r="I155" i="4" s="1"/>
  <c r="K155" i="4" s="1"/>
  <c r="H155" i="4"/>
  <c r="G156" i="4"/>
  <c r="I156" i="4" s="1"/>
  <c r="K156" i="4" s="1"/>
  <c r="H156" i="4"/>
  <c r="G157" i="4"/>
  <c r="I157" i="4" s="1"/>
  <c r="K157" i="4" s="1"/>
  <c r="H157" i="4"/>
  <c r="G158" i="4"/>
  <c r="I158" i="4" s="1"/>
  <c r="K158" i="4" s="1"/>
  <c r="H158" i="4"/>
  <c r="G159" i="4"/>
  <c r="H159" i="4"/>
  <c r="G160" i="4"/>
  <c r="H160" i="4"/>
  <c r="G161" i="4"/>
  <c r="H161" i="4"/>
  <c r="G162" i="4"/>
  <c r="I162" i="4" s="1"/>
  <c r="K162" i="4" s="1"/>
  <c r="H162" i="4"/>
  <c r="G163" i="4"/>
  <c r="I163" i="4" s="1"/>
  <c r="K163" i="4" s="1"/>
  <c r="H163" i="4"/>
  <c r="G164" i="4"/>
  <c r="H164" i="4"/>
  <c r="G165" i="4"/>
  <c r="H165" i="4"/>
  <c r="G166" i="4"/>
  <c r="I166" i="4" s="1"/>
  <c r="K166" i="4" s="1"/>
  <c r="H166" i="4"/>
  <c r="G167" i="4"/>
  <c r="H167" i="4"/>
  <c r="G168" i="4"/>
  <c r="H168" i="4"/>
  <c r="G169" i="4"/>
  <c r="H169" i="4"/>
  <c r="G170" i="4"/>
  <c r="I170" i="4" s="1"/>
  <c r="K170" i="4" s="1"/>
  <c r="H170" i="4"/>
  <c r="G171" i="4"/>
  <c r="I171" i="4" s="1"/>
  <c r="K171" i="4" s="1"/>
  <c r="H171" i="4"/>
  <c r="G172" i="4"/>
  <c r="I172" i="4" s="1"/>
  <c r="K172" i="4" s="1"/>
  <c r="H172" i="4"/>
  <c r="G173" i="4"/>
  <c r="I173" i="4" s="1"/>
  <c r="K173" i="4" s="1"/>
  <c r="H173" i="4"/>
  <c r="G174" i="4"/>
  <c r="I174" i="4" s="1"/>
  <c r="K174" i="4" s="1"/>
  <c r="H174" i="4"/>
  <c r="G175" i="4"/>
  <c r="H175" i="4"/>
  <c r="G176" i="4"/>
  <c r="H176" i="4"/>
  <c r="G177" i="4"/>
  <c r="H177" i="4"/>
  <c r="G178" i="4"/>
  <c r="I178" i="4" s="1"/>
  <c r="K178" i="4" s="1"/>
  <c r="H178" i="4"/>
  <c r="G179" i="4"/>
  <c r="I179" i="4" s="1"/>
  <c r="K179" i="4" s="1"/>
  <c r="H179" i="4"/>
  <c r="G180" i="4"/>
  <c r="H180" i="4"/>
  <c r="G181" i="4"/>
  <c r="I181" i="4" s="1"/>
  <c r="K181" i="4" s="1"/>
  <c r="H181" i="4"/>
  <c r="G182" i="4"/>
  <c r="I182" i="4" s="1"/>
  <c r="K182" i="4" s="1"/>
  <c r="H182" i="4"/>
  <c r="G183" i="4"/>
  <c r="H183" i="4"/>
  <c r="G184" i="4"/>
  <c r="H184" i="4"/>
  <c r="G185" i="4"/>
  <c r="H185" i="4"/>
  <c r="G186" i="4"/>
  <c r="I186" i="4" s="1"/>
  <c r="K186" i="4" s="1"/>
  <c r="H186" i="4"/>
  <c r="G187" i="4"/>
  <c r="H187" i="4"/>
  <c r="G188" i="4"/>
  <c r="H188" i="4"/>
  <c r="G189" i="4"/>
  <c r="H189" i="4"/>
  <c r="G190" i="4"/>
  <c r="I190" i="4" s="1"/>
  <c r="K190" i="4" s="1"/>
  <c r="H190" i="4"/>
  <c r="G191" i="4"/>
  <c r="H191" i="4"/>
  <c r="G192" i="4"/>
  <c r="H192" i="4"/>
  <c r="G193" i="4"/>
  <c r="H193" i="4"/>
  <c r="G194" i="4"/>
  <c r="I194" i="4" s="1"/>
  <c r="K194" i="4" s="1"/>
  <c r="H194" i="4"/>
  <c r="G195" i="4"/>
  <c r="H195" i="4"/>
  <c r="G196" i="4"/>
  <c r="I196" i="4" s="1"/>
  <c r="K196" i="4" s="1"/>
  <c r="H196" i="4"/>
  <c r="G197" i="4"/>
  <c r="I197" i="4" s="1"/>
  <c r="K197" i="4" s="1"/>
  <c r="H197" i="4"/>
  <c r="G198" i="4"/>
  <c r="I198" i="4" s="1"/>
  <c r="K198" i="4" s="1"/>
  <c r="H198" i="4"/>
  <c r="G199" i="4"/>
  <c r="H199" i="4"/>
  <c r="G200" i="4"/>
  <c r="H200" i="4"/>
  <c r="G201" i="4"/>
  <c r="H201" i="4"/>
  <c r="G202" i="4"/>
  <c r="I202" i="4" s="1"/>
  <c r="K202" i="4" s="1"/>
  <c r="H202" i="4"/>
  <c r="G203" i="4"/>
  <c r="I203" i="4" s="1"/>
  <c r="K203" i="4" s="1"/>
  <c r="H203" i="4"/>
  <c r="G204" i="4"/>
  <c r="H204" i="4"/>
  <c r="G205" i="4"/>
  <c r="H205" i="4"/>
  <c r="G206" i="4"/>
  <c r="I206" i="4" s="1"/>
  <c r="K206" i="4" s="1"/>
  <c r="H206" i="4"/>
  <c r="G207" i="4"/>
  <c r="H207" i="4"/>
  <c r="G208" i="4"/>
  <c r="H208" i="4"/>
  <c r="G209" i="4"/>
  <c r="H209" i="4"/>
  <c r="G210" i="4"/>
  <c r="I210" i="4" s="1"/>
  <c r="K210" i="4" s="1"/>
  <c r="H210" i="4"/>
  <c r="G211" i="4"/>
  <c r="H211" i="4"/>
  <c r="G212" i="4"/>
  <c r="H212" i="4"/>
  <c r="G213" i="4"/>
  <c r="H213" i="4"/>
  <c r="G214" i="4"/>
  <c r="I214" i="4" s="1"/>
  <c r="K214" i="4" s="1"/>
  <c r="H214" i="4"/>
  <c r="G215" i="4"/>
  <c r="H215" i="4"/>
  <c r="G216" i="4"/>
  <c r="H216" i="4"/>
  <c r="G217" i="4"/>
  <c r="H217" i="4"/>
  <c r="G218" i="4"/>
  <c r="I218" i="4" s="1"/>
  <c r="K218" i="4" s="1"/>
  <c r="H218" i="4"/>
  <c r="G219" i="4"/>
  <c r="I219" i="4" s="1"/>
  <c r="K219" i="4" s="1"/>
  <c r="H219" i="4"/>
  <c r="G220" i="4"/>
  <c r="H220" i="4"/>
  <c r="G221" i="4"/>
  <c r="I221" i="4" s="1"/>
  <c r="K221" i="4" s="1"/>
  <c r="H221" i="4"/>
  <c r="G222" i="4"/>
  <c r="I222" i="4" s="1"/>
  <c r="K222" i="4" s="1"/>
  <c r="H222" i="4"/>
  <c r="G223" i="4"/>
  <c r="H223" i="4"/>
  <c r="G224" i="4"/>
  <c r="H224" i="4"/>
  <c r="G225" i="4"/>
  <c r="H225" i="4"/>
  <c r="G226" i="4"/>
  <c r="I226" i="4" s="1"/>
  <c r="K226" i="4" s="1"/>
  <c r="H226" i="4"/>
  <c r="G227" i="4"/>
  <c r="I227" i="4" s="1"/>
  <c r="K227" i="4" s="1"/>
  <c r="H227" i="4"/>
  <c r="G228" i="4"/>
  <c r="H228" i="4"/>
  <c r="G229" i="4"/>
  <c r="H229" i="4"/>
  <c r="G230" i="4"/>
  <c r="I230" i="4" s="1"/>
  <c r="K230" i="4" s="1"/>
  <c r="H230" i="4"/>
  <c r="G231" i="4"/>
  <c r="H231" i="4"/>
  <c r="G232" i="4"/>
  <c r="H232" i="4"/>
  <c r="G233" i="4"/>
  <c r="H233" i="4"/>
  <c r="G234" i="4"/>
  <c r="I234" i="4" s="1"/>
  <c r="K234" i="4" s="1"/>
  <c r="H234" i="4"/>
  <c r="G235" i="4"/>
  <c r="H235" i="4"/>
  <c r="G236" i="4"/>
  <c r="H236" i="4"/>
  <c r="G237" i="4"/>
  <c r="I237" i="4" s="1"/>
  <c r="K237" i="4" s="1"/>
  <c r="H237" i="4"/>
  <c r="G238" i="4"/>
  <c r="I238" i="4" s="1"/>
  <c r="K238" i="4" s="1"/>
  <c r="H238" i="4"/>
  <c r="G239" i="4"/>
  <c r="H239" i="4"/>
  <c r="G240" i="4"/>
  <c r="H240" i="4"/>
  <c r="G241" i="4"/>
  <c r="H241" i="4"/>
  <c r="G242" i="4"/>
  <c r="I242" i="4" s="1"/>
  <c r="K242" i="4" s="1"/>
  <c r="H242" i="4"/>
  <c r="G243" i="4"/>
  <c r="I243" i="4" s="1"/>
  <c r="K243" i="4" s="1"/>
  <c r="H243" i="4"/>
  <c r="G244" i="4"/>
  <c r="H244" i="4"/>
  <c r="G245" i="4"/>
  <c r="I245" i="4" s="1"/>
  <c r="K245" i="4" s="1"/>
  <c r="H245" i="4"/>
  <c r="G246" i="4"/>
  <c r="I246" i="4" s="1"/>
  <c r="K246" i="4" s="1"/>
  <c r="H246" i="4"/>
  <c r="G247" i="4"/>
  <c r="H247" i="4"/>
  <c r="G248" i="4"/>
  <c r="H248" i="4"/>
  <c r="G249" i="4"/>
  <c r="H249" i="4"/>
  <c r="G250" i="4"/>
  <c r="I250" i="4" s="1"/>
  <c r="K250" i="4" s="1"/>
  <c r="H250" i="4"/>
  <c r="G251" i="4"/>
  <c r="I251" i="4" s="1"/>
  <c r="K251" i="4" s="1"/>
  <c r="H251" i="4"/>
  <c r="G252" i="4"/>
  <c r="H252" i="4"/>
  <c r="G253" i="4"/>
  <c r="H253" i="4"/>
  <c r="G254" i="4"/>
  <c r="I254" i="4" s="1"/>
  <c r="K254" i="4" s="1"/>
  <c r="H254" i="4"/>
  <c r="G255" i="4"/>
  <c r="H255" i="4"/>
  <c r="G256" i="4"/>
  <c r="H256" i="4"/>
  <c r="G257" i="4"/>
  <c r="H257" i="4"/>
  <c r="G258" i="4"/>
  <c r="I258" i="4" s="1"/>
  <c r="K258" i="4" s="1"/>
  <c r="H258" i="4"/>
  <c r="G259" i="4"/>
  <c r="I259" i="4" s="1"/>
  <c r="K259" i="4" s="1"/>
  <c r="H259" i="4"/>
  <c r="G260" i="4"/>
  <c r="H260" i="4"/>
  <c r="G261" i="4"/>
  <c r="I261" i="4" s="1"/>
  <c r="K261" i="4" s="1"/>
  <c r="H261" i="4"/>
  <c r="G262" i="4"/>
  <c r="I262" i="4" s="1"/>
  <c r="K262" i="4" s="1"/>
  <c r="H262" i="4"/>
  <c r="G263" i="4"/>
  <c r="H263" i="4"/>
  <c r="G264" i="4"/>
  <c r="H264" i="4"/>
  <c r="G265" i="4"/>
  <c r="H265" i="4"/>
  <c r="G266" i="4"/>
  <c r="I266" i="4" s="1"/>
  <c r="K266" i="4" s="1"/>
  <c r="H266" i="4"/>
  <c r="G267" i="4"/>
  <c r="I267" i="4" s="1"/>
  <c r="K267" i="4" s="1"/>
  <c r="H267" i="4"/>
  <c r="G268" i="4"/>
  <c r="H268" i="4"/>
  <c r="G269" i="4"/>
  <c r="H269" i="4"/>
  <c r="G270" i="4"/>
  <c r="I270" i="4" s="1"/>
  <c r="K270" i="4" s="1"/>
  <c r="H270" i="4"/>
  <c r="G271" i="4"/>
  <c r="H271" i="4"/>
  <c r="G272" i="4"/>
  <c r="H272" i="4"/>
  <c r="G273" i="4"/>
  <c r="H273" i="4"/>
  <c r="G274" i="4"/>
  <c r="I274" i="4" s="1"/>
  <c r="K274" i="4" s="1"/>
  <c r="H274" i="4"/>
  <c r="G275" i="4"/>
  <c r="I275" i="4" s="1"/>
  <c r="K275" i="4" s="1"/>
  <c r="H275" i="4"/>
  <c r="G276" i="4"/>
  <c r="I276" i="4" s="1"/>
  <c r="K276" i="4" s="1"/>
  <c r="H276" i="4"/>
  <c r="G277" i="4"/>
  <c r="H277" i="4"/>
  <c r="G278" i="4"/>
  <c r="I278" i="4" s="1"/>
  <c r="K278" i="4" s="1"/>
  <c r="H278" i="4"/>
  <c r="G279" i="4"/>
  <c r="H279" i="4"/>
  <c r="G280" i="4"/>
  <c r="H280" i="4"/>
  <c r="G281" i="4"/>
  <c r="H281" i="4"/>
  <c r="G282" i="4"/>
  <c r="I282" i="4" s="1"/>
  <c r="K282" i="4" s="1"/>
  <c r="H282" i="4"/>
  <c r="G283" i="4"/>
  <c r="I283" i="4" s="1"/>
  <c r="K283" i="4" s="1"/>
  <c r="H283" i="4"/>
  <c r="G284" i="4"/>
  <c r="I284" i="4" s="1"/>
  <c r="K284" i="4" s="1"/>
  <c r="H284" i="4"/>
  <c r="G285" i="4"/>
  <c r="I285" i="4" s="1"/>
  <c r="K285" i="4" s="1"/>
  <c r="H285" i="4"/>
  <c r="G286" i="4"/>
  <c r="I286" i="4" s="1"/>
  <c r="K286" i="4" s="1"/>
  <c r="H286" i="4"/>
  <c r="G287" i="4"/>
  <c r="H287" i="4"/>
  <c r="G288" i="4"/>
  <c r="H288" i="4"/>
  <c r="G289" i="4"/>
  <c r="H289" i="4"/>
  <c r="G290" i="4"/>
  <c r="I290" i="4" s="1"/>
  <c r="K290" i="4" s="1"/>
  <c r="H290" i="4"/>
  <c r="G291" i="4"/>
  <c r="I291" i="4" s="1"/>
  <c r="K291" i="4" s="1"/>
  <c r="H291" i="4"/>
  <c r="G292" i="4"/>
  <c r="H292" i="4"/>
  <c r="G293" i="4"/>
  <c r="H293" i="4"/>
  <c r="G294" i="4"/>
  <c r="I294" i="4" s="1"/>
  <c r="K294" i="4" s="1"/>
  <c r="H294" i="4"/>
  <c r="G295" i="4"/>
  <c r="H295" i="4"/>
  <c r="G296" i="4"/>
  <c r="H296" i="4"/>
  <c r="G297" i="4"/>
  <c r="H297" i="4"/>
  <c r="G298" i="4"/>
  <c r="I298" i="4" s="1"/>
  <c r="K298" i="4" s="1"/>
  <c r="H298" i="4"/>
  <c r="G299" i="4"/>
  <c r="I299" i="4" s="1"/>
  <c r="K299" i="4" s="1"/>
  <c r="H299" i="4"/>
  <c r="G300" i="4"/>
  <c r="I300" i="4" s="1"/>
  <c r="K300" i="4" s="1"/>
  <c r="H300" i="4"/>
  <c r="G301" i="4"/>
  <c r="I301" i="4" s="1"/>
  <c r="K301" i="4" s="1"/>
  <c r="H301" i="4"/>
  <c r="G302" i="4"/>
  <c r="I302" i="4" s="1"/>
  <c r="K302" i="4" s="1"/>
  <c r="H302" i="4"/>
  <c r="G303" i="4"/>
  <c r="H303" i="4"/>
  <c r="G304" i="4"/>
  <c r="H304" i="4"/>
  <c r="G305" i="4"/>
  <c r="H305" i="4"/>
  <c r="G306" i="4"/>
  <c r="I306" i="4" s="1"/>
  <c r="K306" i="4" s="1"/>
  <c r="H306" i="4"/>
  <c r="G307" i="4"/>
  <c r="H307" i="4"/>
  <c r="G308" i="4"/>
  <c r="H308" i="4"/>
  <c r="G309" i="4"/>
  <c r="I309" i="4" s="1"/>
  <c r="K309" i="4" s="1"/>
  <c r="H309" i="4"/>
  <c r="G310" i="4"/>
  <c r="I310" i="4" s="1"/>
  <c r="K310" i="4" s="1"/>
  <c r="H310" i="4"/>
  <c r="G311" i="4"/>
  <c r="H311" i="4"/>
  <c r="G312" i="4"/>
  <c r="H312" i="4"/>
  <c r="G313" i="4"/>
  <c r="H313" i="4"/>
  <c r="G314" i="4"/>
  <c r="I314" i="4" s="1"/>
  <c r="K314" i="4" s="1"/>
  <c r="H314" i="4"/>
  <c r="G315" i="4"/>
  <c r="I315" i="4" s="1"/>
  <c r="K315" i="4" s="1"/>
  <c r="H315" i="4"/>
  <c r="G316" i="4"/>
  <c r="H316" i="4"/>
  <c r="G317" i="4"/>
  <c r="H317" i="4"/>
  <c r="G318" i="4"/>
  <c r="I318" i="4" s="1"/>
  <c r="K318" i="4" s="1"/>
  <c r="H318" i="4"/>
  <c r="G319" i="4"/>
  <c r="H319" i="4"/>
  <c r="G320" i="4"/>
  <c r="H320" i="4"/>
  <c r="G321" i="4"/>
  <c r="H321" i="4"/>
  <c r="G322" i="4"/>
  <c r="I322" i="4" s="1"/>
  <c r="K322" i="4" s="1"/>
  <c r="H322" i="4"/>
  <c r="G323" i="4"/>
  <c r="I323" i="4" s="1"/>
  <c r="K323" i="4" s="1"/>
  <c r="H323" i="4"/>
  <c r="G324" i="4"/>
  <c r="I324" i="4" s="1"/>
  <c r="K324" i="4" s="1"/>
  <c r="H324" i="4"/>
  <c r="G325" i="4"/>
  <c r="I325" i="4" s="1"/>
  <c r="K325" i="4" s="1"/>
  <c r="H325" i="4"/>
  <c r="G326" i="4"/>
  <c r="I326" i="4" s="1"/>
  <c r="K326" i="4" s="1"/>
  <c r="H326" i="4"/>
  <c r="G327" i="4"/>
  <c r="H327" i="4"/>
  <c r="G328" i="4"/>
  <c r="H328" i="4"/>
  <c r="G329" i="4"/>
  <c r="H329" i="4"/>
  <c r="G330" i="4"/>
  <c r="I330" i="4" s="1"/>
  <c r="K330" i="4" s="1"/>
  <c r="H330" i="4"/>
  <c r="G331" i="4"/>
  <c r="H331" i="4"/>
  <c r="G332" i="4"/>
  <c r="H332" i="4"/>
  <c r="G333" i="4"/>
  <c r="H333" i="4"/>
  <c r="G334" i="4"/>
  <c r="I334" i="4" s="1"/>
  <c r="K334" i="4" s="1"/>
  <c r="H334" i="4"/>
  <c r="G335" i="4"/>
  <c r="H335" i="4"/>
  <c r="G336" i="4"/>
  <c r="H336" i="4"/>
  <c r="G337" i="4"/>
  <c r="H337" i="4"/>
  <c r="G338" i="4"/>
  <c r="I338" i="4" s="1"/>
  <c r="K338" i="4" s="1"/>
  <c r="H338" i="4"/>
  <c r="G339" i="4"/>
  <c r="I339" i="4" s="1"/>
  <c r="K339" i="4" s="1"/>
  <c r="H339" i="4"/>
  <c r="G340" i="4"/>
  <c r="I340" i="4" s="1"/>
  <c r="K340" i="4" s="1"/>
  <c r="H340" i="4"/>
  <c r="G341" i="4"/>
  <c r="H341" i="4"/>
  <c r="G342" i="4"/>
  <c r="I342" i="4" s="1"/>
  <c r="K342" i="4" s="1"/>
  <c r="H342" i="4"/>
  <c r="G343" i="4"/>
  <c r="H343" i="4"/>
  <c r="G344" i="4"/>
  <c r="H344" i="4"/>
  <c r="G345" i="4"/>
  <c r="H345" i="4"/>
  <c r="G346" i="4"/>
  <c r="I346" i="4" s="1"/>
  <c r="K346" i="4" s="1"/>
  <c r="H346" i="4"/>
  <c r="G347" i="4"/>
  <c r="H347" i="4"/>
  <c r="G348" i="4"/>
  <c r="I348" i="4" s="1"/>
  <c r="K348" i="4" s="1"/>
  <c r="H348" i="4"/>
  <c r="G349" i="4"/>
  <c r="I349" i="4" s="1"/>
  <c r="K349" i="4" s="1"/>
  <c r="H349" i="4"/>
  <c r="G350" i="4"/>
  <c r="I350" i="4" s="1"/>
  <c r="K350" i="4" s="1"/>
  <c r="H350" i="4"/>
  <c r="G351" i="4"/>
  <c r="H351" i="4"/>
  <c r="G352" i="4"/>
  <c r="H352" i="4"/>
  <c r="G353" i="4"/>
  <c r="H353" i="4"/>
  <c r="G354" i="4"/>
  <c r="I354" i="4" s="1"/>
  <c r="K354" i="4" s="1"/>
  <c r="H354" i="4"/>
  <c r="G355" i="4"/>
  <c r="H355" i="4"/>
  <c r="G356" i="4"/>
  <c r="H356" i="4"/>
  <c r="G357" i="4"/>
  <c r="H357" i="4"/>
  <c r="G358" i="4"/>
  <c r="I358" i="4" s="1"/>
  <c r="K358" i="4" s="1"/>
  <c r="H358" i="4"/>
  <c r="G359" i="4"/>
  <c r="H359" i="4"/>
  <c r="G360" i="4"/>
  <c r="H360" i="4"/>
  <c r="G361" i="4"/>
  <c r="H361" i="4"/>
  <c r="G362" i="4"/>
  <c r="I362" i="4" s="1"/>
  <c r="K362" i="4" s="1"/>
  <c r="H362" i="4"/>
  <c r="G363" i="4"/>
  <c r="I363" i="4" s="1"/>
  <c r="K363" i="4" s="1"/>
  <c r="H363" i="4"/>
  <c r="G364" i="4"/>
  <c r="I364" i="4" s="1"/>
  <c r="K364" i="4" s="1"/>
  <c r="H364" i="4"/>
  <c r="G365" i="4"/>
  <c r="I365" i="4" s="1"/>
  <c r="K365" i="4" s="1"/>
  <c r="H365" i="4"/>
  <c r="G366" i="4"/>
  <c r="I366" i="4" s="1"/>
  <c r="K366" i="4" s="1"/>
  <c r="H366" i="4"/>
  <c r="G367" i="4"/>
  <c r="H367" i="4"/>
  <c r="G368" i="4"/>
  <c r="H368" i="4"/>
  <c r="G369" i="4"/>
  <c r="H369" i="4"/>
  <c r="G370" i="4"/>
  <c r="I370" i="4" s="1"/>
  <c r="K370" i="4" s="1"/>
  <c r="H370" i="4"/>
  <c r="G371" i="4"/>
  <c r="H371" i="4"/>
  <c r="G372" i="4"/>
  <c r="H372" i="4"/>
  <c r="G373" i="4"/>
  <c r="I373" i="4" s="1"/>
  <c r="K373" i="4" s="1"/>
  <c r="H373" i="4"/>
  <c r="G374" i="4"/>
  <c r="I374" i="4" s="1"/>
  <c r="K374" i="4" s="1"/>
  <c r="H374" i="4"/>
  <c r="G375" i="4"/>
  <c r="H375" i="4"/>
  <c r="G376" i="4"/>
  <c r="H376" i="4"/>
  <c r="G377" i="4"/>
  <c r="H377" i="4"/>
  <c r="G378" i="4"/>
  <c r="I378" i="4" s="1"/>
  <c r="K378" i="4" s="1"/>
  <c r="H378" i="4"/>
  <c r="G379" i="4"/>
  <c r="I379" i="4" s="1"/>
  <c r="K379" i="4" s="1"/>
  <c r="H379" i="4"/>
  <c r="G380" i="4"/>
  <c r="H380" i="4"/>
  <c r="G381" i="4"/>
  <c r="H381" i="4"/>
  <c r="G382" i="4"/>
  <c r="I382" i="4" s="1"/>
  <c r="K382" i="4" s="1"/>
  <c r="H382" i="4"/>
  <c r="G383" i="4"/>
  <c r="H383" i="4"/>
  <c r="G384" i="4"/>
  <c r="H384" i="4"/>
  <c r="G385" i="4"/>
  <c r="H385" i="4"/>
  <c r="G386" i="4"/>
  <c r="I386" i="4" s="1"/>
  <c r="K386" i="4" s="1"/>
  <c r="H386" i="4"/>
  <c r="G387" i="4"/>
  <c r="I387" i="4" s="1"/>
  <c r="K387" i="4" s="1"/>
  <c r="H387" i="4"/>
  <c r="G388" i="4"/>
  <c r="I388" i="4" s="1"/>
  <c r="K388" i="4" s="1"/>
  <c r="H388" i="4"/>
  <c r="G389" i="4"/>
  <c r="I389" i="4" s="1"/>
  <c r="K389" i="4" s="1"/>
  <c r="H389" i="4"/>
  <c r="G390" i="4"/>
  <c r="I390" i="4" s="1"/>
  <c r="K390" i="4" s="1"/>
  <c r="H390" i="4"/>
  <c r="G391" i="4"/>
  <c r="H391" i="4"/>
  <c r="G392" i="4"/>
  <c r="H392" i="4"/>
  <c r="G393" i="4"/>
  <c r="H393" i="4"/>
  <c r="G394" i="4"/>
  <c r="I394" i="4" s="1"/>
  <c r="K394" i="4" s="1"/>
  <c r="H394" i="4"/>
  <c r="G395" i="4"/>
  <c r="H395" i="4"/>
  <c r="G396" i="4"/>
  <c r="H396" i="4"/>
  <c r="G397" i="4"/>
  <c r="H397" i="4"/>
  <c r="G398" i="4"/>
  <c r="I398" i="4" s="1"/>
  <c r="K398" i="4" s="1"/>
  <c r="H398" i="4"/>
  <c r="G399" i="4"/>
  <c r="H399" i="4"/>
  <c r="G400" i="4"/>
  <c r="H400" i="4"/>
  <c r="G401" i="4"/>
  <c r="H401" i="4"/>
  <c r="G402" i="4"/>
  <c r="I402" i="4" s="1"/>
  <c r="K402" i="4" s="1"/>
  <c r="H402" i="4"/>
  <c r="G403" i="4"/>
  <c r="H403" i="4"/>
  <c r="G404" i="4"/>
  <c r="H404" i="4"/>
  <c r="G405" i="4"/>
  <c r="H405" i="4"/>
  <c r="G406" i="4"/>
  <c r="I406" i="4" s="1"/>
  <c r="K406" i="4" s="1"/>
  <c r="H406" i="4"/>
  <c r="G407" i="4"/>
  <c r="H407" i="4"/>
  <c r="G408" i="4"/>
  <c r="H408" i="4"/>
  <c r="G409" i="4"/>
  <c r="H409" i="4"/>
  <c r="G410" i="4"/>
  <c r="I410" i="4" s="1"/>
  <c r="K410" i="4" s="1"/>
  <c r="H410" i="4"/>
  <c r="G411" i="4"/>
  <c r="H411" i="4"/>
  <c r="G412" i="4"/>
  <c r="I412" i="4" s="1"/>
  <c r="K412" i="4" s="1"/>
  <c r="H412" i="4"/>
  <c r="G413" i="4"/>
  <c r="I413" i="4" s="1"/>
  <c r="K413" i="4" s="1"/>
  <c r="H413" i="4"/>
  <c r="G414" i="4"/>
  <c r="I414" i="4" s="1"/>
  <c r="K414" i="4" s="1"/>
  <c r="H414" i="4"/>
  <c r="G415" i="4"/>
  <c r="H415" i="4"/>
  <c r="G416" i="4"/>
  <c r="H416" i="4"/>
  <c r="G417" i="4"/>
  <c r="H417" i="4"/>
  <c r="G418" i="4"/>
  <c r="I418" i="4" s="1"/>
  <c r="K418" i="4" s="1"/>
  <c r="H418" i="4"/>
  <c r="G419" i="4"/>
  <c r="H419" i="4"/>
  <c r="G420" i="4"/>
  <c r="H420" i="4"/>
  <c r="G421" i="4"/>
  <c r="H421" i="4"/>
  <c r="G422" i="4"/>
  <c r="I422" i="4" s="1"/>
  <c r="K422" i="4" s="1"/>
  <c r="H422" i="4"/>
  <c r="G423" i="4"/>
  <c r="H423" i="4"/>
  <c r="G424" i="4"/>
  <c r="H424" i="4"/>
  <c r="G425" i="4"/>
  <c r="H425" i="4"/>
  <c r="G426" i="4"/>
  <c r="I426" i="4" s="1"/>
  <c r="K426" i="4" s="1"/>
  <c r="H426" i="4"/>
  <c r="G427" i="4"/>
  <c r="H427" i="4"/>
  <c r="G428" i="4"/>
  <c r="H428" i="4"/>
  <c r="G429" i="4"/>
  <c r="I429" i="4" s="1"/>
  <c r="K429" i="4" s="1"/>
  <c r="H429" i="4"/>
  <c r="G430" i="4"/>
  <c r="I430" i="4" s="1"/>
  <c r="K430" i="4" s="1"/>
  <c r="H430" i="4"/>
  <c r="G431" i="4"/>
  <c r="H431" i="4"/>
  <c r="G432" i="4"/>
  <c r="H432" i="4"/>
  <c r="G433" i="4"/>
  <c r="H433" i="4"/>
  <c r="G434" i="4"/>
  <c r="I434" i="4" s="1"/>
  <c r="K434" i="4" s="1"/>
  <c r="H434" i="4"/>
  <c r="G435" i="4"/>
  <c r="H435" i="4"/>
  <c r="G436" i="4"/>
  <c r="H436" i="4"/>
  <c r="G437" i="4"/>
  <c r="I437" i="4" s="1"/>
  <c r="K437" i="4" s="1"/>
  <c r="H437" i="4"/>
  <c r="G438" i="4"/>
  <c r="I438" i="4" s="1"/>
  <c r="K438" i="4" s="1"/>
  <c r="H438" i="4"/>
  <c r="G439" i="4"/>
  <c r="H439" i="4"/>
  <c r="G440" i="4"/>
  <c r="H440" i="4"/>
  <c r="G441" i="4"/>
  <c r="H441" i="4"/>
  <c r="G442" i="4"/>
  <c r="I442" i="4" s="1"/>
  <c r="K442" i="4" s="1"/>
  <c r="H442" i="4"/>
  <c r="G443" i="4"/>
  <c r="I443" i="4" s="1"/>
  <c r="K443" i="4" s="1"/>
  <c r="H443" i="4"/>
  <c r="G444" i="4"/>
  <c r="H444" i="4"/>
  <c r="G445" i="4"/>
  <c r="H445" i="4"/>
  <c r="G446" i="4"/>
  <c r="I446" i="4" s="1"/>
  <c r="K446" i="4" s="1"/>
  <c r="H446" i="4"/>
  <c r="G447" i="4"/>
  <c r="H447" i="4"/>
  <c r="G448" i="4"/>
  <c r="H448" i="4"/>
  <c r="G449" i="4"/>
  <c r="H449" i="4"/>
  <c r="G450" i="4"/>
  <c r="I450" i="4" s="1"/>
  <c r="K450" i="4" s="1"/>
  <c r="H450" i="4"/>
  <c r="G451" i="4"/>
  <c r="I451" i="4" s="1"/>
  <c r="K451" i="4" s="1"/>
  <c r="H451" i="4"/>
  <c r="G452" i="4"/>
  <c r="I452" i="4" s="1"/>
  <c r="K452" i="4" s="1"/>
  <c r="H452" i="4"/>
  <c r="G453" i="4"/>
  <c r="I453" i="4" s="1"/>
  <c r="K453" i="4" s="1"/>
  <c r="H453" i="4"/>
  <c r="G454" i="4"/>
  <c r="I454" i="4" s="1"/>
  <c r="K454" i="4" s="1"/>
  <c r="H454" i="4"/>
  <c r="G455" i="4"/>
  <c r="H455" i="4"/>
  <c r="G456" i="4"/>
  <c r="H456" i="4"/>
  <c r="G457" i="4"/>
  <c r="H457" i="4"/>
  <c r="G458" i="4"/>
  <c r="I458" i="4" s="1"/>
  <c r="K458" i="4" s="1"/>
  <c r="H458" i="4"/>
  <c r="G459" i="4"/>
  <c r="H459" i="4"/>
  <c r="G460" i="4"/>
  <c r="H460" i="4"/>
  <c r="G461" i="4"/>
  <c r="H461" i="4"/>
  <c r="G462" i="4"/>
  <c r="I462" i="4" s="1"/>
  <c r="K462" i="4" s="1"/>
  <c r="H462" i="4"/>
  <c r="G463" i="4"/>
  <c r="H463" i="4"/>
  <c r="G464" i="4"/>
  <c r="H464" i="4"/>
  <c r="G465" i="4"/>
  <c r="H465" i="4"/>
  <c r="G466" i="4"/>
  <c r="I466" i="4" s="1"/>
  <c r="K466" i="4" s="1"/>
  <c r="H466" i="4"/>
  <c r="G467" i="4"/>
  <c r="H467" i="4"/>
  <c r="G468" i="4"/>
  <c r="I468" i="4" s="1"/>
  <c r="K468" i="4" s="1"/>
  <c r="H468" i="4"/>
  <c r="G469" i="4"/>
  <c r="H469" i="4"/>
  <c r="G470" i="4"/>
  <c r="I470" i="4" s="1"/>
  <c r="K470" i="4" s="1"/>
  <c r="H470" i="4"/>
  <c r="G471" i="4"/>
  <c r="H471" i="4"/>
  <c r="G472" i="4"/>
  <c r="H472" i="4"/>
  <c r="G473" i="4"/>
  <c r="H473" i="4"/>
  <c r="G474" i="4"/>
  <c r="I474" i="4" s="1"/>
  <c r="K474" i="4" s="1"/>
  <c r="H474" i="4"/>
  <c r="G475" i="4"/>
  <c r="H475" i="4"/>
  <c r="G476" i="4"/>
  <c r="I476" i="4" s="1"/>
  <c r="K476" i="4" s="1"/>
  <c r="H476" i="4"/>
  <c r="G477" i="4"/>
  <c r="I477" i="4" s="1"/>
  <c r="K477" i="4" s="1"/>
  <c r="H477" i="4"/>
  <c r="G478" i="4"/>
  <c r="I478" i="4" s="1"/>
  <c r="K478" i="4" s="1"/>
  <c r="H478" i="4"/>
  <c r="G479" i="4"/>
  <c r="H479" i="4"/>
  <c r="G480" i="4"/>
  <c r="H480" i="4"/>
  <c r="G481" i="4"/>
  <c r="H481" i="4"/>
  <c r="G482" i="4"/>
  <c r="I482" i="4" s="1"/>
  <c r="K482" i="4" s="1"/>
  <c r="H482" i="4"/>
  <c r="G483" i="4"/>
  <c r="H483" i="4"/>
  <c r="G484" i="4"/>
  <c r="H484" i="4"/>
  <c r="G485" i="4"/>
  <c r="H485" i="4"/>
  <c r="G486" i="4"/>
  <c r="I486" i="4" s="1"/>
  <c r="K486" i="4" s="1"/>
  <c r="H486" i="4"/>
  <c r="G487" i="4"/>
  <c r="H487" i="4"/>
  <c r="G488" i="4"/>
  <c r="H488" i="4"/>
  <c r="G489" i="4"/>
  <c r="H489" i="4"/>
  <c r="G490" i="4"/>
  <c r="I490" i="4" s="1"/>
  <c r="K490" i="4" s="1"/>
  <c r="H490" i="4"/>
  <c r="G491" i="4"/>
  <c r="H491" i="4"/>
  <c r="G492" i="4"/>
  <c r="I492" i="4" s="1"/>
  <c r="K492" i="4" s="1"/>
  <c r="H492" i="4"/>
  <c r="G493" i="4"/>
  <c r="I493" i="4" s="1"/>
  <c r="K493" i="4" s="1"/>
  <c r="H493" i="4"/>
  <c r="G494" i="4"/>
  <c r="I494" i="4" s="1"/>
  <c r="K494" i="4" s="1"/>
  <c r="H494" i="4"/>
  <c r="G495" i="4"/>
  <c r="H495" i="4"/>
  <c r="G496" i="4"/>
  <c r="H496" i="4"/>
  <c r="G497" i="4"/>
  <c r="H497" i="4"/>
  <c r="G498" i="4"/>
  <c r="I498" i="4" s="1"/>
  <c r="K498" i="4" s="1"/>
  <c r="H498" i="4"/>
  <c r="G499" i="4"/>
  <c r="H499" i="4"/>
  <c r="G500" i="4"/>
  <c r="H500" i="4"/>
  <c r="G501" i="4"/>
  <c r="I501" i="4" s="1"/>
  <c r="K501" i="4" s="1"/>
  <c r="H501" i="4"/>
  <c r="G502" i="4"/>
  <c r="I502" i="4" s="1"/>
  <c r="K502" i="4" s="1"/>
  <c r="H502" i="4"/>
  <c r="G503" i="4"/>
  <c r="H503" i="4"/>
  <c r="G504" i="4"/>
  <c r="H504" i="4"/>
  <c r="G505" i="4"/>
  <c r="H505" i="4"/>
  <c r="G506" i="4"/>
  <c r="I506" i="4" s="1"/>
  <c r="K506" i="4" s="1"/>
  <c r="H506" i="4"/>
  <c r="G507" i="4"/>
  <c r="I507" i="4" s="1"/>
  <c r="K507" i="4" s="1"/>
  <c r="H507" i="4"/>
  <c r="G508" i="4"/>
  <c r="H508" i="4"/>
  <c r="G509" i="4"/>
  <c r="H509" i="4"/>
  <c r="G510" i="4"/>
  <c r="I510" i="4" s="1"/>
  <c r="K510" i="4" s="1"/>
  <c r="H510" i="4"/>
  <c r="G511" i="4"/>
  <c r="H511" i="4"/>
  <c r="G512" i="4"/>
  <c r="H512" i="4"/>
  <c r="G513" i="4"/>
  <c r="H513" i="4"/>
  <c r="G514" i="4"/>
  <c r="I514" i="4" s="1"/>
  <c r="K514" i="4" s="1"/>
  <c r="H514" i="4"/>
  <c r="G515" i="4"/>
  <c r="H515" i="4"/>
  <c r="G516" i="4"/>
  <c r="H516" i="4"/>
  <c r="G517" i="4"/>
  <c r="I517" i="4" s="1"/>
  <c r="K517" i="4" s="1"/>
  <c r="H517" i="4"/>
  <c r="G518" i="4"/>
  <c r="I518" i="4" s="1"/>
  <c r="K518" i="4" s="1"/>
  <c r="H518" i="4"/>
  <c r="G519" i="4"/>
  <c r="H519" i="4"/>
  <c r="G520" i="4"/>
  <c r="H520" i="4"/>
  <c r="G521" i="4"/>
  <c r="H521" i="4"/>
  <c r="G522" i="4"/>
  <c r="I522" i="4" s="1"/>
  <c r="K522" i="4" s="1"/>
  <c r="H522" i="4"/>
  <c r="G523" i="4"/>
  <c r="H523" i="4"/>
  <c r="G524" i="4"/>
  <c r="H524" i="4"/>
  <c r="G525" i="4"/>
  <c r="H525" i="4"/>
  <c r="G526" i="4"/>
  <c r="I526" i="4" s="1"/>
  <c r="K526" i="4" s="1"/>
  <c r="H526" i="4"/>
  <c r="G527" i="4"/>
  <c r="H527" i="4"/>
  <c r="G528" i="4"/>
  <c r="H528" i="4"/>
  <c r="G529" i="4"/>
  <c r="H529" i="4"/>
  <c r="G530" i="4"/>
  <c r="I530" i="4" s="1"/>
  <c r="K530" i="4" s="1"/>
  <c r="H530" i="4"/>
  <c r="G531" i="4"/>
  <c r="I531" i="4" s="1"/>
  <c r="K531" i="4" s="1"/>
  <c r="H531" i="4"/>
  <c r="G532" i="4"/>
  <c r="I532" i="4" s="1"/>
  <c r="K532" i="4" s="1"/>
  <c r="H532" i="4"/>
  <c r="G533" i="4"/>
  <c r="H533" i="4"/>
  <c r="G534" i="4"/>
  <c r="I534" i="4" s="1"/>
  <c r="K534" i="4" s="1"/>
  <c r="H534" i="4"/>
  <c r="G535" i="4"/>
  <c r="H535" i="4"/>
  <c r="G536" i="4"/>
  <c r="H536" i="4"/>
  <c r="G537" i="4"/>
  <c r="H537" i="4"/>
  <c r="G538" i="4"/>
  <c r="I538" i="4" s="1"/>
  <c r="K538" i="4" s="1"/>
  <c r="H538" i="4"/>
  <c r="G539" i="4"/>
  <c r="H539" i="4"/>
  <c r="G540" i="4"/>
  <c r="I540" i="4" s="1"/>
  <c r="K540" i="4" s="1"/>
  <c r="H540" i="4"/>
  <c r="G541" i="4"/>
  <c r="I541" i="4" s="1"/>
  <c r="K541" i="4" s="1"/>
  <c r="H541" i="4"/>
  <c r="G542" i="4"/>
  <c r="I542" i="4" s="1"/>
  <c r="K542" i="4" s="1"/>
  <c r="H542" i="4"/>
  <c r="G543" i="4"/>
  <c r="H543" i="4"/>
  <c r="G544" i="4"/>
  <c r="H544" i="4"/>
  <c r="G545" i="4"/>
  <c r="H545" i="4"/>
  <c r="G546" i="4"/>
  <c r="I546" i="4" s="1"/>
  <c r="K546" i="4" s="1"/>
  <c r="H546" i="4"/>
  <c r="G547" i="4"/>
  <c r="H547" i="4"/>
  <c r="G548" i="4"/>
  <c r="H548" i="4"/>
  <c r="G549" i="4"/>
  <c r="H549" i="4"/>
  <c r="G550" i="4"/>
  <c r="I550" i="4" s="1"/>
  <c r="K550" i="4" s="1"/>
  <c r="H550" i="4"/>
  <c r="G551" i="4"/>
  <c r="H551" i="4"/>
  <c r="G552" i="4"/>
  <c r="H552" i="4"/>
  <c r="G553" i="4"/>
  <c r="H553" i="4"/>
  <c r="G554" i="4"/>
  <c r="I554" i="4" s="1"/>
  <c r="K554" i="4" s="1"/>
  <c r="H554" i="4"/>
  <c r="G555" i="4"/>
  <c r="I555" i="4" s="1"/>
  <c r="K555" i="4" s="1"/>
  <c r="H555" i="4"/>
  <c r="G556" i="4"/>
  <c r="I556" i="4" s="1"/>
  <c r="K556" i="4" s="1"/>
  <c r="H556" i="4"/>
  <c r="G557" i="4"/>
  <c r="I557" i="4" s="1"/>
  <c r="K557" i="4" s="1"/>
  <c r="H557" i="4"/>
  <c r="G558" i="4"/>
  <c r="I558" i="4" s="1"/>
  <c r="K558" i="4" s="1"/>
  <c r="H558" i="4"/>
  <c r="G559" i="4"/>
  <c r="H559" i="4"/>
  <c r="G560" i="4"/>
  <c r="H560" i="4"/>
  <c r="G561" i="4"/>
  <c r="H561" i="4"/>
  <c r="G562" i="4"/>
  <c r="I562" i="4" s="1"/>
  <c r="K562" i="4" s="1"/>
  <c r="H562" i="4"/>
  <c r="G563" i="4"/>
  <c r="H563" i="4"/>
  <c r="G564" i="4"/>
  <c r="H564" i="4"/>
  <c r="G565" i="4"/>
  <c r="I565" i="4" s="1"/>
  <c r="K565" i="4" s="1"/>
  <c r="H565" i="4"/>
  <c r="G566" i="4"/>
  <c r="I566" i="4" s="1"/>
  <c r="K566" i="4" s="1"/>
  <c r="H566" i="4"/>
  <c r="G567" i="4"/>
  <c r="H567" i="4"/>
  <c r="G568" i="4"/>
  <c r="H568" i="4"/>
  <c r="G569" i="4"/>
  <c r="H569" i="4"/>
  <c r="G570" i="4"/>
  <c r="I570" i="4" s="1"/>
  <c r="K570" i="4" s="1"/>
  <c r="H570" i="4"/>
  <c r="G571" i="4"/>
  <c r="I571" i="4" s="1"/>
  <c r="K571" i="4" s="1"/>
  <c r="H571" i="4"/>
  <c r="G572" i="4"/>
  <c r="H572" i="4"/>
  <c r="G573" i="4"/>
  <c r="H573" i="4"/>
  <c r="G574" i="4"/>
  <c r="I574" i="4" s="1"/>
  <c r="K574" i="4" s="1"/>
  <c r="H574" i="4"/>
  <c r="G575" i="4"/>
  <c r="H575" i="4"/>
  <c r="G576" i="4"/>
  <c r="H576" i="4"/>
  <c r="G577" i="4"/>
  <c r="H577" i="4"/>
  <c r="G578" i="4"/>
  <c r="I578" i="4" s="1"/>
  <c r="K578" i="4" s="1"/>
  <c r="H578" i="4"/>
  <c r="G579" i="4"/>
  <c r="I579" i="4" s="1"/>
  <c r="K579" i="4" s="1"/>
  <c r="H579" i="4"/>
  <c r="G580" i="4"/>
  <c r="I580" i="4" s="1"/>
  <c r="K580" i="4" s="1"/>
  <c r="H580" i="4"/>
  <c r="G581" i="4"/>
  <c r="I581" i="4" s="1"/>
  <c r="K581" i="4" s="1"/>
  <c r="H581" i="4"/>
  <c r="G582" i="4"/>
  <c r="I582" i="4" s="1"/>
  <c r="K582" i="4" s="1"/>
  <c r="H582" i="4"/>
  <c r="G583" i="4"/>
  <c r="H583" i="4"/>
  <c r="G584" i="4"/>
  <c r="H584" i="4"/>
  <c r="G585" i="4"/>
  <c r="H585" i="4"/>
  <c r="G586" i="4"/>
  <c r="I586" i="4" s="1"/>
  <c r="K586" i="4" s="1"/>
  <c r="H586" i="4"/>
  <c r="G587" i="4"/>
  <c r="H587" i="4"/>
  <c r="G588" i="4"/>
  <c r="H588" i="4"/>
  <c r="G589" i="4"/>
  <c r="H589" i="4"/>
  <c r="G590" i="4"/>
  <c r="I590" i="4" s="1"/>
  <c r="K590" i="4" s="1"/>
  <c r="H590" i="4"/>
  <c r="G591" i="4"/>
  <c r="H591" i="4"/>
  <c r="G592" i="4"/>
  <c r="H592" i="4"/>
  <c r="G593" i="4"/>
  <c r="H593" i="4"/>
  <c r="G594" i="4"/>
  <c r="I594" i="4" s="1"/>
  <c r="K594" i="4" s="1"/>
  <c r="H594" i="4"/>
  <c r="G595" i="4"/>
  <c r="I595" i="4" s="1"/>
  <c r="K595" i="4" s="1"/>
  <c r="H595" i="4"/>
  <c r="G596" i="4"/>
  <c r="I596" i="4" s="1"/>
  <c r="K596" i="4" s="1"/>
  <c r="H596" i="4"/>
  <c r="G597" i="4"/>
  <c r="H597" i="4"/>
  <c r="G598" i="4"/>
  <c r="I598" i="4" s="1"/>
  <c r="K598" i="4" s="1"/>
  <c r="H598" i="4"/>
  <c r="G599" i="4"/>
  <c r="H599" i="4"/>
  <c r="G600" i="4"/>
  <c r="H600" i="4"/>
  <c r="G601" i="4"/>
  <c r="H601" i="4"/>
  <c r="G602" i="4"/>
  <c r="I602" i="4" s="1"/>
  <c r="K602" i="4" s="1"/>
  <c r="H602" i="4"/>
  <c r="G603" i="4"/>
  <c r="H603" i="4"/>
  <c r="G604" i="4"/>
  <c r="I604" i="4" s="1"/>
  <c r="K604" i="4" s="1"/>
  <c r="H604" i="4"/>
  <c r="G605" i="4"/>
  <c r="I605" i="4" s="1"/>
  <c r="K605" i="4" s="1"/>
  <c r="H605" i="4"/>
  <c r="G606" i="4"/>
  <c r="I606" i="4" s="1"/>
  <c r="K606" i="4" s="1"/>
  <c r="H606" i="4"/>
  <c r="G607" i="4"/>
  <c r="H607" i="4"/>
  <c r="G608" i="4"/>
  <c r="H608" i="4"/>
  <c r="G609" i="4"/>
  <c r="H609" i="4"/>
  <c r="G610" i="4"/>
  <c r="I610" i="4" s="1"/>
  <c r="K610" i="4" s="1"/>
  <c r="H610" i="4"/>
  <c r="G611" i="4"/>
  <c r="H611" i="4"/>
  <c r="G612" i="4"/>
  <c r="H612" i="4"/>
  <c r="G613" i="4"/>
  <c r="H613" i="4"/>
  <c r="G614" i="4"/>
  <c r="I614" i="4" s="1"/>
  <c r="K614" i="4" s="1"/>
  <c r="H614" i="4"/>
  <c r="G615" i="4"/>
  <c r="H615" i="4"/>
  <c r="G616" i="4"/>
  <c r="H616" i="4"/>
  <c r="G617" i="4"/>
  <c r="H617" i="4"/>
  <c r="G618" i="4"/>
  <c r="I618" i="4" s="1"/>
  <c r="K618" i="4" s="1"/>
  <c r="H618" i="4"/>
  <c r="G619" i="4"/>
  <c r="I619" i="4" s="1"/>
  <c r="K619" i="4" s="1"/>
  <c r="H619" i="4"/>
  <c r="G620" i="4"/>
  <c r="I620" i="4" s="1"/>
  <c r="K620" i="4" s="1"/>
  <c r="H620" i="4"/>
  <c r="G621" i="4"/>
  <c r="I621" i="4" s="1"/>
  <c r="K621" i="4" s="1"/>
  <c r="H621" i="4"/>
  <c r="G622" i="4"/>
  <c r="I622" i="4" s="1"/>
  <c r="K622" i="4" s="1"/>
  <c r="H622" i="4"/>
  <c r="G623" i="4"/>
  <c r="H623" i="4"/>
  <c r="G624" i="4"/>
  <c r="H624" i="4"/>
  <c r="G625" i="4"/>
  <c r="H625" i="4"/>
  <c r="G626" i="4"/>
  <c r="I626" i="4" s="1"/>
  <c r="K626" i="4" s="1"/>
  <c r="H626" i="4"/>
  <c r="G627" i="4"/>
  <c r="H627" i="4"/>
  <c r="G628" i="4"/>
  <c r="H628" i="4"/>
  <c r="G629" i="4"/>
  <c r="I629" i="4" s="1"/>
  <c r="K629" i="4" s="1"/>
  <c r="H629" i="4"/>
  <c r="G630" i="4"/>
  <c r="I630" i="4" s="1"/>
  <c r="K630" i="4" s="1"/>
  <c r="H630" i="4"/>
  <c r="G631" i="4"/>
  <c r="H631" i="4"/>
  <c r="G632" i="4"/>
  <c r="H632" i="4"/>
  <c r="G633" i="4"/>
  <c r="H633" i="4"/>
  <c r="G634" i="4"/>
  <c r="I634" i="4" s="1"/>
  <c r="K634" i="4" s="1"/>
  <c r="H634" i="4"/>
  <c r="G635" i="4"/>
  <c r="H635" i="4"/>
  <c r="G636" i="4"/>
  <c r="H636" i="4"/>
  <c r="G637" i="4"/>
  <c r="H637" i="4"/>
  <c r="G638" i="4"/>
  <c r="I638" i="4" s="1"/>
  <c r="K638" i="4" s="1"/>
  <c r="H638" i="4"/>
  <c r="G639" i="4"/>
  <c r="H639" i="4"/>
  <c r="G640" i="4"/>
  <c r="H640" i="4"/>
  <c r="G641" i="4"/>
  <c r="H641" i="4"/>
  <c r="G642" i="4"/>
  <c r="I642" i="4" s="1"/>
  <c r="K642" i="4" s="1"/>
  <c r="H642" i="4"/>
  <c r="G643" i="4"/>
  <c r="I643" i="4" s="1"/>
  <c r="K643" i="4" s="1"/>
  <c r="H643" i="4"/>
  <c r="G644" i="4"/>
  <c r="I644" i="4" s="1"/>
  <c r="K644" i="4" s="1"/>
  <c r="H644" i="4"/>
  <c r="G645" i="4"/>
  <c r="I645" i="4" s="1"/>
  <c r="K645" i="4" s="1"/>
  <c r="H645" i="4"/>
  <c r="G646" i="4"/>
  <c r="I646" i="4" s="1"/>
  <c r="K646" i="4" s="1"/>
  <c r="H646" i="4"/>
  <c r="G647" i="4"/>
  <c r="H647" i="4"/>
  <c r="G648" i="4"/>
  <c r="H648" i="4"/>
  <c r="G649" i="4"/>
  <c r="H649" i="4"/>
  <c r="G650" i="4"/>
  <c r="I650" i="4" s="1"/>
  <c r="K650" i="4" s="1"/>
  <c r="H650" i="4"/>
  <c r="G651" i="4"/>
  <c r="H651" i="4"/>
  <c r="G652" i="4"/>
  <c r="H652" i="4"/>
  <c r="G653" i="4"/>
  <c r="H653" i="4"/>
  <c r="G654" i="4"/>
  <c r="I654" i="4" s="1"/>
  <c r="K654" i="4" s="1"/>
  <c r="H654" i="4"/>
  <c r="G655" i="4"/>
  <c r="H655" i="4"/>
  <c r="G656" i="4"/>
  <c r="H656" i="4"/>
  <c r="G657" i="4"/>
  <c r="H657" i="4"/>
  <c r="G658" i="4"/>
  <c r="I658" i="4" s="1"/>
  <c r="K658" i="4" s="1"/>
  <c r="H658" i="4"/>
  <c r="G659" i="4"/>
  <c r="I659" i="4" s="1"/>
  <c r="K659" i="4" s="1"/>
  <c r="H659" i="4"/>
  <c r="G660" i="4"/>
  <c r="I660" i="4" s="1"/>
  <c r="K660" i="4" s="1"/>
  <c r="H660" i="4"/>
  <c r="G661" i="4"/>
  <c r="H661" i="4"/>
  <c r="G662" i="4"/>
  <c r="I662" i="4" s="1"/>
  <c r="K662" i="4" s="1"/>
  <c r="H662" i="4"/>
  <c r="G663" i="4"/>
  <c r="H663" i="4"/>
  <c r="G664" i="4"/>
  <c r="H664" i="4"/>
  <c r="G665" i="4"/>
  <c r="H665" i="4"/>
  <c r="G666" i="4"/>
  <c r="I666" i="4" s="1"/>
  <c r="K666" i="4" s="1"/>
  <c r="H666" i="4"/>
  <c r="G667" i="4"/>
  <c r="H667" i="4"/>
  <c r="G668" i="4"/>
  <c r="I668" i="4" s="1"/>
  <c r="K668" i="4" s="1"/>
  <c r="H668" i="4"/>
  <c r="G669" i="4"/>
  <c r="I669" i="4" s="1"/>
  <c r="K669" i="4" s="1"/>
  <c r="H669" i="4"/>
  <c r="G670" i="4"/>
  <c r="I670" i="4" s="1"/>
  <c r="K670" i="4" s="1"/>
  <c r="H670" i="4"/>
  <c r="G671" i="4"/>
  <c r="H671" i="4"/>
  <c r="G672" i="4"/>
  <c r="H672" i="4"/>
  <c r="G673" i="4"/>
  <c r="H673" i="4"/>
  <c r="G674" i="4"/>
  <c r="I674" i="4" s="1"/>
  <c r="K674" i="4" s="1"/>
  <c r="H674" i="4"/>
  <c r="G675" i="4"/>
  <c r="H675" i="4"/>
  <c r="G676" i="4"/>
  <c r="H676" i="4"/>
  <c r="G677" i="4"/>
  <c r="H677" i="4"/>
  <c r="G678" i="4"/>
  <c r="I678" i="4" s="1"/>
  <c r="K678" i="4" s="1"/>
  <c r="H678" i="4"/>
  <c r="G679" i="4"/>
  <c r="H679" i="4"/>
  <c r="G680" i="4"/>
  <c r="H680" i="4"/>
  <c r="G681" i="4"/>
  <c r="H681" i="4"/>
  <c r="G682" i="4"/>
  <c r="I682" i="4" s="1"/>
  <c r="K682" i="4" s="1"/>
  <c r="H682" i="4"/>
  <c r="G683" i="4"/>
  <c r="H683" i="4"/>
  <c r="G684" i="4"/>
  <c r="I684" i="4" s="1"/>
  <c r="K684" i="4" s="1"/>
  <c r="H684" i="4"/>
  <c r="G685" i="4"/>
  <c r="I685" i="4" s="1"/>
  <c r="K685" i="4" s="1"/>
  <c r="H685" i="4"/>
  <c r="G686" i="4"/>
  <c r="I686" i="4" s="1"/>
  <c r="K686" i="4" s="1"/>
  <c r="H686" i="4"/>
  <c r="G687" i="4"/>
  <c r="H687" i="4"/>
  <c r="G688" i="4"/>
  <c r="H688" i="4"/>
  <c r="G689" i="4"/>
  <c r="H689" i="4"/>
  <c r="G690" i="4"/>
  <c r="I690" i="4" s="1"/>
  <c r="K690" i="4" s="1"/>
  <c r="H690" i="4"/>
  <c r="G691" i="4"/>
  <c r="I691" i="4" s="1"/>
  <c r="K691" i="4" s="1"/>
  <c r="H691" i="4"/>
  <c r="G692" i="4"/>
  <c r="I692" i="4" s="1"/>
  <c r="K692" i="4" s="1"/>
  <c r="H692" i="4"/>
  <c r="G693" i="4"/>
  <c r="I693" i="4" s="1"/>
  <c r="K693" i="4" s="1"/>
  <c r="H693" i="4"/>
  <c r="G694" i="4"/>
  <c r="I694" i="4" s="1"/>
  <c r="K694" i="4" s="1"/>
  <c r="H694" i="4"/>
  <c r="G695" i="4"/>
  <c r="H695" i="4"/>
  <c r="G696" i="4"/>
  <c r="H696" i="4"/>
  <c r="G697" i="4"/>
  <c r="H697" i="4"/>
  <c r="G698" i="4"/>
  <c r="I698" i="4" s="1"/>
  <c r="K698" i="4" s="1"/>
  <c r="H698" i="4"/>
  <c r="G699" i="4"/>
  <c r="I699" i="4" s="1"/>
  <c r="K699" i="4" s="1"/>
  <c r="H699" i="4"/>
  <c r="G700" i="4"/>
  <c r="H700" i="4"/>
  <c r="G701" i="4"/>
  <c r="I701" i="4" s="1"/>
  <c r="K701" i="4" s="1"/>
  <c r="H701" i="4"/>
  <c r="G702" i="4"/>
  <c r="I702" i="4" s="1"/>
  <c r="K702" i="4" s="1"/>
  <c r="H702" i="4"/>
  <c r="G703" i="4"/>
  <c r="H703" i="4"/>
  <c r="G704" i="4"/>
  <c r="H704" i="4"/>
  <c r="G705" i="4"/>
  <c r="H705" i="4"/>
  <c r="G706" i="4"/>
  <c r="I706" i="4" s="1"/>
  <c r="K706" i="4" s="1"/>
  <c r="H706" i="4"/>
  <c r="G707" i="4"/>
  <c r="I707" i="4" s="1"/>
  <c r="K707" i="4" s="1"/>
  <c r="H707" i="4"/>
  <c r="G708" i="4"/>
  <c r="I708" i="4" s="1"/>
  <c r="K708" i="4" s="1"/>
  <c r="H708" i="4"/>
  <c r="G709" i="4"/>
  <c r="I709" i="4" s="1"/>
  <c r="K709" i="4" s="1"/>
  <c r="H709" i="4"/>
  <c r="G710" i="4"/>
  <c r="I710" i="4" s="1"/>
  <c r="K710" i="4" s="1"/>
  <c r="H710" i="4"/>
  <c r="G711" i="4"/>
  <c r="H711" i="4"/>
  <c r="G712" i="4"/>
  <c r="H712" i="4"/>
  <c r="G713" i="4"/>
  <c r="H713" i="4"/>
  <c r="G714" i="4"/>
  <c r="I714" i="4" s="1"/>
  <c r="K714" i="4" s="1"/>
  <c r="H714" i="4"/>
  <c r="G715" i="4"/>
  <c r="H715" i="4"/>
  <c r="G716" i="4"/>
  <c r="I716" i="4" s="1"/>
  <c r="K716" i="4" s="1"/>
  <c r="H716" i="4"/>
  <c r="G717" i="4"/>
  <c r="I717" i="4" s="1"/>
  <c r="K717" i="4" s="1"/>
  <c r="H717" i="4"/>
  <c r="G718" i="4"/>
  <c r="I718" i="4" s="1"/>
  <c r="K718" i="4" s="1"/>
  <c r="H718" i="4"/>
  <c r="G719" i="4"/>
  <c r="H719" i="4"/>
  <c r="G720" i="4"/>
  <c r="H720" i="4"/>
  <c r="G721" i="4"/>
  <c r="H721" i="4"/>
  <c r="G722" i="4"/>
  <c r="I722" i="4" s="1"/>
  <c r="K722" i="4" s="1"/>
  <c r="H722" i="4"/>
  <c r="G723" i="4"/>
  <c r="I723" i="4" s="1"/>
  <c r="K723" i="4" s="1"/>
  <c r="H723" i="4"/>
  <c r="G724" i="4"/>
  <c r="I724" i="4" s="1"/>
  <c r="K724" i="4" s="1"/>
  <c r="H724" i="4"/>
  <c r="G725" i="4"/>
  <c r="I725" i="4" s="1"/>
  <c r="K725" i="4" s="1"/>
  <c r="H725" i="4"/>
  <c r="G726" i="4"/>
  <c r="I726" i="4" s="1"/>
  <c r="K726" i="4" s="1"/>
  <c r="H726" i="4"/>
  <c r="G727" i="4"/>
  <c r="H727" i="4"/>
  <c r="G728" i="4"/>
  <c r="H728" i="4"/>
  <c r="G729" i="4"/>
  <c r="H729" i="4"/>
  <c r="G730" i="4"/>
  <c r="I730" i="4" s="1"/>
  <c r="K730" i="4" s="1"/>
  <c r="H730" i="4"/>
  <c r="G731" i="4"/>
  <c r="I731" i="4" s="1"/>
  <c r="K731" i="4" s="1"/>
  <c r="H731" i="4"/>
  <c r="G732" i="4"/>
  <c r="H732" i="4"/>
  <c r="G733" i="4"/>
  <c r="I733" i="4" s="1"/>
  <c r="K733" i="4" s="1"/>
  <c r="H733" i="4"/>
  <c r="G734" i="4"/>
  <c r="I734" i="4" s="1"/>
  <c r="K734" i="4" s="1"/>
  <c r="H734" i="4"/>
  <c r="G735" i="4"/>
  <c r="H735" i="4"/>
  <c r="G736" i="4"/>
  <c r="H736" i="4"/>
  <c r="G737" i="4"/>
  <c r="H737" i="4"/>
  <c r="G738" i="4"/>
  <c r="I738" i="4" s="1"/>
  <c r="K738" i="4" s="1"/>
  <c r="H738" i="4"/>
  <c r="G739" i="4"/>
  <c r="I739" i="4" s="1"/>
  <c r="K739" i="4" s="1"/>
  <c r="H739" i="4"/>
  <c r="G740" i="4"/>
  <c r="I740" i="4" s="1"/>
  <c r="K740" i="4" s="1"/>
  <c r="H740" i="4"/>
  <c r="G741" i="4"/>
  <c r="I741" i="4" s="1"/>
  <c r="K741" i="4" s="1"/>
  <c r="H741" i="4"/>
  <c r="G742" i="4"/>
  <c r="I742" i="4" s="1"/>
  <c r="K742" i="4" s="1"/>
  <c r="H742" i="4"/>
  <c r="G743" i="4"/>
  <c r="H743" i="4"/>
  <c r="G744" i="4"/>
  <c r="H744" i="4"/>
  <c r="G745" i="4"/>
  <c r="H745" i="4"/>
  <c r="G746" i="4"/>
  <c r="I746" i="4" s="1"/>
  <c r="K746" i="4" s="1"/>
  <c r="H746" i="4"/>
  <c r="G747" i="4"/>
  <c r="H747" i="4"/>
  <c r="G748" i="4"/>
  <c r="I748" i="4" s="1"/>
  <c r="K748" i="4" s="1"/>
  <c r="H748" i="4"/>
  <c r="G749" i="4"/>
  <c r="I749" i="4" s="1"/>
  <c r="K749" i="4" s="1"/>
  <c r="H749" i="4"/>
  <c r="G750" i="4"/>
  <c r="I750" i="4" s="1"/>
  <c r="K750" i="4" s="1"/>
  <c r="H750" i="4"/>
  <c r="G751" i="4"/>
  <c r="H751" i="4"/>
  <c r="G752" i="4"/>
  <c r="H752" i="4"/>
  <c r="G753" i="4"/>
  <c r="H753" i="4"/>
  <c r="G754" i="4"/>
  <c r="I754" i="4" s="1"/>
  <c r="K754" i="4" s="1"/>
  <c r="H754" i="4"/>
  <c r="G755" i="4"/>
  <c r="I755" i="4" s="1"/>
  <c r="K755" i="4" s="1"/>
  <c r="H755" i="4"/>
  <c r="G756" i="4"/>
  <c r="I756" i="4" s="1"/>
  <c r="K756" i="4" s="1"/>
  <c r="H756" i="4"/>
  <c r="G757" i="4"/>
  <c r="I757" i="4" s="1"/>
  <c r="K757" i="4" s="1"/>
  <c r="H757" i="4"/>
  <c r="G758" i="4"/>
  <c r="I758" i="4" s="1"/>
  <c r="K758" i="4" s="1"/>
  <c r="H758" i="4"/>
  <c r="G759" i="4"/>
  <c r="H759" i="4"/>
  <c r="G760" i="4"/>
  <c r="H760" i="4"/>
  <c r="G761" i="4"/>
  <c r="H761" i="4"/>
  <c r="G762" i="4"/>
  <c r="I762" i="4" s="1"/>
  <c r="K762" i="4" s="1"/>
  <c r="H762" i="4"/>
  <c r="G763" i="4"/>
  <c r="I763" i="4" s="1"/>
  <c r="K763" i="4" s="1"/>
  <c r="H763" i="4"/>
  <c r="G764" i="4"/>
  <c r="H764" i="4"/>
  <c r="G765" i="4"/>
  <c r="I765" i="4" s="1"/>
  <c r="K765" i="4" s="1"/>
  <c r="H765" i="4"/>
  <c r="G766" i="4"/>
  <c r="I766" i="4" s="1"/>
  <c r="K766" i="4" s="1"/>
  <c r="H766" i="4"/>
  <c r="G767" i="4"/>
  <c r="H767" i="4"/>
  <c r="G768" i="4"/>
  <c r="H768" i="4"/>
  <c r="G769" i="4"/>
  <c r="H769" i="4"/>
  <c r="G770" i="4"/>
  <c r="I770" i="4" s="1"/>
  <c r="K770" i="4" s="1"/>
  <c r="H770" i="4"/>
  <c r="G771" i="4"/>
  <c r="I771" i="4" s="1"/>
  <c r="K771" i="4" s="1"/>
  <c r="H771" i="4"/>
  <c r="G772" i="4"/>
  <c r="I772" i="4" s="1"/>
  <c r="K772" i="4" s="1"/>
  <c r="H772" i="4"/>
  <c r="G773" i="4"/>
  <c r="I773" i="4" s="1"/>
  <c r="K773" i="4" s="1"/>
  <c r="H773" i="4"/>
  <c r="G774" i="4"/>
  <c r="I774" i="4" s="1"/>
  <c r="K774" i="4" s="1"/>
  <c r="H774" i="4"/>
  <c r="G775" i="4"/>
  <c r="H775" i="4"/>
  <c r="G776" i="4"/>
  <c r="H776" i="4"/>
  <c r="G777" i="4"/>
  <c r="H777" i="4"/>
  <c r="G778" i="4"/>
  <c r="I778" i="4" s="1"/>
  <c r="K778" i="4" s="1"/>
  <c r="H778" i="4"/>
  <c r="G779" i="4"/>
  <c r="H779" i="4"/>
  <c r="G780" i="4"/>
  <c r="I780" i="4" s="1"/>
  <c r="K780" i="4" s="1"/>
  <c r="H780" i="4"/>
  <c r="G781" i="4"/>
  <c r="I781" i="4" s="1"/>
  <c r="K781" i="4" s="1"/>
  <c r="H781" i="4"/>
  <c r="G782" i="4"/>
  <c r="I782" i="4" s="1"/>
  <c r="K782" i="4" s="1"/>
  <c r="H782" i="4"/>
  <c r="G783" i="4"/>
  <c r="H783" i="4"/>
  <c r="G784" i="4"/>
  <c r="H784" i="4"/>
  <c r="G785" i="4"/>
  <c r="H785" i="4"/>
  <c r="G786" i="4"/>
  <c r="I786" i="4" s="1"/>
  <c r="K786" i="4" s="1"/>
  <c r="H786" i="4"/>
  <c r="G787" i="4"/>
  <c r="I787" i="4" s="1"/>
  <c r="K787" i="4" s="1"/>
  <c r="H787" i="4"/>
  <c r="G788" i="4"/>
  <c r="I788" i="4" s="1"/>
  <c r="K788" i="4" s="1"/>
  <c r="H788" i="4"/>
  <c r="G789" i="4"/>
  <c r="I789" i="4" s="1"/>
  <c r="K789" i="4" s="1"/>
  <c r="H789" i="4"/>
  <c r="G790" i="4"/>
  <c r="I790" i="4" s="1"/>
  <c r="K790" i="4" s="1"/>
  <c r="H790" i="4"/>
  <c r="G791" i="4"/>
  <c r="H791" i="4"/>
  <c r="G792" i="4"/>
  <c r="H792" i="4"/>
  <c r="G793" i="4"/>
  <c r="H793" i="4"/>
  <c r="G794" i="4"/>
  <c r="I794" i="4" s="1"/>
  <c r="K794" i="4" s="1"/>
  <c r="H794" i="4"/>
  <c r="G795" i="4"/>
  <c r="I795" i="4" s="1"/>
  <c r="K795" i="4" s="1"/>
  <c r="H795" i="4"/>
  <c r="G796" i="4"/>
  <c r="H796" i="4"/>
  <c r="G797" i="4"/>
  <c r="I797" i="4" s="1"/>
  <c r="K797" i="4" s="1"/>
  <c r="H797" i="4"/>
  <c r="G798" i="4"/>
  <c r="I798" i="4" s="1"/>
  <c r="K798" i="4" s="1"/>
  <c r="H798" i="4"/>
  <c r="G799" i="4"/>
  <c r="H799" i="4"/>
  <c r="G800" i="4"/>
  <c r="H800" i="4"/>
  <c r="G801" i="4"/>
  <c r="H801" i="4"/>
  <c r="G802" i="4"/>
  <c r="I802" i="4" s="1"/>
  <c r="K802" i="4" s="1"/>
  <c r="H802" i="4"/>
  <c r="G803" i="4"/>
  <c r="I803" i="4" s="1"/>
  <c r="K803" i="4" s="1"/>
  <c r="H803" i="4"/>
  <c r="G804" i="4"/>
  <c r="I804" i="4" s="1"/>
  <c r="K804" i="4" s="1"/>
  <c r="H804" i="4"/>
  <c r="G805" i="4"/>
  <c r="I805" i="4" s="1"/>
  <c r="K805" i="4" s="1"/>
  <c r="H805" i="4"/>
  <c r="G806" i="4"/>
  <c r="I806" i="4" s="1"/>
  <c r="K806" i="4" s="1"/>
  <c r="H806" i="4"/>
  <c r="G807" i="4"/>
  <c r="H807" i="4"/>
  <c r="G808" i="4"/>
  <c r="H808" i="4"/>
  <c r="G809" i="4"/>
  <c r="H809" i="4"/>
  <c r="G810" i="4"/>
  <c r="I810" i="4" s="1"/>
  <c r="K810" i="4" s="1"/>
  <c r="H810" i="4"/>
  <c r="G811" i="4"/>
  <c r="H811" i="4"/>
  <c r="G812" i="4"/>
  <c r="I812" i="4" s="1"/>
  <c r="K812" i="4" s="1"/>
  <c r="H812" i="4"/>
  <c r="G813" i="4"/>
  <c r="I813" i="4" s="1"/>
  <c r="K813" i="4" s="1"/>
  <c r="H813" i="4"/>
  <c r="G814" i="4"/>
  <c r="I814" i="4" s="1"/>
  <c r="K814" i="4" s="1"/>
  <c r="H814" i="4"/>
  <c r="G815" i="4"/>
  <c r="H815" i="4"/>
  <c r="G816" i="4"/>
  <c r="H816" i="4"/>
  <c r="G817" i="4"/>
  <c r="H817" i="4"/>
  <c r="G818" i="4"/>
  <c r="I818" i="4" s="1"/>
  <c r="K818" i="4" s="1"/>
  <c r="H818" i="4"/>
  <c r="G819" i="4"/>
  <c r="I819" i="4" s="1"/>
  <c r="K819" i="4" s="1"/>
  <c r="H819" i="4"/>
  <c r="G820" i="4"/>
  <c r="I820" i="4" s="1"/>
  <c r="K820" i="4" s="1"/>
  <c r="H820" i="4"/>
  <c r="G821" i="4"/>
  <c r="I821" i="4" s="1"/>
  <c r="K821" i="4" s="1"/>
  <c r="H821" i="4"/>
  <c r="G822" i="4"/>
  <c r="I822" i="4" s="1"/>
  <c r="K822" i="4" s="1"/>
  <c r="H822" i="4"/>
  <c r="G823" i="4"/>
  <c r="H823" i="4"/>
  <c r="G824" i="4"/>
  <c r="H824" i="4"/>
  <c r="G825" i="4"/>
  <c r="H825" i="4"/>
  <c r="G826" i="4"/>
  <c r="I826" i="4" s="1"/>
  <c r="K826" i="4" s="1"/>
  <c r="H826" i="4"/>
  <c r="G827" i="4"/>
  <c r="I827" i="4" s="1"/>
  <c r="K827" i="4" s="1"/>
  <c r="H827" i="4"/>
  <c r="G828" i="4"/>
  <c r="H828" i="4"/>
  <c r="G829" i="4"/>
  <c r="I829" i="4" s="1"/>
  <c r="K829" i="4" s="1"/>
  <c r="H829" i="4"/>
  <c r="G830" i="4"/>
  <c r="I830" i="4" s="1"/>
  <c r="K830" i="4" s="1"/>
  <c r="H830" i="4"/>
  <c r="G831" i="4"/>
  <c r="H831" i="4"/>
  <c r="G832" i="4"/>
  <c r="H832" i="4"/>
  <c r="G833" i="4"/>
  <c r="H833" i="4"/>
  <c r="G834" i="4"/>
  <c r="I834" i="4" s="1"/>
  <c r="K834" i="4" s="1"/>
  <c r="H834" i="4"/>
  <c r="G835" i="4"/>
  <c r="I835" i="4" s="1"/>
  <c r="K835" i="4" s="1"/>
  <c r="H835" i="4"/>
  <c r="G836" i="4"/>
  <c r="I836" i="4" s="1"/>
  <c r="K836" i="4" s="1"/>
  <c r="H836" i="4"/>
  <c r="G837" i="4"/>
  <c r="I837" i="4" s="1"/>
  <c r="K837" i="4" s="1"/>
  <c r="H837" i="4"/>
  <c r="G838" i="4"/>
  <c r="I838" i="4" s="1"/>
  <c r="K838" i="4" s="1"/>
  <c r="H838" i="4"/>
  <c r="G839" i="4"/>
  <c r="H839" i="4"/>
  <c r="G840" i="4"/>
  <c r="H840" i="4"/>
  <c r="G841" i="4"/>
  <c r="H841" i="4"/>
  <c r="G842" i="4"/>
  <c r="I842" i="4" s="1"/>
  <c r="K842" i="4" s="1"/>
  <c r="H842" i="4"/>
  <c r="G843" i="4"/>
  <c r="H843" i="4"/>
  <c r="G844" i="4"/>
  <c r="I844" i="4" s="1"/>
  <c r="K844" i="4" s="1"/>
  <c r="H844" i="4"/>
  <c r="G845" i="4"/>
  <c r="I845" i="4" s="1"/>
  <c r="K845" i="4" s="1"/>
  <c r="H845" i="4"/>
  <c r="G846" i="4"/>
  <c r="I846" i="4" s="1"/>
  <c r="K846" i="4" s="1"/>
  <c r="H846" i="4"/>
  <c r="G847" i="4"/>
  <c r="H847" i="4"/>
  <c r="G848" i="4"/>
  <c r="H848" i="4"/>
  <c r="G849" i="4"/>
  <c r="H849" i="4"/>
  <c r="G850" i="4"/>
  <c r="I850" i="4" s="1"/>
  <c r="K850" i="4" s="1"/>
  <c r="H850" i="4"/>
  <c r="G851" i="4"/>
  <c r="I851" i="4" s="1"/>
  <c r="K851" i="4" s="1"/>
  <c r="H851" i="4"/>
  <c r="G852" i="4"/>
  <c r="I852" i="4" s="1"/>
  <c r="K852" i="4" s="1"/>
  <c r="H852" i="4"/>
  <c r="G853" i="4"/>
  <c r="I853" i="4" s="1"/>
  <c r="K853" i="4" s="1"/>
  <c r="H853" i="4"/>
  <c r="G854" i="4"/>
  <c r="I854" i="4" s="1"/>
  <c r="K854" i="4" s="1"/>
  <c r="H854" i="4"/>
  <c r="G855" i="4"/>
  <c r="H855" i="4"/>
  <c r="G856" i="4"/>
  <c r="H856" i="4"/>
  <c r="G857" i="4"/>
  <c r="H857" i="4"/>
  <c r="G858" i="4"/>
  <c r="I858" i="4" s="1"/>
  <c r="K858" i="4" s="1"/>
  <c r="H858" i="4"/>
  <c r="G859" i="4"/>
  <c r="I859" i="4" s="1"/>
  <c r="K859" i="4" s="1"/>
  <c r="H859" i="4"/>
  <c r="G860" i="4"/>
  <c r="H860" i="4"/>
  <c r="G861" i="4"/>
  <c r="I861" i="4" s="1"/>
  <c r="K861" i="4" s="1"/>
  <c r="H861" i="4"/>
  <c r="G862" i="4"/>
  <c r="I862" i="4" s="1"/>
  <c r="K862" i="4" s="1"/>
  <c r="H862" i="4"/>
  <c r="G863" i="4"/>
  <c r="H863" i="4"/>
  <c r="G864" i="4"/>
  <c r="H864" i="4"/>
  <c r="G865" i="4"/>
  <c r="H865" i="4"/>
  <c r="G866" i="4"/>
  <c r="I866" i="4" s="1"/>
  <c r="K866" i="4" s="1"/>
  <c r="H866" i="4"/>
  <c r="G867" i="4"/>
  <c r="I867" i="4" s="1"/>
  <c r="K867" i="4" s="1"/>
  <c r="H867" i="4"/>
  <c r="G868" i="4"/>
  <c r="I868" i="4" s="1"/>
  <c r="K868" i="4" s="1"/>
  <c r="H868" i="4"/>
  <c r="G869" i="4"/>
  <c r="I869" i="4" s="1"/>
  <c r="K869" i="4" s="1"/>
  <c r="H869" i="4"/>
  <c r="G870" i="4"/>
  <c r="I870" i="4" s="1"/>
  <c r="K870" i="4" s="1"/>
  <c r="H870" i="4"/>
  <c r="G871" i="4"/>
  <c r="H871" i="4"/>
  <c r="G872" i="4"/>
  <c r="H872" i="4"/>
  <c r="G873" i="4"/>
  <c r="H873" i="4"/>
  <c r="G874" i="4"/>
  <c r="I874" i="4" s="1"/>
  <c r="K874" i="4" s="1"/>
  <c r="H874" i="4"/>
  <c r="G875" i="4"/>
  <c r="H875" i="4"/>
  <c r="G876" i="4"/>
  <c r="I876" i="4" s="1"/>
  <c r="K876" i="4" s="1"/>
  <c r="H876" i="4"/>
  <c r="G877" i="4"/>
  <c r="I877" i="4" s="1"/>
  <c r="K877" i="4" s="1"/>
  <c r="H877" i="4"/>
  <c r="G878" i="4"/>
  <c r="I878" i="4" s="1"/>
  <c r="K878" i="4" s="1"/>
  <c r="H878" i="4"/>
  <c r="G879" i="4"/>
  <c r="H879" i="4"/>
  <c r="G880" i="4"/>
  <c r="H880" i="4"/>
  <c r="G881" i="4"/>
  <c r="H881" i="4"/>
  <c r="G882" i="4"/>
  <c r="I882" i="4" s="1"/>
  <c r="K882" i="4" s="1"/>
  <c r="H882" i="4"/>
  <c r="G883" i="4"/>
  <c r="I883" i="4" s="1"/>
  <c r="K883" i="4" s="1"/>
  <c r="H883" i="4"/>
  <c r="G884" i="4"/>
  <c r="I884" i="4" s="1"/>
  <c r="K884" i="4" s="1"/>
  <c r="H884" i="4"/>
  <c r="G885" i="4"/>
  <c r="I885" i="4" s="1"/>
  <c r="K885" i="4" s="1"/>
  <c r="H885" i="4"/>
  <c r="G886" i="4"/>
  <c r="I886" i="4" s="1"/>
  <c r="K886" i="4" s="1"/>
  <c r="H886" i="4"/>
  <c r="G887" i="4"/>
  <c r="H887" i="4"/>
  <c r="G888" i="4"/>
  <c r="H888" i="4"/>
  <c r="G889" i="4"/>
  <c r="H889" i="4"/>
  <c r="G890" i="4"/>
  <c r="I890" i="4" s="1"/>
  <c r="K890" i="4" s="1"/>
  <c r="H890" i="4"/>
  <c r="G891" i="4"/>
  <c r="I891" i="4" s="1"/>
  <c r="K891" i="4" s="1"/>
  <c r="H891" i="4"/>
  <c r="G892" i="4"/>
  <c r="H892" i="4"/>
  <c r="G893" i="4"/>
  <c r="I893" i="4" s="1"/>
  <c r="K893" i="4" s="1"/>
  <c r="H893" i="4"/>
  <c r="G894" i="4"/>
  <c r="I894" i="4" s="1"/>
  <c r="K894" i="4" s="1"/>
  <c r="H894" i="4"/>
  <c r="G895" i="4"/>
  <c r="H895" i="4"/>
  <c r="G896" i="4"/>
  <c r="H896" i="4"/>
  <c r="G897" i="4"/>
  <c r="H897" i="4"/>
  <c r="G898" i="4"/>
  <c r="I898" i="4" s="1"/>
  <c r="K898" i="4" s="1"/>
  <c r="H898" i="4"/>
  <c r="G899" i="4"/>
  <c r="I899" i="4" s="1"/>
  <c r="K899" i="4" s="1"/>
  <c r="H899" i="4"/>
  <c r="G900" i="4"/>
  <c r="I900" i="4" s="1"/>
  <c r="K900" i="4" s="1"/>
  <c r="H900" i="4"/>
  <c r="G901" i="4"/>
  <c r="I901" i="4" s="1"/>
  <c r="K901" i="4" s="1"/>
  <c r="H901" i="4"/>
  <c r="G902" i="4"/>
  <c r="I902" i="4" s="1"/>
  <c r="K902" i="4" s="1"/>
  <c r="H902" i="4"/>
  <c r="G903" i="4"/>
  <c r="H903" i="4"/>
  <c r="G904" i="4"/>
  <c r="H904" i="4"/>
  <c r="G905" i="4"/>
  <c r="H905" i="4"/>
  <c r="G906" i="4"/>
  <c r="I906" i="4" s="1"/>
  <c r="K906" i="4" s="1"/>
  <c r="H906" i="4"/>
  <c r="G907" i="4"/>
  <c r="H907" i="4"/>
  <c r="G908" i="4"/>
  <c r="I908" i="4" s="1"/>
  <c r="K908" i="4" s="1"/>
  <c r="H908" i="4"/>
  <c r="G909" i="4"/>
  <c r="I909" i="4" s="1"/>
  <c r="K909" i="4" s="1"/>
  <c r="H909" i="4"/>
  <c r="G910" i="4"/>
  <c r="I910" i="4" s="1"/>
  <c r="K910" i="4" s="1"/>
  <c r="H910" i="4"/>
  <c r="G911" i="4"/>
  <c r="H911" i="4"/>
  <c r="G912" i="4"/>
  <c r="H912" i="4"/>
  <c r="G913" i="4"/>
  <c r="H913" i="4"/>
  <c r="G914" i="4"/>
  <c r="I914" i="4" s="1"/>
  <c r="K914" i="4" s="1"/>
  <c r="H914" i="4"/>
  <c r="G915" i="4"/>
  <c r="I915" i="4" s="1"/>
  <c r="K915" i="4" s="1"/>
  <c r="H915" i="4"/>
  <c r="G916" i="4"/>
  <c r="I916" i="4" s="1"/>
  <c r="K916" i="4" s="1"/>
  <c r="H916" i="4"/>
  <c r="G917" i="4"/>
  <c r="I917" i="4" s="1"/>
  <c r="K917" i="4" s="1"/>
  <c r="H917" i="4"/>
  <c r="G918" i="4"/>
  <c r="I918" i="4" s="1"/>
  <c r="K918" i="4" s="1"/>
  <c r="H918" i="4"/>
  <c r="G919" i="4"/>
  <c r="H919" i="4"/>
  <c r="G920" i="4"/>
  <c r="H920" i="4"/>
  <c r="G921" i="4"/>
  <c r="H921" i="4"/>
  <c r="G922" i="4"/>
  <c r="I922" i="4" s="1"/>
  <c r="K922" i="4" s="1"/>
  <c r="H922" i="4"/>
  <c r="G923" i="4"/>
  <c r="I923" i="4" s="1"/>
  <c r="K923" i="4" s="1"/>
  <c r="H923" i="4"/>
  <c r="G924" i="4"/>
  <c r="H924" i="4"/>
  <c r="G925" i="4"/>
  <c r="I925" i="4" s="1"/>
  <c r="K925" i="4" s="1"/>
  <c r="H925" i="4"/>
  <c r="G926" i="4"/>
  <c r="I926" i="4" s="1"/>
  <c r="K926" i="4" s="1"/>
  <c r="H926" i="4"/>
  <c r="G927" i="4"/>
  <c r="H927" i="4"/>
  <c r="G928" i="4"/>
  <c r="H928" i="4"/>
  <c r="G929" i="4"/>
  <c r="H929" i="4"/>
  <c r="G930" i="4"/>
  <c r="I930" i="4" s="1"/>
  <c r="K930" i="4" s="1"/>
  <c r="H930" i="4"/>
  <c r="G931" i="4"/>
  <c r="I931" i="4" s="1"/>
  <c r="K931" i="4" s="1"/>
  <c r="H931" i="4"/>
  <c r="G932" i="4"/>
  <c r="I932" i="4" s="1"/>
  <c r="K932" i="4" s="1"/>
  <c r="H932" i="4"/>
  <c r="G933" i="4"/>
  <c r="I933" i="4" s="1"/>
  <c r="K933" i="4" s="1"/>
  <c r="H933" i="4"/>
  <c r="G934" i="4"/>
  <c r="I934" i="4" s="1"/>
  <c r="K934" i="4" s="1"/>
  <c r="H934" i="4"/>
  <c r="G935" i="4"/>
  <c r="H935" i="4"/>
  <c r="G936" i="4"/>
  <c r="H936" i="4"/>
  <c r="G937" i="4"/>
  <c r="H937" i="4"/>
  <c r="G938" i="4"/>
  <c r="I938" i="4" s="1"/>
  <c r="K938" i="4" s="1"/>
  <c r="H938" i="4"/>
  <c r="G939" i="4"/>
  <c r="H939" i="4"/>
  <c r="G940" i="4"/>
  <c r="I940" i="4" s="1"/>
  <c r="K940" i="4" s="1"/>
  <c r="H940" i="4"/>
  <c r="G941" i="4"/>
  <c r="I941" i="4" s="1"/>
  <c r="K941" i="4" s="1"/>
  <c r="H941" i="4"/>
  <c r="G942" i="4"/>
  <c r="I942" i="4" s="1"/>
  <c r="K942" i="4" s="1"/>
  <c r="H942" i="4"/>
  <c r="G943" i="4"/>
  <c r="H943" i="4"/>
  <c r="G944" i="4"/>
  <c r="H944" i="4"/>
  <c r="G945" i="4"/>
  <c r="H945" i="4"/>
  <c r="G946" i="4"/>
  <c r="I946" i="4" s="1"/>
  <c r="K946" i="4" s="1"/>
  <c r="H946" i="4"/>
  <c r="G947" i="4"/>
  <c r="I947" i="4" s="1"/>
  <c r="K947" i="4" s="1"/>
  <c r="H947" i="4"/>
  <c r="G948" i="4"/>
  <c r="I948" i="4" s="1"/>
  <c r="K948" i="4" s="1"/>
  <c r="H948" i="4"/>
  <c r="G949" i="4"/>
  <c r="I949" i="4" s="1"/>
  <c r="K949" i="4" s="1"/>
  <c r="H949" i="4"/>
  <c r="G950" i="4"/>
  <c r="I950" i="4" s="1"/>
  <c r="K950" i="4" s="1"/>
  <c r="H950" i="4"/>
  <c r="G951" i="4"/>
  <c r="H951" i="4"/>
  <c r="G952" i="4"/>
  <c r="H952" i="4"/>
  <c r="G953" i="4"/>
  <c r="H953" i="4"/>
  <c r="G954" i="4"/>
  <c r="I954" i="4" s="1"/>
  <c r="K954" i="4" s="1"/>
  <c r="H954" i="4"/>
  <c r="G955" i="4"/>
  <c r="I955" i="4" s="1"/>
  <c r="K955" i="4" s="1"/>
  <c r="H955" i="4"/>
  <c r="G956" i="4"/>
  <c r="H956" i="4"/>
  <c r="G957" i="4"/>
  <c r="I957" i="4" s="1"/>
  <c r="K957" i="4" s="1"/>
  <c r="H957" i="4"/>
  <c r="G958" i="4"/>
  <c r="I958" i="4" s="1"/>
  <c r="K958" i="4" s="1"/>
  <c r="H958" i="4"/>
  <c r="G959" i="4"/>
  <c r="H959" i="4"/>
  <c r="G960" i="4"/>
  <c r="H960" i="4"/>
  <c r="G961" i="4"/>
  <c r="H961" i="4"/>
  <c r="G962" i="4"/>
  <c r="I962" i="4" s="1"/>
  <c r="K962" i="4" s="1"/>
  <c r="H962" i="4"/>
  <c r="G963" i="4"/>
  <c r="I963" i="4" s="1"/>
  <c r="K963" i="4" s="1"/>
  <c r="H963" i="4"/>
  <c r="G964" i="4"/>
  <c r="I964" i="4" s="1"/>
  <c r="K964" i="4" s="1"/>
  <c r="H964" i="4"/>
  <c r="G965" i="4"/>
  <c r="I965" i="4" s="1"/>
  <c r="K965" i="4" s="1"/>
  <c r="H965" i="4"/>
  <c r="G966" i="4"/>
  <c r="I966" i="4" s="1"/>
  <c r="K966" i="4" s="1"/>
  <c r="H966" i="4"/>
  <c r="G967" i="4"/>
  <c r="H967" i="4"/>
  <c r="G968" i="4"/>
  <c r="H968" i="4"/>
  <c r="G969" i="4"/>
  <c r="H969" i="4"/>
  <c r="G970" i="4"/>
  <c r="I970" i="4" s="1"/>
  <c r="K970" i="4" s="1"/>
  <c r="H970" i="4"/>
  <c r="G971" i="4"/>
  <c r="H971" i="4"/>
  <c r="G972" i="4"/>
  <c r="I972" i="4" s="1"/>
  <c r="K972" i="4" s="1"/>
  <c r="H972" i="4"/>
  <c r="G973" i="4"/>
  <c r="I973" i="4" s="1"/>
  <c r="K973" i="4" s="1"/>
  <c r="H973" i="4"/>
  <c r="G974" i="4"/>
  <c r="I974" i="4" s="1"/>
  <c r="K974" i="4" s="1"/>
  <c r="H974" i="4"/>
  <c r="G975" i="4"/>
  <c r="H975" i="4"/>
  <c r="G976" i="4"/>
  <c r="H976" i="4"/>
  <c r="G977" i="4"/>
  <c r="H977" i="4"/>
  <c r="G978" i="4"/>
  <c r="I978" i="4" s="1"/>
  <c r="K978" i="4" s="1"/>
  <c r="H978" i="4"/>
  <c r="G979" i="4"/>
  <c r="I979" i="4" s="1"/>
  <c r="K979" i="4" s="1"/>
  <c r="H979" i="4"/>
  <c r="G980" i="4"/>
  <c r="I980" i="4" s="1"/>
  <c r="K980" i="4" s="1"/>
  <c r="H980" i="4"/>
  <c r="G981" i="4"/>
  <c r="I981" i="4" s="1"/>
  <c r="K981" i="4" s="1"/>
  <c r="H981" i="4"/>
  <c r="G982" i="4"/>
  <c r="I982" i="4" s="1"/>
  <c r="K982" i="4" s="1"/>
  <c r="H982" i="4"/>
  <c r="G983" i="4"/>
  <c r="H983" i="4"/>
  <c r="G984" i="4"/>
  <c r="H984" i="4"/>
  <c r="G985" i="4"/>
  <c r="H985" i="4"/>
  <c r="G986" i="4"/>
  <c r="I986" i="4" s="1"/>
  <c r="K986" i="4" s="1"/>
  <c r="H986" i="4"/>
  <c r="G987" i="4"/>
  <c r="I987" i="4" s="1"/>
  <c r="K987" i="4" s="1"/>
  <c r="H987" i="4"/>
  <c r="G988" i="4"/>
  <c r="H988" i="4"/>
  <c r="G989" i="4"/>
  <c r="I989" i="4" s="1"/>
  <c r="K989" i="4" s="1"/>
  <c r="H989" i="4"/>
  <c r="G990" i="4"/>
  <c r="I990" i="4" s="1"/>
  <c r="K990" i="4" s="1"/>
  <c r="H990" i="4"/>
  <c r="G991" i="4"/>
  <c r="H991" i="4"/>
  <c r="G992" i="4"/>
  <c r="H992" i="4"/>
  <c r="G993" i="4"/>
  <c r="H993" i="4"/>
  <c r="G994" i="4"/>
  <c r="I994" i="4" s="1"/>
  <c r="K994" i="4" s="1"/>
  <c r="H994" i="4"/>
  <c r="G995" i="4"/>
  <c r="I995" i="4" s="1"/>
  <c r="K995" i="4" s="1"/>
  <c r="H995" i="4"/>
  <c r="G996" i="4"/>
  <c r="I996" i="4" s="1"/>
  <c r="K996" i="4" s="1"/>
  <c r="H996" i="4"/>
  <c r="G997" i="4"/>
  <c r="I997" i="4" s="1"/>
  <c r="K997" i="4" s="1"/>
  <c r="H997" i="4"/>
  <c r="G998" i="4"/>
  <c r="I998" i="4" s="1"/>
  <c r="K998" i="4" s="1"/>
  <c r="H998" i="4"/>
  <c r="G999" i="4"/>
  <c r="H999" i="4"/>
  <c r="G1000" i="4"/>
  <c r="H1000" i="4"/>
  <c r="G1001" i="4"/>
  <c r="H1001" i="4"/>
  <c r="G1002" i="4"/>
  <c r="I1002" i="4" s="1"/>
  <c r="K1002" i="4" s="1"/>
  <c r="H1002" i="4"/>
  <c r="G1003" i="4"/>
  <c r="H1003" i="4"/>
  <c r="G1004" i="4"/>
  <c r="I1004" i="4" s="1"/>
  <c r="K1004" i="4" s="1"/>
  <c r="H1004" i="4"/>
  <c r="G1005" i="4"/>
  <c r="I1005" i="4" s="1"/>
  <c r="K1005" i="4" s="1"/>
  <c r="H1005" i="4"/>
  <c r="H6" i="4"/>
  <c r="G6" i="4"/>
  <c r="I6" i="4" s="1"/>
  <c r="K6" i="4" s="1"/>
  <c r="G7" i="3"/>
  <c r="G8" i="3"/>
  <c r="G9" i="3"/>
  <c r="G10" i="3"/>
  <c r="G11" i="3"/>
  <c r="G12" i="3"/>
  <c r="G13" i="3"/>
  <c r="G14" i="3"/>
  <c r="G15" i="3"/>
  <c r="H15" i="3" s="1"/>
  <c r="I15" i="3" s="1"/>
  <c r="J15" i="3" s="1"/>
  <c r="K15" i="3" s="1"/>
  <c r="L15" i="3" s="1"/>
  <c r="M15" i="3" s="1"/>
  <c r="N15" i="3" s="1"/>
  <c r="O15" i="3" s="1"/>
  <c r="P15" i="3" s="1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H28" i="3" s="1"/>
  <c r="I28" i="3" s="1"/>
  <c r="J28" i="3" s="1"/>
  <c r="K28" i="3" s="1"/>
  <c r="L28" i="3" s="1"/>
  <c r="M28" i="3" s="1"/>
  <c r="N28" i="3" s="1"/>
  <c r="O28" i="3" s="1"/>
  <c r="P28" i="3" s="1"/>
  <c r="G29" i="3"/>
  <c r="G30" i="3"/>
  <c r="H30" i="3" s="1"/>
  <c r="I30" i="3" s="1"/>
  <c r="J30" i="3" s="1"/>
  <c r="K30" i="3" s="1"/>
  <c r="L30" i="3" s="1"/>
  <c r="M30" i="3" s="1"/>
  <c r="N30" i="3" s="1"/>
  <c r="O30" i="3" s="1"/>
  <c r="P30" i="3" s="1"/>
  <c r="G31" i="3"/>
  <c r="G32" i="3"/>
  <c r="G33" i="3"/>
  <c r="G34" i="3"/>
  <c r="G35" i="3"/>
  <c r="G36" i="3"/>
  <c r="G37" i="3"/>
  <c r="G38" i="3"/>
  <c r="H38" i="3" s="1"/>
  <c r="I38" i="3" s="1"/>
  <c r="J38" i="3" s="1"/>
  <c r="K38" i="3" s="1"/>
  <c r="L38" i="3" s="1"/>
  <c r="M38" i="3" s="1"/>
  <c r="N38" i="3" s="1"/>
  <c r="O38" i="3" s="1"/>
  <c r="P38" i="3" s="1"/>
  <c r="G39" i="3"/>
  <c r="G40" i="3"/>
  <c r="G41" i="3"/>
  <c r="H41" i="3" s="1"/>
  <c r="I41" i="3" s="1"/>
  <c r="J41" i="3" s="1"/>
  <c r="K41" i="3" s="1"/>
  <c r="L41" i="3" s="1"/>
  <c r="M41" i="3" s="1"/>
  <c r="N41" i="3" s="1"/>
  <c r="O41" i="3" s="1"/>
  <c r="P41" i="3" s="1"/>
  <c r="G42" i="3"/>
  <c r="G43" i="3"/>
  <c r="G44" i="3"/>
  <c r="G45" i="3"/>
  <c r="G46" i="3"/>
  <c r="G47" i="3"/>
  <c r="G48" i="3"/>
  <c r="G49" i="3"/>
  <c r="H49" i="3" s="1"/>
  <c r="I49" i="3" s="1"/>
  <c r="J49" i="3" s="1"/>
  <c r="K49" i="3" s="1"/>
  <c r="L49" i="3" s="1"/>
  <c r="M49" i="3" s="1"/>
  <c r="N49" i="3" s="1"/>
  <c r="O49" i="3" s="1"/>
  <c r="P49" i="3" s="1"/>
  <c r="G50" i="3"/>
  <c r="G51" i="3"/>
  <c r="G52" i="3"/>
  <c r="G53" i="3"/>
  <c r="G54" i="3"/>
  <c r="H54" i="3" s="1"/>
  <c r="I54" i="3" s="1"/>
  <c r="J54" i="3" s="1"/>
  <c r="K54" i="3" s="1"/>
  <c r="L54" i="3" s="1"/>
  <c r="M54" i="3" s="1"/>
  <c r="N54" i="3" s="1"/>
  <c r="O54" i="3" s="1"/>
  <c r="P54" i="3" s="1"/>
  <c r="G55" i="3"/>
  <c r="H55" i="3" s="1"/>
  <c r="I55" i="3" s="1"/>
  <c r="J55" i="3" s="1"/>
  <c r="K55" i="3" s="1"/>
  <c r="L55" i="3" s="1"/>
  <c r="M55" i="3" s="1"/>
  <c r="N55" i="3" s="1"/>
  <c r="O55" i="3" s="1"/>
  <c r="P55" i="3" s="1"/>
  <c r="G56" i="3"/>
  <c r="G57" i="3"/>
  <c r="G58" i="3"/>
  <c r="G59" i="3"/>
  <c r="G60" i="3"/>
  <c r="G61" i="3"/>
  <c r="G62" i="3"/>
  <c r="G63" i="3"/>
  <c r="H63" i="3" s="1"/>
  <c r="I63" i="3" s="1"/>
  <c r="J63" i="3" s="1"/>
  <c r="K63" i="3" s="1"/>
  <c r="L63" i="3" s="1"/>
  <c r="M63" i="3" s="1"/>
  <c r="N63" i="3" s="1"/>
  <c r="O63" i="3" s="1"/>
  <c r="P63" i="3" s="1"/>
  <c r="G64" i="3"/>
  <c r="G65" i="3"/>
  <c r="H65" i="3" s="1"/>
  <c r="I65" i="3" s="1"/>
  <c r="J65" i="3" s="1"/>
  <c r="K65" i="3" s="1"/>
  <c r="L65" i="3" s="1"/>
  <c r="M65" i="3" s="1"/>
  <c r="N65" i="3" s="1"/>
  <c r="O65" i="3" s="1"/>
  <c r="P65" i="3" s="1"/>
  <c r="G66" i="3"/>
  <c r="G67" i="3"/>
  <c r="G68" i="3"/>
  <c r="H68" i="3" s="1"/>
  <c r="I68" i="3" s="1"/>
  <c r="J68" i="3" s="1"/>
  <c r="K68" i="3" s="1"/>
  <c r="L68" i="3" s="1"/>
  <c r="M68" i="3" s="1"/>
  <c r="N68" i="3" s="1"/>
  <c r="O68" i="3" s="1"/>
  <c r="P68" i="3" s="1"/>
  <c r="G69" i="3"/>
  <c r="G70" i="3"/>
  <c r="G71" i="3"/>
  <c r="G72" i="3"/>
  <c r="G73" i="3"/>
  <c r="G74" i="3"/>
  <c r="G75" i="3"/>
  <c r="G76" i="3"/>
  <c r="H76" i="3" s="1"/>
  <c r="I76" i="3" s="1"/>
  <c r="J76" i="3" s="1"/>
  <c r="K76" i="3" s="1"/>
  <c r="L76" i="3" s="1"/>
  <c r="M76" i="3" s="1"/>
  <c r="N76" i="3" s="1"/>
  <c r="O76" i="3" s="1"/>
  <c r="P76" i="3" s="1"/>
  <c r="G77" i="3"/>
  <c r="G78" i="3"/>
  <c r="G79" i="3"/>
  <c r="H79" i="3" s="1"/>
  <c r="I79" i="3" s="1"/>
  <c r="J79" i="3" s="1"/>
  <c r="K79" i="3" s="1"/>
  <c r="L79" i="3" s="1"/>
  <c r="M79" i="3" s="1"/>
  <c r="N79" i="3" s="1"/>
  <c r="O79" i="3" s="1"/>
  <c r="P79" i="3" s="1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H92" i="3" s="1"/>
  <c r="I92" i="3" s="1"/>
  <c r="J92" i="3" s="1"/>
  <c r="K92" i="3" s="1"/>
  <c r="L92" i="3" s="1"/>
  <c r="M92" i="3" s="1"/>
  <c r="N92" i="3" s="1"/>
  <c r="O92" i="3" s="1"/>
  <c r="P92" i="3" s="1"/>
  <c r="G93" i="3"/>
  <c r="G94" i="3"/>
  <c r="H94" i="3" s="1"/>
  <c r="I94" i="3" s="1"/>
  <c r="J94" i="3" s="1"/>
  <c r="K94" i="3" s="1"/>
  <c r="L94" i="3" s="1"/>
  <c r="M94" i="3" s="1"/>
  <c r="N94" i="3" s="1"/>
  <c r="O94" i="3" s="1"/>
  <c r="P94" i="3" s="1"/>
  <c r="G95" i="3"/>
  <c r="G96" i="3"/>
  <c r="G97" i="3"/>
  <c r="G98" i="3"/>
  <c r="G99" i="3"/>
  <c r="G100" i="3"/>
  <c r="G101" i="3"/>
  <c r="G102" i="3"/>
  <c r="H102" i="3" s="1"/>
  <c r="I102" i="3" s="1"/>
  <c r="J102" i="3" s="1"/>
  <c r="K102" i="3" s="1"/>
  <c r="L102" i="3" s="1"/>
  <c r="M102" i="3" s="1"/>
  <c r="N102" i="3" s="1"/>
  <c r="O102" i="3" s="1"/>
  <c r="P102" i="3" s="1"/>
  <c r="G103" i="3"/>
  <c r="G104" i="3"/>
  <c r="G105" i="3"/>
  <c r="H105" i="3" s="1"/>
  <c r="I105" i="3" s="1"/>
  <c r="J105" i="3" s="1"/>
  <c r="K105" i="3" s="1"/>
  <c r="L105" i="3" s="1"/>
  <c r="M105" i="3" s="1"/>
  <c r="N105" i="3" s="1"/>
  <c r="O105" i="3" s="1"/>
  <c r="P105" i="3" s="1"/>
  <c r="G106" i="3"/>
  <c r="G107" i="3"/>
  <c r="G108" i="3"/>
  <c r="G109" i="3"/>
  <c r="G110" i="3"/>
  <c r="G111" i="3"/>
  <c r="G112" i="3"/>
  <c r="G113" i="3"/>
  <c r="H113" i="3" s="1"/>
  <c r="I113" i="3" s="1"/>
  <c r="J113" i="3" s="1"/>
  <c r="K113" i="3" s="1"/>
  <c r="L113" i="3" s="1"/>
  <c r="M113" i="3" s="1"/>
  <c r="N113" i="3" s="1"/>
  <c r="O113" i="3" s="1"/>
  <c r="P113" i="3" s="1"/>
  <c r="G114" i="3"/>
  <c r="G115" i="3"/>
  <c r="G116" i="3"/>
  <c r="G117" i="3"/>
  <c r="G118" i="3"/>
  <c r="H118" i="3" s="1"/>
  <c r="I118" i="3" s="1"/>
  <c r="J118" i="3" s="1"/>
  <c r="K118" i="3" s="1"/>
  <c r="L118" i="3" s="1"/>
  <c r="M118" i="3" s="1"/>
  <c r="N118" i="3" s="1"/>
  <c r="O118" i="3" s="1"/>
  <c r="P118" i="3" s="1"/>
  <c r="G119" i="3"/>
  <c r="H119" i="3" s="1"/>
  <c r="I119" i="3" s="1"/>
  <c r="J119" i="3" s="1"/>
  <c r="K119" i="3" s="1"/>
  <c r="L119" i="3" s="1"/>
  <c r="M119" i="3" s="1"/>
  <c r="N119" i="3" s="1"/>
  <c r="O119" i="3" s="1"/>
  <c r="P119" i="3" s="1"/>
  <c r="G120" i="3"/>
  <c r="G121" i="3"/>
  <c r="G122" i="3"/>
  <c r="G123" i="3"/>
  <c r="G124" i="3"/>
  <c r="G125" i="3"/>
  <c r="G126" i="3"/>
  <c r="G127" i="3"/>
  <c r="H127" i="3" s="1"/>
  <c r="I127" i="3" s="1"/>
  <c r="J127" i="3" s="1"/>
  <c r="K127" i="3" s="1"/>
  <c r="L127" i="3" s="1"/>
  <c r="M127" i="3" s="1"/>
  <c r="N127" i="3" s="1"/>
  <c r="O127" i="3" s="1"/>
  <c r="P127" i="3" s="1"/>
  <c r="G128" i="3"/>
  <c r="G129" i="3"/>
  <c r="H129" i="3" s="1"/>
  <c r="I129" i="3" s="1"/>
  <c r="J129" i="3" s="1"/>
  <c r="K129" i="3" s="1"/>
  <c r="L129" i="3" s="1"/>
  <c r="M129" i="3" s="1"/>
  <c r="N129" i="3" s="1"/>
  <c r="O129" i="3" s="1"/>
  <c r="P129" i="3" s="1"/>
  <c r="G130" i="3"/>
  <c r="G131" i="3"/>
  <c r="G132" i="3"/>
  <c r="H132" i="3" s="1"/>
  <c r="I132" i="3" s="1"/>
  <c r="J132" i="3" s="1"/>
  <c r="K132" i="3" s="1"/>
  <c r="L132" i="3" s="1"/>
  <c r="M132" i="3" s="1"/>
  <c r="N132" i="3" s="1"/>
  <c r="O132" i="3" s="1"/>
  <c r="P132" i="3" s="1"/>
  <c r="G133" i="3"/>
  <c r="G134" i="3"/>
  <c r="G135" i="3"/>
  <c r="G136" i="3"/>
  <c r="G137" i="3"/>
  <c r="G138" i="3"/>
  <c r="G139" i="3"/>
  <c r="G140" i="3"/>
  <c r="H140" i="3" s="1"/>
  <c r="I140" i="3" s="1"/>
  <c r="J140" i="3" s="1"/>
  <c r="K140" i="3" s="1"/>
  <c r="L140" i="3" s="1"/>
  <c r="M140" i="3" s="1"/>
  <c r="N140" i="3" s="1"/>
  <c r="O140" i="3" s="1"/>
  <c r="P140" i="3" s="1"/>
  <c r="G141" i="3"/>
  <c r="G142" i="3"/>
  <c r="H142" i="3" s="1"/>
  <c r="I142" i="3" s="1"/>
  <c r="J142" i="3" s="1"/>
  <c r="K142" i="3" s="1"/>
  <c r="L142" i="3" s="1"/>
  <c r="M142" i="3" s="1"/>
  <c r="N142" i="3" s="1"/>
  <c r="O142" i="3" s="1"/>
  <c r="P142" i="3" s="1"/>
  <c r="G143" i="3"/>
  <c r="H143" i="3" s="1"/>
  <c r="I143" i="3" s="1"/>
  <c r="J143" i="3" s="1"/>
  <c r="K143" i="3" s="1"/>
  <c r="L143" i="3" s="1"/>
  <c r="M143" i="3" s="1"/>
  <c r="N143" i="3" s="1"/>
  <c r="O143" i="3" s="1"/>
  <c r="P143" i="3" s="1"/>
  <c r="G144" i="3"/>
  <c r="G145" i="3"/>
  <c r="G146" i="3"/>
  <c r="G147" i="3"/>
  <c r="G148" i="3"/>
  <c r="G149" i="3"/>
  <c r="G150" i="3"/>
  <c r="H150" i="3" s="1"/>
  <c r="I150" i="3" s="1"/>
  <c r="J150" i="3" s="1"/>
  <c r="K150" i="3" s="1"/>
  <c r="L150" i="3" s="1"/>
  <c r="M150" i="3" s="1"/>
  <c r="N150" i="3" s="1"/>
  <c r="O150" i="3" s="1"/>
  <c r="P150" i="3" s="1"/>
  <c r="G151" i="3"/>
  <c r="G152" i="3"/>
  <c r="G153" i="3"/>
  <c r="H153" i="3" s="1"/>
  <c r="I153" i="3" s="1"/>
  <c r="J153" i="3" s="1"/>
  <c r="K153" i="3" s="1"/>
  <c r="L153" i="3" s="1"/>
  <c r="M153" i="3" s="1"/>
  <c r="N153" i="3" s="1"/>
  <c r="O153" i="3" s="1"/>
  <c r="P153" i="3" s="1"/>
  <c r="G154" i="3"/>
  <c r="G155" i="3"/>
  <c r="G156" i="3"/>
  <c r="H156" i="3" s="1"/>
  <c r="I156" i="3" s="1"/>
  <c r="J156" i="3" s="1"/>
  <c r="K156" i="3" s="1"/>
  <c r="L156" i="3" s="1"/>
  <c r="M156" i="3" s="1"/>
  <c r="N156" i="3" s="1"/>
  <c r="O156" i="3" s="1"/>
  <c r="P156" i="3" s="1"/>
  <c r="G157" i="3"/>
  <c r="G158" i="3"/>
  <c r="H158" i="3" s="1"/>
  <c r="I158" i="3" s="1"/>
  <c r="J158" i="3" s="1"/>
  <c r="K158" i="3" s="1"/>
  <c r="L158" i="3" s="1"/>
  <c r="M158" i="3" s="1"/>
  <c r="N158" i="3" s="1"/>
  <c r="O158" i="3" s="1"/>
  <c r="P158" i="3" s="1"/>
  <c r="G159" i="3"/>
  <c r="G160" i="3"/>
  <c r="G161" i="3"/>
  <c r="H161" i="3" s="1"/>
  <c r="I161" i="3" s="1"/>
  <c r="J161" i="3" s="1"/>
  <c r="K161" i="3" s="1"/>
  <c r="L161" i="3" s="1"/>
  <c r="M161" i="3" s="1"/>
  <c r="N161" i="3" s="1"/>
  <c r="O161" i="3" s="1"/>
  <c r="P161" i="3" s="1"/>
  <c r="G162" i="3"/>
  <c r="G163" i="3"/>
  <c r="G164" i="3"/>
  <c r="G165" i="3"/>
  <c r="G166" i="3"/>
  <c r="H166" i="3" s="1"/>
  <c r="I166" i="3" s="1"/>
  <c r="J166" i="3" s="1"/>
  <c r="K166" i="3" s="1"/>
  <c r="L166" i="3" s="1"/>
  <c r="M166" i="3" s="1"/>
  <c r="N166" i="3" s="1"/>
  <c r="O166" i="3" s="1"/>
  <c r="P166" i="3" s="1"/>
  <c r="G167" i="3"/>
  <c r="H167" i="3" s="1"/>
  <c r="I167" i="3" s="1"/>
  <c r="J167" i="3" s="1"/>
  <c r="K167" i="3" s="1"/>
  <c r="L167" i="3" s="1"/>
  <c r="M167" i="3" s="1"/>
  <c r="N167" i="3" s="1"/>
  <c r="O167" i="3" s="1"/>
  <c r="P167" i="3" s="1"/>
  <c r="G168" i="3"/>
  <c r="G169" i="3"/>
  <c r="H169" i="3" s="1"/>
  <c r="I169" i="3" s="1"/>
  <c r="J169" i="3" s="1"/>
  <c r="K169" i="3" s="1"/>
  <c r="L169" i="3" s="1"/>
  <c r="M169" i="3" s="1"/>
  <c r="N169" i="3" s="1"/>
  <c r="O169" i="3" s="1"/>
  <c r="P169" i="3" s="1"/>
  <c r="G170" i="3"/>
  <c r="G171" i="3"/>
  <c r="G172" i="3"/>
  <c r="G173" i="3"/>
  <c r="G174" i="3"/>
  <c r="G175" i="3"/>
  <c r="H175" i="3" s="1"/>
  <c r="I175" i="3" s="1"/>
  <c r="J175" i="3" s="1"/>
  <c r="K175" i="3" s="1"/>
  <c r="L175" i="3" s="1"/>
  <c r="M175" i="3" s="1"/>
  <c r="N175" i="3" s="1"/>
  <c r="O175" i="3" s="1"/>
  <c r="P175" i="3" s="1"/>
  <c r="G176" i="3"/>
  <c r="G177" i="3"/>
  <c r="H177" i="3" s="1"/>
  <c r="I177" i="3" s="1"/>
  <c r="J177" i="3" s="1"/>
  <c r="K177" i="3" s="1"/>
  <c r="L177" i="3" s="1"/>
  <c r="M177" i="3" s="1"/>
  <c r="N177" i="3" s="1"/>
  <c r="O177" i="3" s="1"/>
  <c r="P177" i="3" s="1"/>
  <c r="G178" i="3"/>
  <c r="G179" i="3"/>
  <c r="G180" i="3"/>
  <c r="H180" i="3" s="1"/>
  <c r="I180" i="3" s="1"/>
  <c r="J180" i="3" s="1"/>
  <c r="K180" i="3" s="1"/>
  <c r="L180" i="3" s="1"/>
  <c r="M180" i="3" s="1"/>
  <c r="N180" i="3" s="1"/>
  <c r="O180" i="3" s="1"/>
  <c r="P180" i="3" s="1"/>
  <c r="G181" i="3"/>
  <c r="G182" i="3"/>
  <c r="H182" i="3" s="1"/>
  <c r="I182" i="3" s="1"/>
  <c r="J182" i="3" s="1"/>
  <c r="K182" i="3" s="1"/>
  <c r="L182" i="3" s="1"/>
  <c r="M182" i="3" s="1"/>
  <c r="N182" i="3" s="1"/>
  <c r="O182" i="3" s="1"/>
  <c r="P182" i="3" s="1"/>
  <c r="G183" i="3"/>
  <c r="H183" i="3" s="1"/>
  <c r="I183" i="3" s="1"/>
  <c r="J183" i="3" s="1"/>
  <c r="K183" i="3" s="1"/>
  <c r="L183" i="3" s="1"/>
  <c r="M183" i="3" s="1"/>
  <c r="N183" i="3" s="1"/>
  <c r="O183" i="3" s="1"/>
  <c r="P183" i="3" s="1"/>
  <c r="G184" i="3"/>
  <c r="G185" i="3"/>
  <c r="G186" i="3"/>
  <c r="G187" i="3"/>
  <c r="G188" i="3"/>
  <c r="H188" i="3" s="1"/>
  <c r="I188" i="3" s="1"/>
  <c r="J188" i="3" s="1"/>
  <c r="K188" i="3" s="1"/>
  <c r="L188" i="3" s="1"/>
  <c r="M188" i="3" s="1"/>
  <c r="N188" i="3" s="1"/>
  <c r="O188" i="3" s="1"/>
  <c r="P188" i="3" s="1"/>
  <c r="G189" i="3"/>
  <c r="G190" i="3"/>
  <c r="G191" i="3"/>
  <c r="H191" i="3" s="1"/>
  <c r="I191" i="3" s="1"/>
  <c r="J191" i="3" s="1"/>
  <c r="K191" i="3" s="1"/>
  <c r="L191" i="3" s="1"/>
  <c r="M191" i="3" s="1"/>
  <c r="N191" i="3" s="1"/>
  <c r="O191" i="3" s="1"/>
  <c r="P191" i="3" s="1"/>
  <c r="G192" i="3"/>
  <c r="G193" i="3"/>
  <c r="H193" i="3" s="1"/>
  <c r="I193" i="3" s="1"/>
  <c r="J193" i="3" s="1"/>
  <c r="K193" i="3" s="1"/>
  <c r="L193" i="3" s="1"/>
  <c r="M193" i="3" s="1"/>
  <c r="N193" i="3" s="1"/>
  <c r="O193" i="3" s="1"/>
  <c r="P193" i="3" s="1"/>
  <c r="G194" i="3"/>
  <c r="G195" i="3"/>
  <c r="G196" i="3"/>
  <c r="H196" i="3" s="1"/>
  <c r="I196" i="3" s="1"/>
  <c r="J196" i="3" s="1"/>
  <c r="K196" i="3" s="1"/>
  <c r="L196" i="3" s="1"/>
  <c r="M196" i="3" s="1"/>
  <c r="N196" i="3" s="1"/>
  <c r="O196" i="3" s="1"/>
  <c r="P196" i="3" s="1"/>
  <c r="G197" i="3"/>
  <c r="G198" i="3"/>
  <c r="G199" i="3"/>
  <c r="G200" i="3"/>
  <c r="H200" i="3" s="1"/>
  <c r="I200" i="3" s="1"/>
  <c r="J200" i="3" s="1"/>
  <c r="K200" i="3" s="1"/>
  <c r="L200" i="3" s="1"/>
  <c r="M200" i="3" s="1"/>
  <c r="N200" i="3" s="1"/>
  <c r="O200" i="3" s="1"/>
  <c r="P200" i="3" s="1"/>
  <c r="G201" i="3"/>
  <c r="G202" i="3"/>
  <c r="G203" i="3"/>
  <c r="G204" i="3"/>
  <c r="H204" i="3" s="1"/>
  <c r="I204" i="3" s="1"/>
  <c r="J204" i="3" s="1"/>
  <c r="K204" i="3" s="1"/>
  <c r="L204" i="3" s="1"/>
  <c r="M204" i="3" s="1"/>
  <c r="N204" i="3" s="1"/>
  <c r="O204" i="3" s="1"/>
  <c r="P204" i="3" s="1"/>
  <c r="G205" i="3"/>
  <c r="G206" i="3"/>
  <c r="H206" i="3" s="1"/>
  <c r="I206" i="3" s="1"/>
  <c r="J206" i="3" s="1"/>
  <c r="K206" i="3" s="1"/>
  <c r="L206" i="3" s="1"/>
  <c r="M206" i="3" s="1"/>
  <c r="N206" i="3" s="1"/>
  <c r="O206" i="3" s="1"/>
  <c r="P206" i="3" s="1"/>
  <c r="G207" i="3"/>
  <c r="H207" i="3" s="1"/>
  <c r="I207" i="3" s="1"/>
  <c r="J207" i="3" s="1"/>
  <c r="K207" i="3" s="1"/>
  <c r="L207" i="3" s="1"/>
  <c r="M207" i="3" s="1"/>
  <c r="N207" i="3" s="1"/>
  <c r="O207" i="3" s="1"/>
  <c r="P207" i="3" s="1"/>
  <c r="G208" i="3"/>
  <c r="G209" i="3"/>
  <c r="G210" i="3"/>
  <c r="G211" i="3"/>
  <c r="G212" i="3"/>
  <c r="G213" i="3"/>
  <c r="G214" i="3"/>
  <c r="H214" i="3" s="1"/>
  <c r="I214" i="3" s="1"/>
  <c r="J214" i="3" s="1"/>
  <c r="K214" i="3" s="1"/>
  <c r="L214" i="3" s="1"/>
  <c r="M214" i="3" s="1"/>
  <c r="N214" i="3" s="1"/>
  <c r="O214" i="3" s="1"/>
  <c r="P214" i="3" s="1"/>
  <c r="G215" i="3"/>
  <c r="G216" i="3"/>
  <c r="G217" i="3"/>
  <c r="H217" i="3" s="1"/>
  <c r="I217" i="3" s="1"/>
  <c r="J217" i="3" s="1"/>
  <c r="K217" i="3" s="1"/>
  <c r="L217" i="3" s="1"/>
  <c r="M217" i="3" s="1"/>
  <c r="N217" i="3" s="1"/>
  <c r="O217" i="3" s="1"/>
  <c r="P217" i="3" s="1"/>
  <c r="G218" i="3"/>
  <c r="G219" i="3"/>
  <c r="G220" i="3"/>
  <c r="H220" i="3" s="1"/>
  <c r="I220" i="3" s="1"/>
  <c r="J220" i="3" s="1"/>
  <c r="K220" i="3" s="1"/>
  <c r="L220" i="3" s="1"/>
  <c r="M220" i="3" s="1"/>
  <c r="N220" i="3" s="1"/>
  <c r="O220" i="3" s="1"/>
  <c r="P220" i="3" s="1"/>
  <c r="G221" i="3"/>
  <c r="G222" i="3"/>
  <c r="H222" i="3" s="1"/>
  <c r="I222" i="3" s="1"/>
  <c r="J222" i="3" s="1"/>
  <c r="K222" i="3" s="1"/>
  <c r="L222" i="3" s="1"/>
  <c r="M222" i="3" s="1"/>
  <c r="N222" i="3" s="1"/>
  <c r="O222" i="3" s="1"/>
  <c r="P222" i="3" s="1"/>
  <c r="G223" i="3"/>
  <c r="G224" i="3"/>
  <c r="G225" i="3"/>
  <c r="H225" i="3" s="1"/>
  <c r="I225" i="3" s="1"/>
  <c r="J225" i="3" s="1"/>
  <c r="K225" i="3" s="1"/>
  <c r="L225" i="3" s="1"/>
  <c r="M225" i="3" s="1"/>
  <c r="N225" i="3" s="1"/>
  <c r="O225" i="3" s="1"/>
  <c r="P225" i="3" s="1"/>
  <c r="G226" i="3"/>
  <c r="G227" i="3"/>
  <c r="G228" i="3"/>
  <c r="G229" i="3"/>
  <c r="G230" i="3"/>
  <c r="H230" i="3" s="1"/>
  <c r="I230" i="3" s="1"/>
  <c r="J230" i="3" s="1"/>
  <c r="K230" i="3" s="1"/>
  <c r="L230" i="3" s="1"/>
  <c r="M230" i="3" s="1"/>
  <c r="N230" i="3" s="1"/>
  <c r="O230" i="3" s="1"/>
  <c r="P230" i="3" s="1"/>
  <c r="G231" i="3"/>
  <c r="H231" i="3" s="1"/>
  <c r="I231" i="3" s="1"/>
  <c r="J231" i="3" s="1"/>
  <c r="K231" i="3" s="1"/>
  <c r="L231" i="3" s="1"/>
  <c r="M231" i="3" s="1"/>
  <c r="N231" i="3" s="1"/>
  <c r="O231" i="3" s="1"/>
  <c r="P231" i="3" s="1"/>
  <c r="G232" i="3"/>
  <c r="G233" i="3"/>
  <c r="H233" i="3" s="1"/>
  <c r="I233" i="3" s="1"/>
  <c r="J233" i="3" s="1"/>
  <c r="K233" i="3" s="1"/>
  <c r="L233" i="3" s="1"/>
  <c r="M233" i="3" s="1"/>
  <c r="N233" i="3" s="1"/>
  <c r="O233" i="3" s="1"/>
  <c r="P233" i="3" s="1"/>
  <c r="G234" i="3"/>
  <c r="G235" i="3"/>
  <c r="G236" i="3"/>
  <c r="G237" i="3"/>
  <c r="G238" i="3"/>
  <c r="G239" i="3"/>
  <c r="H239" i="3" s="1"/>
  <c r="I239" i="3" s="1"/>
  <c r="J239" i="3" s="1"/>
  <c r="K239" i="3" s="1"/>
  <c r="L239" i="3" s="1"/>
  <c r="M239" i="3" s="1"/>
  <c r="N239" i="3" s="1"/>
  <c r="O239" i="3" s="1"/>
  <c r="P239" i="3" s="1"/>
  <c r="G240" i="3"/>
  <c r="G241" i="3"/>
  <c r="H241" i="3" s="1"/>
  <c r="I241" i="3" s="1"/>
  <c r="J241" i="3" s="1"/>
  <c r="K241" i="3" s="1"/>
  <c r="L241" i="3" s="1"/>
  <c r="M241" i="3" s="1"/>
  <c r="N241" i="3" s="1"/>
  <c r="O241" i="3" s="1"/>
  <c r="P241" i="3" s="1"/>
  <c r="G242" i="3"/>
  <c r="G243" i="3"/>
  <c r="G244" i="3"/>
  <c r="H244" i="3" s="1"/>
  <c r="I244" i="3" s="1"/>
  <c r="J244" i="3" s="1"/>
  <c r="K244" i="3" s="1"/>
  <c r="L244" i="3" s="1"/>
  <c r="M244" i="3" s="1"/>
  <c r="N244" i="3" s="1"/>
  <c r="O244" i="3" s="1"/>
  <c r="P244" i="3" s="1"/>
  <c r="G245" i="3"/>
  <c r="G246" i="3"/>
  <c r="H246" i="3" s="1"/>
  <c r="I246" i="3" s="1"/>
  <c r="J246" i="3" s="1"/>
  <c r="K246" i="3" s="1"/>
  <c r="L246" i="3" s="1"/>
  <c r="M246" i="3" s="1"/>
  <c r="N246" i="3" s="1"/>
  <c r="O246" i="3" s="1"/>
  <c r="P246" i="3" s="1"/>
  <c r="G247" i="3"/>
  <c r="H247" i="3" s="1"/>
  <c r="I247" i="3" s="1"/>
  <c r="J247" i="3" s="1"/>
  <c r="K247" i="3" s="1"/>
  <c r="L247" i="3" s="1"/>
  <c r="M247" i="3" s="1"/>
  <c r="N247" i="3" s="1"/>
  <c r="O247" i="3" s="1"/>
  <c r="P247" i="3" s="1"/>
  <c r="G248" i="3"/>
  <c r="G249" i="3"/>
  <c r="G250" i="3"/>
  <c r="G251" i="3"/>
  <c r="G252" i="3"/>
  <c r="H252" i="3" s="1"/>
  <c r="I252" i="3" s="1"/>
  <c r="J252" i="3" s="1"/>
  <c r="K252" i="3" s="1"/>
  <c r="L252" i="3" s="1"/>
  <c r="M252" i="3" s="1"/>
  <c r="N252" i="3" s="1"/>
  <c r="O252" i="3" s="1"/>
  <c r="P252" i="3" s="1"/>
  <c r="G253" i="3"/>
  <c r="G254" i="3"/>
  <c r="G255" i="3"/>
  <c r="H255" i="3" s="1"/>
  <c r="I255" i="3" s="1"/>
  <c r="J255" i="3" s="1"/>
  <c r="K255" i="3" s="1"/>
  <c r="L255" i="3" s="1"/>
  <c r="M255" i="3" s="1"/>
  <c r="N255" i="3" s="1"/>
  <c r="O255" i="3" s="1"/>
  <c r="P255" i="3" s="1"/>
  <c r="G256" i="3"/>
  <c r="G257" i="3"/>
  <c r="H257" i="3" s="1"/>
  <c r="I257" i="3" s="1"/>
  <c r="J257" i="3" s="1"/>
  <c r="K257" i="3" s="1"/>
  <c r="L257" i="3" s="1"/>
  <c r="M257" i="3" s="1"/>
  <c r="N257" i="3" s="1"/>
  <c r="O257" i="3" s="1"/>
  <c r="P257" i="3" s="1"/>
  <c r="G258" i="3"/>
  <c r="G259" i="3"/>
  <c r="G260" i="3"/>
  <c r="H260" i="3" s="1"/>
  <c r="I260" i="3" s="1"/>
  <c r="J260" i="3" s="1"/>
  <c r="K260" i="3" s="1"/>
  <c r="L260" i="3" s="1"/>
  <c r="M260" i="3" s="1"/>
  <c r="N260" i="3" s="1"/>
  <c r="O260" i="3" s="1"/>
  <c r="P260" i="3" s="1"/>
  <c r="G261" i="3"/>
  <c r="G262" i="3"/>
  <c r="G263" i="3"/>
  <c r="G264" i="3"/>
  <c r="G265" i="3"/>
  <c r="G266" i="3"/>
  <c r="G267" i="3"/>
  <c r="G268" i="3"/>
  <c r="H268" i="3" s="1"/>
  <c r="I268" i="3" s="1"/>
  <c r="J268" i="3" s="1"/>
  <c r="K268" i="3" s="1"/>
  <c r="L268" i="3" s="1"/>
  <c r="M268" i="3" s="1"/>
  <c r="N268" i="3" s="1"/>
  <c r="O268" i="3" s="1"/>
  <c r="P268" i="3" s="1"/>
  <c r="G269" i="3"/>
  <c r="G270" i="3"/>
  <c r="H270" i="3" s="1"/>
  <c r="I270" i="3" s="1"/>
  <c r="J270" i="3" s="1"/>
  <c r="K270" i="3" s="1"/>
  <c r="L270" i="3" s="1"/>
  <c r="M270" i="3" s="1"/>
  <c r="N270" i="3" s="1"/>
  <c r="O270" i="3" s="1"/>
  <c r="P270" i="3" s="1"/>
  <c r="G271" i="3"/>
  <c r="H271" i="3" s="1"/>
  <c r="I271" i="3" s="1"/>
  <c r="J271" i="3" s="1"/>
  <c r="K271" i="3" s="1"/>
  <c r="L271" i="3" s="1"/>
  <c r="M271" i="3" s="1"/>
  <c r="N271" i="3" s="1"/>
  <c r="O271" i="3" s="1"/>
  <c r="P271" i="3" s="1"/>
  <c r="G272" i="3"/>
  <c r="G273" i="3"/>
  <c r="G274" i="3"/>
  <c r="G275" i="3"/>
  <c r="G276" i="3"/>
  <c r="G277" i="3"/>
  <c r="G278" i="3"/>
  <c r="H278" i="3" s="1"/>
  <c r="I278" i="3" s="1"/>
  <c r="J278" i="3" s="1"/>
  <c r="K278" i="3" s="1"/>
  <c r="L278" i="3" s="1"/>
  <c r="M278" i="3" s="1"/>
  <c r="N278" i="3" s="1"/>
  <c r="O278" i="3" s="1"/>
  <c r="P278" i="3" s="1"/>
  <c r="G279" i="3"/>
  <c r="G280" i="3"/>
  <c r="G281" i="3"/>
  <c r="H281" i="3" s="1"/>
  <c r="I281" i="3" s="1"/>
  <c r="J281" i="3" s="1"/>
  <c r="K281" i="3" s="1"/>
  <c r="L281" i="3" s="1"/>
  <c r="M281" i="3" s="1"/>
  <c r="N281" i="3" s="1"/>
  <c r="O281" i="3" s="1"/>
  <c r="P281" i="3" s="1"/>
  <c r="G282" i="3"/>
  <c r="G283" i="3"/>
  <c r="G284" i="3"/>
  <c r="H284" i="3" s="1"/>
  <c r="I284" i="3" s="1"/>
  <c r="J284" i="3" s="1"/>
  <c r="K284" i="3" s="1"/>
  <c r="L284" i="3" s="1"/>
  <c r="M284" i="3" s="1"/>
  <c r="N284" i="3" s="1"/>
  <c r="O284" i="3" s="1"/>
  <c r="P284" i="3" s="1"/>
  <c r="G285" i="3"/>
  <c r="G286" i="3"/>
  <c r="H286" i="3" s="1"/>
  <c r="I286" i="3" s="1"/>
  <c r="J286" i="3" s="1"/>
  <c r="K286" i="3" s="1"/>
  <c r="L286" i="3" s="1"/>
  <c r="M286" i="3" s="1"/>
  <c r="N286" i="3" s="1"/>
  <c r="O286" i="3" s="1"/>
  <c r="P286" i="3" s="1"/>
  <c r="G287" i="3"/>
  <c r="G288" i="3"/>
  <c r="G289" i="3"/>
  <c r="H289" i="3" s="1"/>
  <c r="I289" i="3" s="1"/>
  <c r="J289" i="3" s="1"/>
  <c r="K289" i="3" s="1"/>
  <c r="L289" i="3" s="1"/>
  <c r="M289" i="3" s="1"/>
  <c r="N289" i="3" s="1"/>
  <c r="O289" i="3" s="1"/>
  <c r="P289" i="3" s="1"/>
  <c r="G290" i="3"/>
  <c r="G291" i="3"/>
  <c r="G292" i="3"/>
  <c r="G293" i="3"/>
  <c r="G294" i="3"/>
  <c r="H294" i="3" s="1"/>
  <c r="I294" i="3" s="1"/>
  <c r="J294" i="3" s="1"/>
  <c r="K294" i="3" s="1"/>
  <c r="L294" i="3" s="1"/>
  <c r="M294" i="3" s="1"/>
  <c r="N294" i="3" s="1"/>
  <c r="O294" i="3" s="1"/>
  <c r="P294" i="3" s="1"/>
  <c r="G295" i="3"/>
  <c r="H295" i="3" s="1"/>
  <c r="I295" i="3" s="1"/>
  <c r="J295" i="3" s="1"/>
  <c r="K295" i="3" s="1"/>
  <c r="L295" i="3" s="1"/>
  <c r="M295" i="3" s="1"/>
  <c r="N295" i="3" s="1"/>
  <c r="O295" i="3" s="1"/>
  <c r="P295" i="3" s="1"/>
  <c r="G296" i="3"/>
  <c r="G297" i="3"/>
  <c r="H297" i="3" s="1"/>
  <c r="I297" i="3" s="1"/>
  <c r="J297" i="3" s="1"/>
  <c r="K297" i="3" s="1"/>
  <c r="L297" i="3" s="1"/>
  <c r="M297" i="3" s="1"/>
  <c r="N297" i="3" s="1"/>
  <c r="O297" i="3" s="1"/>
  <c r="P297" i="3" s="1"/>
  <c r="G298" i="3"/>
  <c r="G299" i="3"/>
  <c r="G300" i="3"/>
  <c r="G301" i="3"/>
  <c r="G302" i="3"/>
  <c r="G303" i="3"/>
  <c r="H303" i="3" s="1"/>
  <c r="I303" i="3" s="1"/>
  <c r="J303" i="3" s="1"/>
  <c r="K303" i="3" s="1"/>
  <c r="L303" i="3" s="1"/>
  <c r="M303" i="3" s="1"/>
  <c r="N303" i="3" s="1"/>
  <c r="O303" i="3" s="1"/>
  <c r="P303" i="3" s="1"/>
  <c r="G304" i="3"/>
  <c r="G305" i="3"/>
  <c r="H305" i="3" s="1"/>
  <c r="I305" i="3" s="1"/>
  <c r="J305" i="3" s="1"/>
  <c r="K305" i="3" s="1"/>
  <c r="L305" i="3" s="1"/>
  <c r="M305" i="3" s="1"/>
  <c r="N305" i="3" s="1"/>
  <c r="O305" i="3" s="1"/>
  <c r="P305" i="3" s="1"/>
  <c r="G306" i="3"/>
  <c r="G307" i="3"/>
  <c r="G308" i="3"/>
  <c r="H308" i="3" s="1"/>
  <c r="I308" i="3" s="1"/>
  <c r="J308" i="3" s="1"/>
  <c r="K308" i="3" s="1"/>
  <c r="L308" i="3" s="1"/>
  <c r="M308" i="3" s="1"/>
  <c r="N308" i="3" s="1"/>
  <c r="O308" i="3" s="1"/>
  <c r="P308" i="3" s="1"/>
  <c r="G309" i="3"/>
  <c r="G310" i="3"/>
  <c r="H310" i="3" s="1"/>
  <c r="I310" i="3" s="1"/>
  <c r="J310" i="3" s="1"/>
  <c r="K310" i="3" s="1"/>
  <c r="L310" i="3" s="1"/>
  <c r="M310" i="3" s="1"/>
  <c r="N310" i="3" s="1"/>
  <c r="O310" i="3" s="1"/>
  <c r="P310" i="3" s="1"/>
  <c r="G311" i="3"/>
  <c r="H311" i="3" s="1"/>
  <c r="I311" i="3" s="1"/>
  <c r="J311" i="3" s="1"/>
  <c r="K311" i="3" s="1"/>
  <c r="L311" i="3" s="1"/>
  <c r="M311" i="3" s="1"/>
  <c r="N311" i="3" s="1"/>
  <c r="O311" i="3" s="1"/>
  <c r="P311" i="3" s="1"/>
  <c r="G312" i="3"/>
  <c r="G313" i="3"/>
  <c r="G314" i="3"/>
  <c r="G315" i="3"/>
  <c r="G316" i="3"/>
  <c r="H316" i="3" s="1"/>
  <c r="I316" i="3" s="1"/>
  <c r="J316" i="3" s="1"/>
  <c r="K316" i="3" s="1"/>
  <c r="L316" i="3" s="1"/>
  <c r="M316" i="3" s="1"/>
  <c r="N316" i="3" s="1"/>
  <c r="O316" i="3" s="1"/>
  <c r="P316" i="3" s="1"/>
  <c r="G317" i="3"/>
  <c r="G318" i="3"/>
  <c r="G319" i="3"/>
  <c r="H319" i="3" s="1"/>
  <c r="I319" i="3" s="1"/>
  <c r="J319" i="3" s="1"/>
  <c r="K319" i="3" s="1"/>
  <c r="L319" i="3" s="1"/>
  <c r="M319" i="3" s="1"/>
  <c r="N319" i="3" s="1"/>
  <c r="O319" i="3" s="1"/>
  <c r="P319" i="3" s="1"/>
  <c r="G320" i="3"/>
  <c r="G321" i="3"/>
  <c r="H321" i="3" s="1"/>
  <c r="I321" i="3" s="1"/>
  <c r="J321" i="3" s="1"/>
  <c r="K321" i="3" s="1"/>
  <c r="L321" i="3" s="1"/>
  <c r="M321" i="3" s="1"/>
  <c r="N321" i="3" s="1"/>
  <c r="O321" i="3" s="1"/>
  <c r="P321" i="3" s="1"/>
  <c r="G322" i="3"/>
  <c r="G323" i="3"/>
  <c r="G324" i="3"/>
  <c r="H324" i="3" s="1"/>
  <c r="I324" i="3" s="1"/>
  <c r="J324" i="3" s="1"/>
  <c r="K324" i="3" s="1"/>
  <c r="L324" i="3" s="1"/>
  <c r="M324" i="3" s="1"/>
  <c r="N324" i="3" s="1"/>
  <c r="O324" i="3" s="1"/>
  <c r="P324" i="3" s="1"/>
  <c r="G325" i="3"/>
  <c r="G326" i="3"/>
  <c r="G327" i="3"/>
  <c r="G328" i="3"/>
  <c r="G329" i="3"/>
  <c r="G330" i="3"/>
  <c r="G331" i="3"/>
  <c r="G332" i="3"/>
  <c r="H332" i="3" s="1"/>
  <c r="I332" i="3" s="1"/>
  <c r="J332" i="3" s="1"/>
  <c r="K332" i="3" s="1"/>
  <c r="L332" i="3" s="1"/>
  <c r="M332" i="3" s="1"/>
  <c r="N332" i="3" s="1"/>
  <c r="O332" i="3" s="1"/>
  <c r="P332" i="3" s="1"/>
  <c r="G333" i="3"/>
  <c r="G334" i="3"/>
  <c r="H334" i="3" s="1"/>
  <c r="I334" i="3" s="1"/>
  <c r="J334" i="3" s="1"/>
  <c r="K334" i="3" s="1"/>
  <c r="L334" i="3" s="1"/>
  <c r="M334" i="3" s="1"/>
  <c r="N334" i="3" s="1"/>
  <c r="O334" i="3" s="1"/>
  <c r="P334" i="3" s="1"/>
  <c r="G335" i="3"/>
  <c r="H335" i="3" s="1"/>
  <c r="I335" i="3" s="1"/>
  <c r="J335" i="3" s="1"/>
  <c r="K335" i="3" s="1"/>
  <c r="L335" i="3" s="1"/>
  <c r="M335" i="3" s="1"/>
  <c r="N335" i="3" s="1"/>
  <c r="O335" i="3" s="1"/>
  <c r="P335" i="3" s="1"/>
  <c r="G336" i="3"/>
  <c r="G337" i="3"/>
  <c r="G338" i="3"/>
  <c r="G339" i="3"/>
  <c r="G340" i="3"/>
  <c r="G341" i="3"/>
  <c r="G342" i="3"/>
  <c r="H342" i="3" s="1"/>
  <c r="I342" i="3" s="1"/>
  <c r="J342" i="3" s="1"/>
  <c r="K342" i="3" s="1"/>
  <c r="L342" i="3" s="1"/>
  <c r="M342" i="3" s="1"/>
  <c r="N342" i="3" s="1"/>
  <c r="O342" i="3" s="1"/>
  <c r="P342" i="3" s="1"/>
  <c r="G343" i="3"/>
  <c r="G344" i="3"/>
  <c r="H344" i="3" s="1"/>
  <c r="I344" i="3" s="1"/>
  <c r="J344" i="3" s="1"/>
  <c r="K344" i="3" s="1"/>
  <c r="L344" i="3" s="1"/>
  <c r="M344" i="3" s="1"/>
  <c r="N344" i="3" s="1"/>
  <c r="O344" i="3" s="1"/>
  <c r="P344" i="3" s="1"/>
  <c r="G345" i="3"/>
  <c r="H345" i="3" s="1"/>
  <c r="I345" i="3" s="1"/>
  <c r="J345" i="3" s="1"/>
  <c r="K345" i="3" s="1"/>
  <c r="L345" i="3" s="1"/>
  <c r="M345" i="3" s="1"/>
  <c r="N345" i="3" s="1"/>
  <c r="O345" i="3" s="1"/>
  <c r="P345" i="3" s="1"/>
  <c r="G346" i="3"/>
  <c r="G347" i="3"/>
  <c r="G348" i="3"/>
  <c r="H348" i="3" s="1"/>
  <c r="I348" i="3" s="1"/>
  <c r="J348" i="3" s="1"/>
  <c r="K348" i="3" s="1"/>
  <c r="L348" i="3" s="1"/>
  <c r="M348" i="3" s="1"/>
  <c r="N348" i="3" s="1"/>
  <c r="O348" i="3" s="1"/>
  <c r="P348" i="3" s="1"/>
  <c r="G349" i="3"/>
  <c r="G350" i="3"/>
  <c r="H350" i="3" s="1"/>
  <c r="I350" i="3" s="1"/>
  <c r="J350" i="3" s="1"/>
  <c r="K350" i="3" s="1"/>
  <c r="L350" i="3" s="1"/>
  <c r="M350" i="3" s="1"/>
  <c r="N350" i="3" s="1"/>
  <c r="O350" i="3" s="1"/>
  <c r="P350" i="3" s="1"/>
  <c r="G351" i="3"/>
  <c r="G352" i="3"/>
  <c r="G353" i="3"/>
  <c r="H353" i="3" s="1"/>
  <c r="I353" i="3" s="1"/>
  <c r="J353" i="3" s="1"/>
  <c r="K353" i="3" s="1"/>
  <c r="L353" i="3" s="1"/>
  <c r="M353" i="3" s="1"/>
  <c r="N353" i="3" s="1"/>
  <c r="O353" i="3" s="1"/>
  <c r="P353" i="3" s="1"/>
  <c r="G354" i="3"/>
  <c r="G355" i="3"/>
  <c r="G356" i="3"/>
  <c r="G357" i="3"/>
  <c r="G358" i="3"/>
  <c r="H358" i="3" s="1"/>
  <c r="I358" i="3" s="1"/>
  <c r="J358" i="3" s="1"/>
  <c r="K358" i="3" s="1"/>
  <c r="L358" i="3" s="1"/>
  <c r="M358" i="3" s="1"/>
  <c r="N358" i="3" s="1"/>
  <c r="O358" i="3" s="1"/>
  <c r="P358" i="3" s="1"/>
  <c r="G359" i="3"/>
  <c r="H359" i="3" s="1"/>
  <c r="I359" i="3" s="1"/>
  <c r="J359" i="3" s="1"/>
  <c r="K359" i="3" s="1"/>
  <c r="L359" i="3" s="1"/>
  <c r="M359" i="3" s="1"/>
  <c r="N359" i="3" s="1"/>
  <c r="O359" i="3" s="1"/>
  <c r="P359" i="3" s="1"/>
  <c r="G360" i="3"/>
  <c r="G361" i="3"/>
  <c r="H361" i="3" s="1"/>
  <c r="I361" i="3" s="1"/>
  <c r="J361" i="3" s="1"/>
  <c r="K361" i="3" s="1"/>
  <c r="L361" i="3" s="1"/>
  <c r="M361" i="3" s="1"/>
  <c r="N361" i="3" s="1"/>
  <c r="O361" i="3" s="1"/>
  <c r="P361" i="3" s="1"/>
  <c r="G362" i="3"/>
  <c r="G363" i="3"/>
  <c r="G364" i="3"/>
  <c r="G365" i="3"/>
  <c r="G366" i="3"/>
  <c r="G367" i="3"/>
  <c r="H367" i="3" s="1"/>
  <c r="I367" i="3" s="1"/>
  <c r="J367" i="3" s="1"/>
  <c r="K367" i="3" s="1"/>
  <c r="L367" i="3" s="1"/>
  <c r="M367" i="3" s="1"/>
  <c r="N367" i="3" s="1"/>
  <c r="O367" i="3" s="1"/>
  <c r="P367" i="3" s="1"/>
  <c r="G368" i="3"/>
  <c r="G369" i="3"/>
  <c r="H369" i="3" s="1"/>
  <c r="I369" i="3" s="1"/>
  <c r="J369" i="3" s="1"/>
  <c r="K369" i="3" s="1"/>
  <c r="L369" i="3" s="1"/>
  <c r="M369" i="3" s="1"/>
  <c r="N369" i="3" s="1"/>
  <c r="O369" i="3" s="1"/>
  <c r="P369" i="3" s="1"/>
  <c r="G370" i="3"/>
  <c r="G371" i="3"/>
  <c r="G372" i="3"/>
  <c r="H372" i="3" s="1"/>
  <c r="I372" i="3" s="1"/>
  <c r="J372" i="3" s="1"/>
  <c r="K372" i="3" s="1"/>
  <c r="L372" i="3" s="1"/>
  <c r="M372" i="3" s="1"/>
  <c r="N372" i="3" s="1"/>
  <c r="O372" i="3" s="1"/>
  <c r="P372" i="3" s="1"/>
  <c r="G373" i="3"/>
  <c r="G374" i="3"/>
  <c r="H374" i="3" s="1"/>
  <c r="I374" i="3" s="1"/>
  <c r="J374" i="3" s="1"/>
  <c r="K374" i="3" s="1"/>
  <c r="L374" i="3" s="1"/>
  <c r="M374" i="3" s="1"/>
  <c r="N374" i="3" s="1"/>
  <c r="O374" i="3" s="1"/>
  <c r="P374" i="3" s="1"/>
  <c r="G375" i="3"/>
  <c r="H375" i="3" s="1"/>
  <c r="I375" i="3" s="1"/>
  <c r="J375" i="3" s="1"/>
  <c r="K375" i="3" s="1"/>
  <c r="L375" i="3" s="1"/>
  <c r="M375" i="3" s="1"/>
  <c r="N375" i="3" s="1"/>
  <c r="O375" i="3" s="1"/>
  <c r="P375" i="3" s="1"/>
  <c r="G376" i="3"/>
  <c r="G377" i="3"/>
  <c r="G378" i="3"/>
  <c r="G379" i="3"/>
  <c r="G380" i="3"/>
  <c r="H380" i="3" s="1"/>
  <c r="I380" i="3" s="1"/>
  <c r="J380" i="3" s="1"/>
  <c r="K380" i="3" s="1"/>
  <c r="L380" i="3" s="1"/>
  <c r="M380" i="3" s="1"/>
  <c r="N380" i="3" s="1"/>
  <c r="O380" i="3" s="1"/>
  <c r="P380" i="3" s="1"/>
  <c r="G381" i="3"/>
  <c r="G382" i="3"/>
  <c r="G383" i="3"/>
  <c r="H383" i="3" s="1"/>
  <c r="I383" i="3" s="1"/>
  <c r="J383" i="3" s="1"/>
  <c r="K383" i="3" s="1"/>
  <c r="L383" i="3" s="1"/>
  <c r="M383" i="3" s="1"/>
  <c r="N383" i="3" s="1"/>
  <c r="O383" i="3" s="1"/>
  <c r="P383" i="3" s="1"/>
  <c r="G384" i="3"/>
  <c r="H384" i="3" s="1"/>
  <c r="I384" i="3" s="1"/>
  <c r="J384" i="3" s="1"/>
  <c r="K384" i="3" s="1"/>
  <c r="L384" i="3" s="1"/>
  <c r="M384" i="3" s="1"/>
  <c r="N384" i="3" s="1"/>
  <c r="O384" i="3" s="1"/>
  <c r="P384" i="3" s="1"/>
  <c r="G385" i="3"/>
  <c r="H385" i="3" s="1"/>
  <c r="I385" i="3" s="1"/>
  <c r="J385" i="3" s="1"/>
  <c r="K385" i="3" s="1"/>
  <c r="L385" i="3" s="1"/>
  <c r="M385" i="3" s="1"/>
  <c r="N385" i="3" s="1"/>
  <c r="O385" i="3" s="1"/>
  <c r="P385" i="3" s="1"/>
  <c r="G386" i="3"/>
  <c r="G387" i="3"/>
  <c r="G388" i="3"/>
  <c r="H388" i="3" s="1"/>
  <c r="I388" i="3" s="1"/>
  <c r="J388" i="3" s="1"/>
  <c r="K388" i="3" s="1"/>
  <c r="L388" i="3" s="1"/>
  <c r="M388" i="3" s="1"/>
  <c r="N388" i="3" s="1"/>
  <c r="O388" i="3" s="1"/>
  <c r="P388" i="3" s="1"/>
  <c r="G389" i="3"/>
  <c r="G390" i="3"/>
  <c r="G391" i="3"/>
  <c r="G392" i="3"/>
  <c r="G393" i="3"/>
  <c r="G394" i="3"/>
  <c r="G395" i="3"/>
  <c r="G396" i="3"/>
  <c r="H396" i="3" s="1"/>
  <c r="I396" i="3" s="1"/>
  <c r="J396" i="3" s="1"/>
  <c r="K396" i="3" s="1"/>
  <c r="L396" i="3" s="1"/>
  <c r="M396" i="3" s="1"/>
  <c r="N396" i="3" s="1"/>
  <c r="O396" i="3" s="1"/>
  <c r="P396" i="3" s="1"/>
  <c r="G397" i="3"/>
  <c r="G398" i="3"/>
  <c r="H398" i="3" s="1"/>
  <c r="I398" i="3" s="1"/>
  <c r="J398" i="3" s="1"/>
  <c r="K398" i="3" s="1"/>
  <c r="L398" i="3" s="1"/>
  <c r="M398" i="3" s="1"/>
  <c r="N398" i="3" s="1"/>
  <c r="O398" i="3" s="1"/>
  <c r="P398" i="3" s="1"/>
  <c r="G399" i="3"/>
  <c r="H399" i="3" s="1"/>
  <c r="I399" i="3" s="1"/>
  <c r="J399" i="3" s="1"/>
  <c r="K399" i="3" s="1"/>
  <c r="L399" i="3" s="1"/>
  <c r="M399" i="3" s="1"/>
  <c r="N399" i="3" s="1"/>
  <c r="O399" i="3" s="1"/>
  <c r="P399" i="3" s="1"/>
  <c r="G400" i="3"/>
  <c r="G401" i="3"/>
  <c r="G402" i="3"/>
  <c r="G403" i="3"/>
  <c r="G404" i="3"/>
  <c r="G405" i="3"/>
  <c r="G406" i="3"/>
  <c r="H406" i="3" s="1"/>
  <c r="I406" i="3" s="1"/>
  <c r="J406" i="3" s="1"/>
  <c r="K406" i="3" s="1"/>
  <c r="L406" i="3" s="1"/>
  <c r="M406" i="3" s="1"/>
  <c r="N406" i="3" s="1"/>
  <c r="O406" i="3" s="1"/>
  <c r="P406" i="3" s="1"/>
  <c r="G407" i="3"/>
  <c r="G408" i="3"/>
  <c r="G409" i="3"/>
  <c r="H409" i="3" s="1"/>
  <c r="I409" i="3" s="1"/>
  <c r="J409" i="3" s="1"/>
  <c r="K409" i="3" s="1"/>
  <c r="L409" i="3" s="1"/>
  <c r="M409" i="3" s="1"/>
  <c r="N409" i="3" s="1"/>
  <c r="O409" i="3" s="1"/>
  <c r="P409" i="3" s="1"/>
  <c r="G410" i="3"/>
  <c r="G411" i="3"/>
  <c r="G412" i="3"/>
  <c r="H412" i="3" s="1"/>
  <c r="I412" i="3" s="1"/>
  <c r="J412" i="3" s="1"/>
  <c r="K412" i="3" s="1"/>
  <c r="L412" i="3" s="1"/>
  <c r="M412" i="3" s="1"/>
  <c r="N412" i="3" s="1"/>
  <c r="O412" i="3" s="1"/>
  <c r="P412" i="3" s="1"/>
  <c r="G413" i="3"/>
  <c r="G414" i="3"/>
  <c r="G415" i="3"/>
  <c r="G416" i="3"/>
  <c r="G417" i="3"/>
  <c r="G418" i="3"/>
  <c r="G419" i="3"/>
  <c r="G420" i="3"/>
  <c r="G421" i="3"/>
  <c r="G422" i="3"/>
  <c r="G423" i="3"/>
  <c r="H423" i="3" s="1"/>
  <c r="I423" i="3" s="1"/>
  <c r="J423" i="3" s="1"/>
  <c r="K423" i="3" s="1"/>
  <c r="L423" i="3" s="1"/>
  <c r="M423" i="3" s="1"/>
  <c r="N423" i="3" s="1"/>
  <c r="O423" i="3" s="1"/>
  <c r="P423" i="3" s="1"/>
  <c r="G424" i="3"/>
  <c r="H424" i="3" s="1"/>
  <c r="I424" i="3" s="1"/>
  <c r="J424" i="3" s="1"/>
  <c r="K424" i="3" s="1"/>
  <c r="L424" i="3" s="1"/>
  <c r="M424" i="3" s="1"/>
  <c r="N424" i="3" s="1"/>
  <c r="O424" i="3" s="1"/>
  <c r="P424" i="3" s="1"/>
  <c r="G425" i="3"/>
  <c r="G426" i="3"/>
  <c r="G427" i="3"/>
  <c r="G428" i="3"/>
  <c r="G429" i="3"/>
  <c r="G430" i="3"/>
  <c r="G431" i="3"/>
  <c r="H431" i="3" s="1"/>
  <c r="I431" i="3" s="1"/>
  <c r="J431" i="3" s="1"/>
  <c r="K431" i="3" s="1"/>
  <c r="L431" i="3" s="1"/>
  <c r="M431" i="3" s="1"/>
  <c r="N431" i="3" s="1"/>
  <c r="O431" i="3" s="1"/>
  <c r="P431" i="3" s="1"/>
  <c r="G432" i="3"/>
  <c r="G433" i="3"/>
  <c r="G434" i="3"/>
  <c r="G435" i="3"/>
  <c r="G436" i="3"/>
  <c r="H436" i="3" s="1"/>
  <c r="I436" i="3" s="1"/>
  <c r="J436" i="3" s="1"/>
  <c r="K436" i="3" s="1"/>
  <c r="L436" i="3" s="1"/>
  <c r="M436" i="3" s="1"/>
  <c r="N436" i="3" s="1"/>
  <c r="O436" i="3" s="1"/>
  <c r="P436" i="3" s="1"/>
  <c r="G437" i="3"/>
  <c r="G438" i="3"/>
  <c r="G439" i="3"/>
  <c r="G440" i="3"/>
  <c r="G441" i="3"/>
  <c r="G442" i="3"/>
  <c r="G443" i="3"/>
  <c r="G444" i="3"/>
  <c r="G445" i="3"/>
  <c r="G446" i="3"/>
  <c r="G447" i="3"/>
  <c r="H447" i="3" s="1"/>
  <c r="I447" i="3" s="1"/>
  <c r="J447" i="3" s="1"/>
  <c r="K447" i="3" s="1"/>
  <c r="L447" i="3" s="1"/>
  <c r="M447" i="3" s="1"/>
  <c r="N447" i="3" s="1"/>
  <c r="O447" i="3" s="1"/>
  <c r="P447" i="3" s="1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H464" i="3" s="1"/>
  <c r="I464" i="3" s="1"/>
  <c r="J464" i="3" s="1"/>
  <c r="K464" i="3" s="1"/>
  <c r="L464" i="3" s="1"/>
  <c r="M464" i="3" s="1"/>
  <c r="N464" i="3" s="1"/>
  <c r="O464" i="3" s="1"/>
  <c r="P464" i="3" s="1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H487" i="3" s="1"/>
  <c r="I487" i="3" s="1"/>
  <c r="J487" i="3" s="1"/>
  <c r="K487" i="3" s="1"/>
  <c r="L487" i="3" s="1"/>
  <c r="M487" i="3" s="1"/>
  <c r="N487" i="3" s="1"/>
  <c r="O487" i="3" s="1"/>
  <c r="P487" i="3" s="1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H508" i="3" s="1"/>
  <c r="I508" i="3" s="1"/>
  <c r="J508" i="3" s="1"/>
  <c r="K508" i="3" s="1"/>
  <c r="L508" i="3" s="1"/>
  <c r="M508" i="3" s="1"/>
  <c r="N508" i="3" s="1"/>
  <c r="O508" i="3" s="1"/>
  <c r="P508" i="3" s="1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H527" i="3" s="1"/>
  <c r="I527" i="3" s="1"/>
  <c r="J527" i="3" s="1"/>
  <c r="K527" i="3" s="1"/>
  <c r="L527" i="3" s="1"/>
  <c r="M527" i="3" s="1"/>
  <c r="N527" i="3" s="1"/>
  <c r="O527" i="3" s="1"/>
  <c r="P527" i="3" s="1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H550" i="3" s="1"/>
  <c r="I550" i="3" s="1"/>
  <c r="J550" i="3" s="1"/>
  <c r="K550" i="3" s="1"/>
  <c r="L550" i="3" s="1"/>
  <c r="M550" i="3" s="1"/>
  <c r="N550" i="3" s="1"/>
  <c r="O550" i="3" s="1"/>
  <c r="P550" i="3" s="1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H567" i="3" s="1"/>
  <c r="I567" i="3" s="1"/>
  <c r="J567" i="3" s="1"/>
  <c r="K567" i="3" s="1"/>
  <c r="L567" i="3" s="1"/>
  <c r="M567" i="3" s="1"/>
  <c r="N567" i="3" s="1"/>
  <c r="O567" i="3" s="1"/>
  <c r="P567" i="3" s="1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H590" i="3" s="1"/>
  <c r="I590" i="3" s="1"/>
  <c r="J590" i="3" s="1"/>
  <c r="K590" i="3" s="1"/>
  <c r="L590" i="3" s="1"/>
  <c r="M590" i="3" s="1"/>
  <c r="N590" i="3" s="1"/>
  <c r="O590" i="3" s="1"/>
  <c r="P590" i="3" s="1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H609" i="3" s="1"/>
  <c r="I609" i="3" s="1"/>
  <c r="J609" i="3" s="1"/>
  <c r="K609" i="3" s="1"/>
  <c r="L609" i="3" s="1"/>
  <c r="M609" i="3" s="1"/>
  <c r="N609" i="3" s="1"/>
  <c r="O609" i="3" s="1"/>
  <c r="P609" i="3" s="1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H630" i="3" s="1"/>
  <c r="I630" i="3" s="1"/>
  <c r="J630" i="3" s="1"/>
  <c r="K630" i="3" s="1"/>
  <c r="L630" i="3" s="1"/>
  <c r="M630" i="3" s="1"/>
  <c r="N630" i="3" s="1"/>
  <c r="O630" i="3" s="1"/>
  <c r="P630" i="3" s="1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H652" i="3" s="1"/>
  <c r="I652" i="3" s="1"/>
  <c r="J652" i="3" s="1"/>
  <c r="K652" i="3" s="1"/>
  <c r="L652" i="3" s="1"/>
  <c r="M652" i="3" s="1"/>
  <c r="N652" i="3" s="1"/>
  <c r="O652" i="3" s="1"/>
  <c r="P652" i="3" s="1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H669" i="3" s="1"/>
  <c r="I669" i="3" s="1"/>
  <c r="J669" i="3" s="1"/>
  <c r="K669" i="3" s="1"/>
  <c r="L669" i="3" s="1"/>
  <c r="M669" i="3" s="1"/>
  <c r="N669" i="3" s="1"/>
  <c r="O669" i="3" s="1"/>
  <c r="P669" i="3" s="1"/>
  <c r="G670" i="3"/>
  <c r="G671" i="3"/>
  <c r="G672" i="3"/>
  <c r="G673" i="3"/>
  <c r="G674" i="3"/>
  <c r="G675" i="3"/>
  <c r="G676" i="3"/>
  <c r="G677" i="3"/>
  <c r="H677" i="3" s="1"/>
  <c r="I677" i="3" s="1"/>
  <c r="J677" i="3" s="1"/>
  <c r="K677" i="3" s="1"/>
  <c r="L677" i="3" s="1"/>
  <c r="M677" i="3" s="1"/>
  <c r="N677" i="3" s="1"/>
  <c r="O677" i="3" s="1"/>
  <c r="P677" i="3" s="1"/>
  <c r="G678" i="3"/>
  <c r="G679" i="3"/>
  <c r="G680" i="3"/>
  <c r="G681" i="3"/>
  <c r="G682" i="3"/>
  <c r="G683" i="3"/>
  <c r="G684" i="3"/>
  <c r="G685" i="3"/>
  <c r="G686" i="3"/>
  <c r="G687" i="3"/>
  <c r="H687" i="3" s="1"/>
  <c r="I687" i="3" s="1"/>
  <c r="J687" i="3" s="1"/>
  <c r="K687" i="3" s="1"/>
  <c r="L687" i="3" s="1"/>
  <c r="M687" i="3" s="1"/>
  <c r="N687" i="3" s="1"/>
  <c r="O687" i="3" s="1"/>
  <c r="P687" i="3" s="1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H700" i="3" s="1"/>
  <c r="I700" i="3" s="1"/>
  <c r="J700" i="3" s="1"/>
  <c r="K700" i="3" s="1"/>
  <c r="L700" i="3" s="1"/>
  <c r="M700" i="3" s="1"/>
  <c r="N700" i="3" s="1"/>
  <c r="O700" i="3" s="1"/>
  <c r="P700" i="3" s="1"/>
  <c r="G701" i="3"/>
  <c r="G702" i="3"/>
  <c r="G703" i="3"/>
  <c r="G704" i="3"/>
  <c r="G705" i="3"/>
  <c r="G706" i="3"/>
  <c r="G707" i="3"/>
  <c r="G708" i="3"/>
  <c r="G709" i="3"/>
  <c r="G710" i="3"/>
  <c r="G711" i="3"/>
  <c r="G712" i="3"/>
  <c r="H712" i="3" s="1"/>
  <c r="I712" i="3" s="1"/>
  <c r="J712" i="3" s="1"/>
  <c r="K712" i="3" s="1"/>
  <c r="L712" i="3" s="1"/>
  <c r="M712" i="3" s="1"/>
  <c r="N712" i="3" s="1"/>
  <c r="O712" i="3" s="1"/>
  <c r="P712" i="3" s="1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H726" i="3" s="1"/>
  <c r="I726" i="3" s="1"/>
  <c r="J726" i="3" s="1"/>
  <c r="K726" i="3" s="1"/>
  <c r="L726" i="3" s="1"/>
  <c r="M726" i="3" s="1"/>
  <c r="N726" i="3" s="1"/>
  <c r="O726" i="3" s="1"/>
  <c r="P726" i="3" s="1"/>
  <c r="G727" i="3"/>
  <c r="G728" i="3"/>
  <c r="G729" i="3"/>
  <c r="G730" i="3"/>
  <c r="G731" i="3"/>
  <c r="G732" i="3"/>
  <c r="G733" i="3"/>
  <c r="G734" i="3"/>
  <c r="G735" i="3"/>
  <c r="G736" i="3"/>
  <c r="G737" i="3"/>
  <c r="H737" i="3" s="1"/>
  <c r="I737" i="3" s="1"/>
  <c r="J737" i="3" s="1"/>
  <c r="K737" i="3" s="1"/>
  <c r="L737" i="3" s="1"/>
  <c r="M737" i="3" s="1"/>
  <c r="N737" i="3" s="1"/>
  <c r="O737" i="3" s="1"/>
  <c r="P737" i="3" s="1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H751" i="3" s="1"/>
  <c r="I751" i="3" s="1"/>
  <c r="J751" i="3" s="1"/>
  <c r="K751" i="3" s="1"/>
  <c r="L751" i="3" s="1"/>
  <c r="M751" i="3" s="1"/>
  <c r="N751" i="3" s="1"/>
  <c r="O751" i="3" s="1"/>
  <c r="P751" i="3" s="1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H764" i="3" s="1"/>
  <c r="I764" i="3" s="1"/>
  <c r="J764" i="3" s="1"/>
  <c r="K764" i="3" s="1"/>
  <c r="L764" i="3" s="1"/>
  <c r="M764" i="3" s="1"/>
  <c r="N764" i="3" s="1"/>
  <c r="O764" i="3" s="1"/>
  <c r="P764" i="3" s="1"/>
  <c r="G765" i="3"/>
  <c r="G766" i="3"/>
  <c r="G767" i="3"/>
  <c r="G768" i="3"/>
  <c r="G769" i="3"/>
  <c r="G770" i="3"/>
  <c r="G771" i="3"/>
  <c r="G772" i="3"/>
  <c r="G773" i="3"/>
  <c r="G774" i="3"/>
  <c r="G775" i="3"/>
  <c r="G776" i="3"/>
  <c r="H776" i="3" s="1"/>
  <c r="I776" i="3" s="1"/>
  <c r="J776" i="3" s="1"/>
  <c r="K776" i="3" s="1"/>
  <c r="L776" i="3" s="1"/>
  <c r="M776" i="3" s="1"/>
  <c r="N776" i="3" s="1"/>
  <c r="O776" i="3" s="1"/>
  <c r="P776" i="3" s="1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H790" i="3" s="1"/>
  <c r="I790" i="3" s="1"/>
  <c r="J790" i="3" s="1"/>
  <c r="K790" i="3" s="1"/>
  <c r="L790" i="3" s="1"/>
  <c r="M790" i="3" s="1"/>
  <c r="N790" i="3" s="1"/>
  <c r="O790" i="3" s="1"/>
  <c r="P790" i="3" s="1"/>
  <c r="G791" i="3"/>
  <c r="G792" i="3"/>
  <c r="G793" i="3"/>
  <c r="G794" i="3"/>
  <c r="G795" i="3"/>
  <c r="G796" i="3"/>
  <c r="G797" i="3"/>
  <c r="G798" i="3"/>
  <c r="G799" i="3"/>
  <c r="G800" i="3"/>
  <c r="G801" i="3"/>
  <c r="H801" i="3" s="1"/>
  <c r="I801" i="3" s="1"/>
  <c r="J801" i="3" s="1"/>
  <c r="K801" i="3" s="1"/>
  <c r="L801" i="3" s="1"/>
  <c r="M801" i="3" s="1"/>
  <c r="N801" i="3" s="1"/>
  <c r="O801" i="3" s="1"/>
  <c r="P801" i="3" s="1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H815" i="3" s="1"/>
  <c r="I815" i="3" s="1"/>
  <c r="J815" i="3" s="1"/>
  <c r="K815" i="3" s="1"/>
  <c r="L815" i="3" s="1"/>
  <c r="M815" i="3" s="1"/>
  <c r="N815" i="3" s="1"/>
  <c r="O815" i="3" s="1"/>
  <c r="P815" i="3" s="1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H828" i="3" s="1"/>
  <c r="I828" i="3" s="1"/>
  <c r="J828" i="3" s="1"/>
  <c r="K828" i="3" s="1"/>
  <c r="L828" i="3" s="1"/>
  <c r="M828" i="3" s="1"/>
  <c r="N828" i="3" s="1"/>
  <c r="O828" i="3" s="1"/>
  <c r="P828" i="3" s="1"/>
  <c r="G829" i="3"/>
  <c r="G830" i="3"/>
  <c r="G831" i="3"/>
  <c r="G832" i="3"/>
  <c r="G833" i="3"/>
  <c r="G834" i="3"/>
  <c r="G835" i="3"/>
  <c r="G836" i="3"/>
  <c r="G837" i="3"/>
  <c r="G838" i="3"/>
  <c r="G839" i="3"/>
  <c r="G840" i="3"/>
  <c r="H840" i="3" s="1"/>
  <c r="I840" i="3" s="1"/>
  <c r="J840" i="3" s="1"/>
  <c r="K840" i="3" s="1"/>
  <c r="L840" i="3" s="1"/>
  <c r="M840" i="3" s="1"/>
  <c r="N840" i="3" s="1"/>
  <c r="O840" i="3" s="1"/>
  <c r="P840" i="3" s="1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H854" i="3" s="1"/>
  <c r="I854" i="3" s="1"/>
  <c r="J854" i="3" s="1"/>
  <c r="K854" i="3" s="1"/>
  <c r="L854" i="3" s="1"/>
  <c r="M854" i="3" s="1"/>
  <c r="N854" i="3" s="1"/>
  <c r="O854" i="3" s="1"/>
  <c r="P854" i="3" s="1"/>
  <c r="G855" i="3"/>
  <c r="G856" i="3"/>
  <c r="G857" i="3"/>
  <c r="G858" i="3"/>
  <c r="G859" i="3"/>
  <c r="G860" i="3"/>
  <c r="G861" i="3"/>
  <c r="G862" i="3"/>
  <c r="G863" i="3"/>
  <c r="G864" i="3"/>
  <c r="G865" i="3"/>
  <c r="H865" i="3" s="1"/>
  <c r="I865" i="3" s="1"/>
  <c r="J865" i="3" s="1"/>
  <c r="K865" i="3" s="1"/>
  <c r="L865" i="3" s="1"/>
  <c r="M865" i="3" s="1"/>
  <c r="N865" i="3" s="1"/>
  <c r="O865" i="3" s="1"/>
  <c r="P865" i="3" s="1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H879" i="3" s="1"/>
  <c r="I879" i="3" s="1"/>
  <c r="J879" i="3" s="1"/>
  <c r="K879" i="3" s="1"/>
  <c r="L879" i="3" s="1"/>
  <c r="M879" i="3" s="1"/>
  <c r="N879" i="3" s="1"/>
  <c r="O879" i="3" s="1"/>
  <c r="P879" i="3" s="1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H892" i="3" s="1"/>
  <c r="I892" i="3" s="1"/>
  <c r="J892" i="3" s="1"/>
  <c r="K892" i="3" s="1"/>
  <c r="L892" i="3" s="1"/>
  <c r="M892" i="3" s="1"/>
  <c r="N892" i="3" s="1"/>
  <c r="O892" i="3" s="1"/>
  <c r="P892" i="3" s="1"/>
  <c r="G893" i="3"/>
  <c r="G894" i="3"/>
  <c r="G895" i="3"/>
  <c r="G896" i="3"/>
  <c r="G897" i="3"/>
  <c r="G898" i="3"/>
  <c r="G899" i="3"/>
  <c r="G900" i="3"/>
  <c r="G901" i="3"/>
  <c r="G902" i="3"/>
  <c r="G903" i="3"/>
  <c r="G904" i="3"/>
  <c r="H904" i="3" s="1"/>
  <c r="I904" i="3" s="1"/>
  <c r="J904" i="3" s="1"/>
  <c r="K904" i="3" s="1"/>
  <c r="L904" i="3" s="1"/>
  <c r="M904" i="3" s="1"/>
  <c r="N904" i="3" s="1"/>
  <c r="O904" i="3" s="1"/>
  <c r="P904" i="3" s="1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H918" i="3" s="1"/>
  <c r="I918" i="3" s="1"/>
  <c r="J918" i="3" s="1"/>
  <c r="K918" i="3" s="1"/>
  <c r="L918" i="3" s="1"/>
  <c r="M918" i="3" s="1"/>
  <c r="N918" i="3" s="1"/>
  <c r="O918" i="3" s="1"/>
  <c r="P918" i="3" s="1"/>
  <c r="G919" i="3"/>
  <c r="G920" i="3"/>
  <c r="G921" i="3"/>
  <c r="G922" i="3"/>
  <c r="G923" i="3"/>
  <c r="G924" i="3"/>
  <c r="G925" i="3"/>
  <c r="G926" i="3"/>
  <c r="G927" i="3"/>
  <c r="G928" i="3"/>
  <c r="G929" i="3"/>
  <c r="H929" i="3" s="1"/>
  <c r="I929" i="3" s="1"/>
  <c r="J929" i="3" s="1"/>
  <c r="K929" i="3" s="1"/>
  <c r="L929" i="3" s="1"/>
  <c r="M929" i="3" s="1"/>
  <c r="N929" i="3" s="1"/>
  <c r="O929" i="3" s="1"/>
  <c r="P929" i="3" s="1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H942" i="3" s="1"/>
  <c r="I942" i="3" s="1"/>
  <c r="J942" i="3" s="1"/>
  <c r="K942" i="3" s="1"/>
  <c r="L942" i="3" s="1"/>
  <c r="M942" i="3" s="1"/>
  <c r="N942" i="3" s="1"/>
  <c r="O942" i="3" s="1"/>
  <c r="P942" i="3" s="1"/>
  <c r="G943" i="3"/>
  <c r="G944" i="3"/>
  <c r="G945" i="3"/>
  <c r="G946" i="3"/>
  <c r="G947" i="3"/>
  <c r="G948" i="3"/>
  <c r="G949" i="3"/>
  <c r="H949" i="3" s="1"/>
  <c r="I949" i="3" s="1"/>
  <c r="J949" i="3" s="1"/>
  <c r="K949" i="3" s="1"/>
  <c r="L949" i="3" s="1"/>
  <c r="M949" i="3" s="1"/>
  <c r="N949" i="3" s="1"/>
  <c r="O949" i="3" s="1"/>
  <c r="P949" i="3" s="1"/>
  <c r="G950" i="3"/>
  <c r="G951" i="3"/>
  <c r="H951" i="3" s="1"/>
  <c r="I951" i="3" s="1"/>
  <c r="J951" i="3" s="1"/>
  <c r="K951" i="3" s="1"/>
  <c r="L951" i="3" s="1"/>
  <c r="M951" i="3" s="1"/>
  <c r="N951" i="3" s="1"/>
  <c r="O951" i="3" s="1"/>
  <c r="P951" i="3" s="1"/>
  <c r="G952" i="3"/>
  <c r="G953" i="3"/>
  <c r="G954" i="3"/>
  <c r="G955" i="3"/>
  <c r="G956" i="3"/>
  <c r="G957" i="3"/>
  <c r="H957" i="3" s="1"/>
  <c r="I957" i="3" s="1"/>
  <c r="J957" i="3" s="1"/>
  <c r="K957" i="3" s="1"/>
  <c r="L957" i="3" s="1"/>
  <c r="M957" i="3" s="1"/>
  <c r="N957" i="3" s="1"/>
  <c r="O957" i="3" s="1"/>
  <c r="P957" i="3" s="1"/>
  <c r="G958" i="3"/>
  <c r="G959" i="3"/>
  <c r="H959" i="3" s="1"/>
  <c r="I959" i="3" s="1"/>
  <c r="J959" i="3" s="1"/>
  <c r="K959" i="3" s="1"/>
  <c r="L959" i="3" s="1"/>
  <c r="M959" i="3" s="1"/>
  <c r="N959" i="3" s="1"/>
  <c r="O959" i="3" s="1"/>
  <c r="P959" i="3" s="1"/>
  <c r="G960" i="3"/>
  <c r="G961" i="3"/>
  <c r="G962" i="3"/>
  <c r="G963" i="3"/>
  <c r="G964" i="3"/>
  <c r="G965" i="3"/>
  <c r="H965" i="3" s="1"/>
  <c r="I965" i="3" s="1"/>
  <c r="J965" i="3" s="1"/>
  <c r="K965" i="3" s="1"/>
  <c r="L965" i="3" s="1"/>
  <c r="M965" i="3" s="1"/>
  <c r="N965" i="3" s="1"/>
  <c r="O965" i="3" s="1"/>
  <c r="P965" i="3" s="1"/>
  <c r="G966" i="3"/>
  <c r="G967" i="3"/>
  <c r="H967" i="3" s="1"/>
  <c r="I967" i="3" s="1"/>
  <c r="J967" i="3" s="1"/>
  <c r="K967" i="3" s="1"/>
  <c r="L967" i="3" s="1"/>
  <c r="M967" i="3" s="1"/>
  <c r="N967" i="3" s="1"/>
  <c r="O967" i="3" s="1"/>
  <c r="P967" i="3" s="1"/>
  <c r="G968" i="3"/>
  <c r="G969" i="3"/>
  <c r="G970" i="3"/>
  <c r="G971" i="3"/>
  <c r="G972" i="3"/>
  <c r="G973" i="3"/>
  <c r="H973" i="3" s="1"/>
  <c r="I973" i="3" s="1"/>
  <c r="J973" i="3" s="1"/>
  <c r="K973" i="3" s="1"/>
  <c r="L973" i="3" s="1"/>
  <c r="M973" i="3" s="1"/>
  <c r="N973" i="3" s="1"/>
  <c r="O973" i="3" s="1"/>
  <c r="P973" i="3" s="1"/>
  <c r="G974" i="3"/>
  <c r="G975" i="3"/>
  <c r="H975" i="3" s="1"/>
  <c r="I975" i="3" s="1"/>
  <c r="J975" i="3" s="1"/>
  <c r="K975" i="3" s="1"/>
  <c r="L975" i="3" s="1"/>
  <c r="M975" i="3" s="1"/>
  <c r="N975" i="3" s="1"/>
  <c r="O975" i="3" s="1"/>
  <c r="P975" i="3" s="1"/>
  <c r="G976" i="3"/>
  <c r="G977" i="3"/>
  <c r="G978" i="3"/>
  <c r="G979" i="3"/>
  <c r="G980" i="3"/>
  <c r="G981" i="3"/>
  <c r="H981" i="3" s="1"/>
  <c r="I981" i="3" s="1"/>
  <c r="J981" i="3" s="1"/>
  <c r="K981" i="3" s="1"/>
  <c r="L981" i="3" s="1"/>
  <c r="M981" i="3" s="1"/>
  <c r="N981" i="3" s="1"/>
  <c r="O981" i="3" s="1"/>
  <c r="P981" i="3" s="1"/>
  <c r="G982" i="3"/>
  <c r="G983" i="3"/>
  <c r="H983" i="3" s="1"/>
  <c r="I983" i="3" s="1"/>
  <c r="J983" i="3" s="1"/>
  <c r="K983" i="3" s="1"/>
  <c r="L983" i="3" s="1"/>
  <c r="M983" i="3" s="1"/>
  <c r="N983" i="3" s="1"/>
  <c r="O983" i="3" s="1"/>
  <c r="P983" i="3" s="1"/>
  <c r="G984" i="3"/>
  <c r="G985" i="3"/>
  <c r="G986" i="3"/>
  <c r="G987" i="3"/>
  <c r="G988" i="3"/>
  <c r="G989" i="3"/>
  <c r="H989" i="3" s="1"/>
  <c r="I989" i="3" s="1"/>
  <c r="J989" i="3" s="1"/>
  <c r="K989" i="3" s="1"/>
  <c r="L989" i="3" s="1"/>
  <c r="M989" i="3" s="1"/>
  <c r="N989" i="3" s="1"/>
  <c r="O989" i="3" s="1"/>
  <c r="P989" i="3" s="1"/>
  <c r="G990" i="3"/>
  <c r="G991" i="3"/>
  <c r="H991" i="3" s="1"/>
  <c r="I991" i="3" s="1"/>
  <c r="J991" i="3" s="1"/>
  <c r="K991" i="3" s="1"/>
  <c r="L991" i="3" s="1"/>
  <c r="M991" i="3" s="1"/>
  <c r="N991" i="3" s="1"/>
  <c r="O991" i="3" s="1"/>
  <c r="P991" i="3" s="1"/>
  <c r="G992" i="3"/>
  <c r="G993" i="3"/>
  <c r="G994" i="3"/>
  <c r="G995" i="3"/>
  <c r="G996" i="3"/>
  <c r="G997" i="3"/>
  <c r="H997" i="3" s="1"/>
  <c r="I997" i="3" s="1"/>
  <c r="J997" i="3" s="1"/>
  <c r="K997" i="3" s="1"/>
  <c r="L997" i="3" s="1"/>
  <c r="M997" i="3" s="1"/>
  <c r="N997" i="3" s="1"/>
  <c r="O997" i="3" s="1"/>
  <c r="P997" i="3" s="1"/>
  <c r="G998" i="3"/>
  <c r="G999" i="3"/>
  <c r="H999" i="3" s="1"/>
  <c r="I999" i="3" s="1"/>
  <c r="J999" i="3" s="1"/>
  <c r="K999" i="3" s="1"/>
  <c r="L999" i="3" s="1"/>
  <c r="M999" i="3" s="1"/>
  <c r="N999" i="3" s="1"/>
  <c r="O999" i="3" s="1"/>
  <c r="P999" i="3" s="1"/>
  <c r="G1000" i="3"/>
  <c r="G1001" i="3"/>
  <c r="G1002" i="3"/>
  <c r="G1003" i="3"/>
  <c r="G1004" i="3"/>
  <c r="G1005" i="3"/>
  <c r="H1005" i="3" s="1"/>
  <c r="I1005" i="3" s="1"/>
  <c r="J1005" i="3" s="1"/>
  <c r="K1005" i="3" s="1"/>
  <c r="L1005" i="3" s="1"/>
  <c r="M1005" i="3" s="1"/>
  <c r="N1005" i="3" s="1"/>
  <c r="O1005" i="3" s="1"/>
  <c r="P1005" i="3" s="1"/>
  <c r="G6" i="3"/>
  <c r="H6" i="3" s="1"/>
  <c r="I6" i="3" s="1"/>
  <c r="J6" i="3" s="1"/>
  <c r="K6" i="3" s="1"/>
  <c r="L6" i="3" s="1"/>
  <c r="M6" i="3" s="1"/>
  <c r="N6" i="3" s="1"/>
  <c r="O6" i="3" s="1"/>
  <c r="P6" i="3" s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6" i="3"/>
  <c r="O5" i="3"/>
  <c r="P5" i="3" s="1"/>
  <c r="H5" i="3"/>
  <c r="I5" i="3" s="1"/>
  <c r="J5" i="3" s="1"/>
  <c r="K5" i="3" s="1"/>
  <c r="L5" i="3" s="1"/>
  <c r="M5" i="3" s="1"/>
  <c r="N5" i="3" s="1"/>
  <c r="G5" i="3"/>
  <c r="V11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H19" i="2" s="1"/>
  <c r="I19" i="2" s="1"/>
  <c r="J19" i="2" s="1"/>
  <c r="K19" i="2" s="1"/>
  <c r="L19" i="2" s="1"/>
  <c r="M19" i="2" s="1"/>
  <c r="N19" i="2" s="1"/>
  <c r="O19" i="2" s="1"/>
  <c r="P19" i="2" s="1"/>
  <c r="G20" i="2"/>
  <c r="G21" i="2"/>
  <c r="G22" i="2"/>
  <c r="G23" i="2"/>
  <c r="G24" i="2"/>
  <c r="G25" i="2"/>
  <c r="G26" i="2"/>
  <c r="G27" i="2"/>
  <c r="H27" i="2" s="1"/>
  <c r="I27" i="2" s="1"/>
  <c r="J27" i="2" s="1"/>
  <c r="K27" i="2" s="1"/>
  <c r="L27" i="2" s="1"/>
  <c r="M27" i="2" s="1"/>
  <c r="N27" i="2" s="1"/>
  <c r="O27" i="2" s="1"/>
  <c r="P27" i="2" s="1"/>
  <c r="G28" i="2"/>
  <c r="G29" i="2"/>
  <c r="G30" i="2"/>
  <c r="G31" i="2"/>
  <c r="G32" i="2"/>
  <c r="H32" i="2" s="1"/>
  <c r="I32" i="2" s="1"/>
  <c r="J32" i="2" s="1"/>
  <c r="K32" i="2" s="1"/>
  <c r="L32" i="2" s="1"/>
  <c r="M32" i="2" s="1"/>
  <c r="N32" i="2" s="1"/>
  <c r="O32" i="2" s="1"/>
  <c r="P32" i="2" s="1"/>
  <c r="G33" i="2"/>
  <c r="G34" i="2"/>
  <c r="G35" i="2"/>
  <c r="H35" i="2" s="1"/>
  <c r="I35" i="2" s="1"/>
  <c r="J35" i="2" s="1"/>
  <c r="K35" i="2" s="1"/>
  <c r="L35" i="2" s="1"/>
  <c r="M35" i="2" s="1"/>
  <c r="N35" i="2" s="1"/>
  <c r="O35" i="2" s="1"/>
  <c r="P35" i="2" s="1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H54" i="2" s="1"/>
  <c r="I54" i="2" s="1"/>
  <c r="J54" i="2" s="1"/>
  <c r="K54" i="2" s="1"/>
  <c r="L54" i="2" s="1"/>
  <c r="M54" i="2" s="1"/>
  <c r="N54" i="2" s="1"/>
  <c r="O54" i="2" s="1"/>
  <c r="P54" i="2" s="1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H75" i="2" s="1"/>
  <c r="I75" i="2" s="1"/>
  <c r="J75" i="2" s="1"/>
  <c r="K75" i="2" s="1"/>
  <c r="L75" i="2" s="1"/>
  <c r="M75" i="2" s="1"/>
  <c r="N75" i="2" s="1"/>
  <c r="O75" i="2" s="1"/>
  <c r="P75" i="2" s="1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H96" i="2" s="1"/>
  <c r="I96" i="2" s="1"/>
  <c r="J96" i="2" s="1"/>
  <c r="K96" i="2" s="1"/>
  <c r="L96" i="2" s="1"/>
  <c r="M96" i="2" s="1"/>
  <c r="N96" i="2" s="1"/>
  <c r="O96" i="2" s="1"/>
  <c r="P96" i="2" s="1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H118" i="2" s="1"/>
  <c r="I118" i="2" s="1"/>
  <c r="J118" i="2" s="1"/>
  <c r="K118" i="2" s="1"/>
  <c r="L118" i="2" s="1"/>
  <c r="M118" i="2" s="1"/>
  <c r="N118" i="2" s="1"/>
  <c r="O118" i="2" s="1"/>
  <c r="P118" i="2" s="1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H139" i="2" s="1"/>
  <c r="I139" i="2" s="1"/>
  <c r="J139" i="2" s="1"/>
  <c r="K139" i="2" s="1"/>
  <c r="L139" i="2" s="1"/>
  <c r="M139" i="2" s="1"/>
  <c r="N139" i="2" s="1"/>
  <c r="O139" i="2" s="1"/>
  <c r="P139" i="2" s="1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H160" i="2" s="1"/>
  <c r="I160" i="2" s="1"/>
  <c r="J160" i="2" s="1"/>
  <c r="K160" i="2" s="1"/>
  <c r="L160" i="2" s="1"/>
  <c r="M160" i="2" s="1"/>
  <c r="N160" i="2" s="1"/>
  <c r="O160" i="2" s="1"/>
  <c r="P160" i="2" s="1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H182" i="2" s="1"/>
  <c r="I182" i="2" s="1"/>
  <c r="J182" i="2" s="1"/>
  <c r="K182" i="2" s="1"/>
  <c r="L182" i="2" s="1"/>
  <c r="M182" i="2" s="1"/>
  <c r="N182" i="2" s="1"/>
  <c r="O182" i="2" s="1"/>
  <c r="P182" i="2" s="1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H203" i="2" s="1"/>
  <c r="I203" i="2" s="1"/>
  <c r="J203" i="2" s="1"/>
  <c r="K203" i="2" s="1"/>
  <c r="L203" i="2" s="1"/>
  <c r="M203" i="2" s="1"/>
  <c r="N203" i="2" s="1"/>
  <c r="O203" i="2" s="1"/>
  <c r="P203" i="2" s="1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H224" i="2" s="1"/>
  <c r="I224" i="2" s="1"/>
  <c r="J224" i="2" s="1"/>
  <c r="K224" i="2" s="1"/>
  <c r="L224" i="2" s="1"/>
  <c r="M224" i="2" s="1"/>
  <c r="N224" i="2" s="1"/>
  <c r="O224" i="2" s="1"/>
  <c r="P224" i="2" s="1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H246" i="2" s="1"/>
  <c r="I246" i="2" s="1"/>
  <c r="J246" i="2" s="1"/>
  <c r="K246" i="2" s="1"/>
  <c r="L246" i="2" s="1"/>
  <c r="M246" i="2" s="1"/>
  <c r="N246" i="2" s="1"/>
  <c r="O246" i="2" s="1"/>
  <c r="P246" i="2" s="1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H267" i="2" s="1"/>
  <c r="I267" i="2" s="1"/>
  <c r="J267" i="2" s="1"/>
  <c r="K267" i="2" s="1"/>
  <c r="L267" i="2" s="1"/>
  <c r="M267" i="2" s="1"/>
  <c r="N267" i="2" s="1"/>
  <c r="O267" i="2" s="1"/>
  <c r="P267" i="2" s="1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H288" i="2" s="1"/>
  <c r="I288" i="2" s="1"/>
  <c r="J288" i="2" s="1"/>
  <c r="K288" i="2" s="1"/>
  <c r="L288" i="2" s="1"/>
  <c r="M288" i="2" s="1"/>
  <c r="N288" i="2" s="1"/>
  <c r="O288" i="2" s="1"/>
  <c r="P288" i="2" s="1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H310" i="2" s="1"/>
  <c r="I310" i="2" s="1"/>
  <c r="J310" i="2" s="1"/>
  <c r="K310" i="2" s="1"/>
  <c r="L310" i="2" s="1"/>
  <c r="M310" i="2" s="1"/>
  <c r="N310" i="2" s="1"/>
  <c r="O310" i="2" s="1"/>
  <c r="P310" i="2" s="1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H331" i="2" s="1"/>
  <c r="I331" i="2" s="1"/>
  <c r="J331" i="2" s="1"/>
  <c r="K331" i="2" s="1"/>
  <c r="L331" i="2" s="1"/>
  <c r="M331" i="2" s="1"/>
  <c r="N331" i="2" s="1"/>
  <c r="O331" i="2" s="1"/>
  <c r="P331" i="2" s="1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H352" i="2" s="1"/>
  <c r="I352" i="2" s="1"/>
  <c r="J352" i="2" s="1"/>
  <c r="K352" i="2" s="1"/>
  <c r="L352" i="2" s="1"/>
  <c r="M352" i="2" s="1"/>
  <c r="N352" i="2" s="1"/>
  <c r="O352" i="2" s="1"/>
  <c r="P352" i="2" s="1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H374" i="2" s="1"/>
  <c r="I374" i="2" s="1"/>
  <c r="J374" i="2" s="1"/>
  <c r="K374" i="2" s="1"/>
  <c r="L374" i="2" s="1"/>
  <c r="M374" i="2" s="1"/>
  <c r="N374" i="2" s="1"/>
  <c r="O374" i="2" s="1"/>
  <c r="P374" i="2" s="1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H395" i="2" s="1"/>
  <c r="I395" i="2" s="1"/>
  <c r="J395" i="2" s="1"/>
  <c r="K395" i="2" s="1"/>
  <c r="L395" i="2" s="1"/>
  <c r="M395" i="2" s="1"/>
  <c r="N395" i="2" s="1"/>
  <c r="O395" i="2" s="1"/>
  <c r="P395" i="2" s="1"/>
  <c r="G396" i="2"/>
  <c r="G397" i="2"/>
  <c r="G398" i="2"/>
  <c r="G399" i="2"/>
  <c r="G400" i="2"/>
  <c r="H400" i="2" s="1"/>
  <c r="I400" i="2" s="1"/>
  <c r="J400" i="2" s="1"/>
  <c r="K400" i="2" s="1"/>
  <c r="L400" i="2" s="1"/>
  <c r="M400" i="2" s="1"/>
  <c r="N400" i="2" s="1"/>
  <c r="O400" i="2" s="1"/>
  <c r="P400" i="2" s="1"/>
  <c r="G401" i="2"/>
  <c r="G402" i="2"/>
  <c r="G403" i="2"/>
  <c r="H403" i="2" s="1"/>
  <c r="I403" i="2" s="1"/>
  <c r="J403" i="2" s="1"/>
  <c r="K403" i="2" s="1"/>
  <c r="L403" i="2" s="1"/>
  <c r="M403" i="2" s="1"/>
  <c r="N403" i="2" s="1"/>
  <c r="O403" i="2" s="1"/>
  <c r="P403" i="2" s="1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H416" i="2" s="1"/>
  <c r="I416" i="2" s="1"/>
  <c r="J416" i="2" s="1"/>
  <c r="K416" i="2" s="1"/>
  <c r="L416" i="2" s="1"/>
  <c r="M416" i="2" s="1"/>
  <c r="N416" i="2" s="1"/>
  <c r="O416" i="2" s="1"/>
  <c r="P416" i="2" s="1"/>
  <c r="G417" i="2"/>
  <c r="G418" i="2"/>
  <c r="G419" i="2"/>
  <c r="G420" i="2"/>
  <c r="G421" i="2"/>
  <c r="G422" i="2"/>
  <c r="H422" i="2" s="1"/>
  <c r="I422" i="2" s="1"/>
  <c r="J422" i="2" s="1"/>
  <c r="K422" i="2" s="1"/>
  <c r="L422" i="2" s="1"/>
  <c r="M422" i="2" s="1"/>
  <c r="N422" i="2" s="1"/>
  <c r="O422" i="2" s="1"/>
  <c r="P422" i="2" s="1"/>
  <c r="G423" i="2"/>
  <c r="G424" i="2"/>
  <c r="H424" i="2" s="1"/>
  <c r="I424" i="2" s="1"/>
  <c r="J424" i="2" s="1"/>
  <c r="K424" i="2" s="1"/>
  <c r="L424" i="2" s="1"/>
  <c r="M424" i="2" s="1"/>
  <c r="N424" i="2" s="1"/>
  <c r="O424" i="2" s="1"/>
  <c r="P424" i="2" s="1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H438" i="2" s="1"/>
  <c r="I438" i="2" s="1"/>
  <c r="J438" i="2" s="1"/>
  <c r="K438" i="2" s="1"/>
  <c r="L438" i="2" s="1"/>
  <c r="M438" i="2" s="1"/>
  <c r="N438" i="2" s="1"/>
  <c r="O438" i="2" s="1"/>
  <c r="P438" i="2" s="1"/>
  <c r="G439" i="2"/>
  <c r="G440" i="2"/>
  <c r="G441" i="2"/>
  <c r="G442" i="2"/>
  <c r="G443" i="2"/>
  <c r="H443" i="2" s="1"/>
  <c r="I443" i="2" s="1"/>
  <c r="J443" i="2" s="1"/>
  <c r="K443" i="2" s="1"/>
  <c r="L443" i="2" s="1"/>
  <c r="M443" i="2" s="1"/>
  <c r="N443" i="2" s="1"/>
  <c r="O443" i="2" s="1"/>
  <c r="P443" i="2" s="1"/>
  <c r="G444" i="2"/>
  <c r="G445" i="2"/>
  <c r="G446" i="2"/>
  <c r="H446" i="2" s="1"/>
  <c r="I446" i="2" s="1"/>
  <c r="J446" i="2" s="1"/>
  <c r="K446" i="2" s="1"/>
  <c r="L446" i="2" s="1"/>
  <c r="M446" i="2" s="1"/>
  <c r="N446" i="2" s="1"/>
  <c r="O446" i="2" s="1"/>
  <c r="P446" i="2" s="1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H459" i="2" s="1"/>
  <c r="I459" i="2" s="1"/>
  <c r="J459" i="2" s="1"/>
  <c r="K459" i="2" s="1"/>
  <c r="L459" i="2" s="1"/>
  <c r="M459" i="2" s="1"/>
  <c r="N459" i="2" s="1"/>
  <c r="O459" i="2" s="1"/>
  <c r="P459" i="2" s="1"/>
  <c r="G460" i="2"/>
  <c r="G461" i="2"/>
  <c r="G462" i="2"/>
  <c r="G463" i="2"/>
  <c r="G464" i="2"/>
  <c r="H464" i="2" s="1"/>
  <c r="I464" i="2" s="1"/>
  <c r="J464" i="2" s="1"/>
  <c r="K464" i="2" s="1"/>
  <c r="L464" i="2" s="1"/>
  <c r="M464" i="2" s="1"/>
  <c r="N464" i="2" s="1"/>
  <c r="O464" i="2" s="1"/>
  <c r="P464" i="2" s="1"/>
  <c r="G465" i="2"/>
  <c r="G466" i="2"/>
  <c r="G467" i="2"/>
  <c r="H467" i="2" s="1"/>
  <c r="I467" i="2" s="1"/>
  <c r="J467" i="2" s="1"/>
  <c r="K467" i="2" s="1"/>
  <c r="L467" i="2" s="1"/>
  <c r="M467" i="2" s="1"/>
  <c r="N467" i="2" s="1"/>
  <c r="O467" i="2" s="1"/>
  <c r="P467" i="2" s="1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H480" i="2" s="1"/>
  <c r="I480" i="2" s="1"/>
  <c r="J480" i="2" s="1"/>
  <c r="K480" i="2" s="1"/>
  <c r="L480" i="2" s="1"/>
  <c r="M480" i="2" s="1"/>
  <c r="N480" i="2" s="1"/>
  <c r="O480" i="2" s="1"/>
  <c r="P480" i="2" s="1"/>
  <c r="G481" i="2"/>
  <c r="G482" i="2"/>
  <c r="G483" i="2"/>
  <c r="G484" i="2"/>
  <c r="G485" i="2"/>
  <c r="G486" i="2"/>
  <c r="H486" i="2" s="1"/>
  <c r="I486" i="2" s="1"/>
  <c r="J486" i="2" s="1"/>
  <c r="K486" i="2" s="1"/>
  <c r="L486" i="2" s="1"/>
  <c r="M486" i="2" s="1"/>
  <c r="N486" i="2" s="1"/>
  <c r="O486" i="2" s="1"/>
  <c r="P486" i="2" s="1"/>
  <c r="G487" i="2"/>
  <c r="G488" i="2"/>
  <c r="H488" i="2" s="1"/>
  <c r="I488" i="2" s="1"/>
  <c r="J488" i="2" s="1"/>
  <c r="K488" i="2" s="1"/>
  <c r="L488" i="2" s="1"/>
  <c r="M488" i="2" s="1"/>
  <c r="N488" i="2" s="1"/>
  <c r="O488" i="2" s="1"/>
  <c r="P488" i="2" s="1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H502" i="2" s="1"/>
  <c r="I502" i="2" s="1"/>
  <c r="J502" i="2" s="1"/>
  <c r="K502" i="2" s="1"/>
  <c r="L502" i="2" s="1"/>
  <c r="M502" i="2" s="1"/>
  <c r="N502" i="2" s="1"/>
  <c r="O502" i="2" s="1"/>
  <c r="P502" i="2" s="1"/>
  <c r="G503" i="2"/>
  <c r="G504" i="2"/>
  <c r="G505" i="2"/>
  <c r="G506" i="2"/>
  <c r="G507" i="2"/>
  <c r="H507" i="2" s="1"/>
  <c r="I507" i="2" s="1"/>
  <c r="J507" i="2" s="1"/>
  <c r="K507" i="2" s="1"/>
  <c r="L507" i="2" s="1"/>
  <c r="M507" i="2" s="1"/>
  <c r="N507" i="2" s="1"/>
  <c r="O507" i="2" s="1"/>
  <c r="P507" i="2" s="1"/>
  <c r="G508" i="2"/>
  <c r="G509" i="2"/>
  <c r="G510" i="2"/>
  <c r="H510" i="2" s="1"/>
  <c r="I510" i="2" s="1"/>
  <c r="J510" i="2" s="1"/>
  <c r="K510" i="2" s="1"/>
  <c r="L510" i="2" s="1"/>
  <c r="M510" i="2" s="1"/>
  <c r="N510" i="2" s="1"/>
  <c r="O510" i="2" s="1"/>
  <c r="P510" i="2" s="1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H523" i="2" s="1"/>
  <c r="I523" i="2" s="1"/>
  <c r="J523" i="2" s="1"/>
  <c r="K523" i="2" s="1"/>
  <c r="L523" i="2" s="1"/>
  <c r="M523" i="2" s="1"/>
  <c r="N523" i="2" s="1"/>
  <c r="O523" i="2" s="1"/>
  <c r="P523" i="2" s="1"/>
  <c r="G524" i="2"/>
  <c r="G525" i="2"/>
  <c r="G526" i="2"/>
  <c r="G527" i="2"/>
  <c r="G528" i="2"/>
  <c r="H528" i="2" s="1"/>
  <c r="I528" i="2" s="1"/>
  <c r="J528" i="2" s="1"/>
  <c r="K528" i="2" s="1"/>
  <c r="L528" i="2" s="1"/>
  <c r="M528" i="2" s="1"/>
  <c r="N528" i="2" s="1"/>
  <c r="O528" i="2" s="1"/>
  <c r="P528" i="2" s="1"/>
  <c r="G529" i="2"/>
  <c r="G530" i="2"/>
  <c r="G531" i="2"/>
  <c r="H531" i="2" s="1"/>
  <c r="I531" i="2" s="1"/>
  <c r="J531" i="2" s="1"/>
  <c r="K531" i="2" s="1"/>
  <c r="L531" i="2" s="1"/>
  <c r="M531" i="2" s="1"/>
  <c r="N531" i="2" s="1"/>
  <c r="O531" i="2" s="1"/>
  <c r="P531" i="2" s="1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H544" i="2" s="1"/>
  <c r="I544" i="2" s="1"/>
  <c r="J544" i="2" s="1"/>
  <c r="K544" i="2" s="1"/>
  <c r="L544" i="2" s="1"/>
  <c r="M544" i="2" s="1"/>
  <c r="N544" i="2" s="1"/>
  <c r="O544" i="2" s="1"/>
  <c r="P544" i="2" s="1"/>
  <c r="G545" i="2"/>
  <c r="G546" i="2"/>
  <c r="G547" i="2"/>
  <c r="G548" i="2"/>
  <c r="G549" i="2"/>
  <c r="G550" i="2"/>
  <c r="H550" i="2" s="1"/>
  <c r="I550" i="2" s="1"/>
  <c r="J550" i="2" s="1"/>
  <c r="K550" i="2" s="1"/>
  <c r="L550" i="2" s="1"/>
  <c r="M550" i="2" s="1"/>
  <c r="N550" i="2" s="1"/>
  <c r="O550" i="2" s="1"/>
  <c r="P550" i="2" s="1"/>
  <c r="G551" i="2"/>
  <c r="G552" i="2"/>
  <c r="H552" i="2" s="1"/>
  <c r="I552" i="2" s="1"/>
  <c r="J552" i="2" s="1"/>
  <c r="K552" i="2" s="1"/>
  <c r="L552" i="2" s="1"/>
  <c r="M552" i="2" s="1"/>
  <c r="N552" i="2" s="1"/>
  <c r="O552" i="2" s="1"/>
  <c r="P552" i="2" s="1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H566" i="2" s="1"/>
  <c r="I566" i="2" s="1"/>
  <c r="J566" i="2" s="1"/>
  <c r="K566" i="2" s="1"/>
  <c r="L566" i="2" s="1"/>
  <c r="M566" i="2" s="1"/>
  <c r="N566" i="2" s="1"/>
  <c r="O566" i="2" s="1"/>
  <c r="P566" i="2" s="1"/>
  <c r="G567" i="2"/>
  <c r="G568" i="2"/>
  <c r="G569" i="2"/>
  <c r="G570" i="2"/>
  <c r="G571" i="2"/>
  <c r="H571" i="2" s="1"/>
  <c r="I571" i="2" s="1"/>
  <c r="J571" i="2" s="1"/>
  <c r="K571" i="2" s="1"/>
  <c r="L571" i="2" s="1"/>
  <c r="M571" i="2" s="1"/>
  <c r="N571" i="2" s="1"/>
  <c r="O571" i="2" s="1"/>
  <c r="P571" i="2" s="1"/>
  <c r="G572" i="2"/>
  <c r="G573" i="2"/>
  <c r="G574" i="2"/>
  <c r="H574" i="2" s="1"/>
  <c r="I574" i="2" s="1"/>
  <c r="J574" i="2" s="1"/>
  <c r="K574" i="2" s="1"/>
  <c r="L574" i="2" s="1"/>
  <c r="M574" i="2" s="1"/>
  <c r="N574" i="2" s="1"/>
  <c r="O574" i="2" s="1"/>
  <c r="P574" i="2" s="1"/>
  <c r="G575" i="2"/>
  <c r="G576" i="2"/>
  <c r="G577" i="2"/>
  <c r="G578" i="2"/>
  <c r="G579" i="2"/>
  <c r="G580" i="2"/>
  <c r="G581" i="2"/>
  <c r="G582" i="2"/>
  <c r="G583" i="2"/>
  <c r="H583" i="2" s="1"/>
  <c r="I583" i="2" s="1"/>
  <c r="J583" i="2" s="1"/>
  <c r="K583" i="2" s="1"/>
  <c r="L583" i="2" s="1"/>
  <c r="M583" i="2" s="1"/>
  <c r="N583" i="2" s="1"/>
  <c r="O583" i="2" s="1"/>
  <c r="P583" i="2" s="1"/>
  <c r="G584" i="2"/>
  <c r="G585" i="2"/>
  <c r="G586" i="2"/>
  <c r="H586" i="2" s="1"/>
  <c r="I586" i="2" s="1"/>
  <c r="J586" i="2" s="1"/>
  <c r="K586" i="2" s="1"/>
  <c r="L586" i="2" s="1"/>
  <c r="M586" i="2" s="1"/>
  <c r="N586" i="2" s="1"/>
  <c r="O586" i="2" s="1"/>
  <c r="P586" i="2" s="1"/>
  <c r="G587" i="2"/>
  <c r="H587" i="2" s="1"/>
  <c r="I587" i="2" s="1"/>
  <c r="J587" i="2" s="1"/>
  <c r="K587" i="2" s="1"/>
  <c r="L587" i="2" s="1"/>
  <c r="M587" i="2" s="1"/>
  <c r="N587" i="2" s="1"/>
  <c r="O587" i="2" s="1"/>
  <c r="P587" i="2" s="1"/>
  <c r="G588" i="2"/>
  <c r="G589" i="2"/>
  <c r="G590" i="2"/>
  <c r="G591" i="2"/>
  <c r="G592" i="2"/>
  <c r="G593" i="2"/>
  <c r="G594" i="2"/>
  <c r="G595" i="2"/>
  <c r="H595" i="2" s="1"/>
  <c r="I595" i="2" s="1"/>
  <c r="J595" i="2" s="1"/>
  <c r="K595" i="2" s="1"/>
  <c r="L595" i="2" s="1"/>
  <c r="M595" i="2" s="1"/>
  <c r="N595" i="2" s="1"/>
  <c r="O595" i="2" s="1"/>
  <c r="P595" i="2" s="1"/>
  <c r="G596" i="2"/>
  <c r="G597" i="2"/>
  <c r="G598" i="2"/>
  <c r="G599" i="2"/>
  <c r="H599" i="2" s="1"/>
  <c r="I599" i="2" s="1"/>
  <c r="J599" i="2" s="1"/>
  <c r="K599" i="2" s="1"/>
  <c r="L599" i="2" s="1"/>
  <c r="M599" i="2" s="1"/>
  <c r="N599" i="2" s="1"/>
  <c r="O599" i="2" s="1"/>
  <c r="P599" i="2" s="1"/>
  <c r="G600" i="2"/>
  <c r="H600" i="2" s="1"/>
  <c r="I600" i="2" s="1"/>
  <c r="J600" i="2" s="1"/>
  <c r="K600" i="2" s="1"/>
  <c r="L600" i="2" s="1"/>
  <c r="M600" i="2" s="1"/>
  <c r="N600" i="2" s="1"/>
  <c r="O600" i="2" s="1"/>
  <c r="P600" i="2" s="1"/>
  <c r="G601" i="2"/>
  <c r="G602" i="2"/>
  <c r="G603" i="2"/>
  <c r="G604" i="2"/>
  <c r="G605" i="2"/>
  <c r="G606" i="2"/>
  <c r="G607" i="2"/>
  <c r="G608" i="2"/>
  <c r="H608" i="2" s="1"/>
  <c r="I608" i="2" s="1"/>
  <c r="J608" i="2" s="1"/>
  <c r="K608" i="2" s="1"/>
  <c r="L608" i="2" s="1"/>
  <c r="M608" i="2" s="1"/>
  <c r="N608" i="2" s="1"/>
  <c r="O608" i="2" s="1"/>
  <c r="P608" i="2" s="1"/>
  <c r="G609" i="2"/>
  <c r="G610" i="2"/>
  <c r="G611" i="2"/>
  <c r="H611" i="2" s="1"/>
  <c r="I611" i="2" s="1"/>
  <c r="J611" i="2" s="1"/>
  <c r="K611" i="2" s="1"/>
  <c r="L611" i="2" s="1"/>
  <c r="M611" i="2" s="1"/>
  <c r="N611" i="2" s="1"/>
  <c r="O611" i="2" s="1"/>
  <c r="P611" i="2" s="1"/>
  <c r="G612" i="2"/>
  <c r="G613" i="2"/>
  <c r="G614" i="2"/>
  <c r="H614" i="2" s="1"/>
  <c r="I614" i="2" s="1"/>
  <c r="J614" i="2" s="1"/>
  <c r="K614" i="2" s="1"/>
  <c r="L614" i="2" s="1"/>
  <c r="M614" i="2" s="1"/>
  <c r="N614" i="2" s="1"/>
  <c r="O614" i="2" s="1"/>
  <c r="P614" i="2" s="1"/>
  <c r="G615" i="2"/>
  <c r="G616" i="2"/>
  <c r="G617" i="2"/>
  <c r="G618" i="2"/>
  <c r="G619" i="2"/>
  <c r="G620" i="2"/>
  <c r="G621" i="2"/>
  <c r="G622" i="2"/>
  <c r="H622" i="2" s="1"/>
  <c r="I622" i="2" s="1"/>
  <c r="J622" i="2" s="1"/>
  <c r="K622" i="2" s="1"/>
  <c r="L622" i="2" s="1"/>
  <c r="M622" i="2" s="1"/>
  <c r="N622" i="2" s="1"/>
  <c r="O622" i="2" s="1"/>
  <c r="P622" i="2" s="1"/>
  <c r="G623" i="2"/>
  <c r="G624" i="2"/>
  <c r="H624" i="2" s="1"/>
  <c r="I624" i="2" s="1"/>
  <c r="J624" i="2" s="1"/>
  <c r="K624" i="2" s="1"/>
  <c r="L624" i="2" s="1"/>
  <c r="M624" i="2" s="1"/>
  <c r="N624" i="2" s="1"/>
  <c r="O624" i="2" s="1"/>
  <c r="P624" i="2" s="1"/>
  <c r="G625" i="2"/>
  <c r="G626" i="2"/>
  <c r="H626" i="2" s="1"/>
  <c r="I626" i="2" s="1"/>
  <c r="J626" i="2" s="1"/>
  <c r="K626" i="2" s="1"/>
  <c r="L626" i="2" s="1"/>
  <c r="M626" i="2" s="1"/>
  <c r="N626" i="2" s="1"/>
  <c r="O626" i="2" s="1"/>
  <c r="P626" i="2" s="1"/>
  <c r="G627" i="2"/>
  <c r="G628" i="2"/>
  <c r="G629" i="2"/>
  <c r="G630" i="2"/>
  <c r="G631" i="2"/>
  <c r="G632" i="2"/>
  <c r="G633" i="2"/>
  <c r="G634" i="2"/>
  <c r="H634" i="2" s="1"/>
  <c r="I634" i="2" s="1"/>
  <c r="J634" i="2" s="1"/>
  <c r="K634" i="2" s="1"/>
  <c r="L634" i="2" s="1"/>
  <c r="M634" i="2" s="1"/>
  <c r="N634" i="2" s="1"/>
  <c r="O634" i="2" s="1"/>
  <c r="P634" i="2" s="1"/>
  <c r="G635" i="2"/>
  <c r="G636" i="2"/>
  <c r="G637" i="2"/>
  <c r="G638" i="2"/>
  <c r="H638" i="2" s="1"/>
  <c r="I638" i="2" s="1"/>
  <c r="J638" i="2" s="1"/>
  <c r="K638" i="2" s="1"/>
  <c r="L638" i="2" s="1"/>
  <c r="M638" i="2" s="1"/>
  <c r="N638" i="2" s="1"/>
  <c r="O638" i="2" s="1"/>
  <c r="P638" i="2" s="1"/>
  <c r="G639" i="2"/>
  <c r="H639" i="2" s="1"/>
  <c r="I639" i="2" s="1"/>
  <c r="J639" i="2" s="1"/>
  <c r="K639" i="2" s="1"/>
  <c r="L639" i="2" s="1"/>
  <c r="M639" i="2" s="1"/>
  <c r="N639" i="2" s="1"/>
  <c r="O639" i="2" s="1"/>
  <c r="P639" i="2" s="1"/>
  <c r="G640" i="2"/>
  <c r="G641" i="2"/>
  <c r="G642" i="2"/>
  <c r="G643" i="2"/>
  <c r="G644" i="2"/>
  <c r="G645" i="2"/>
  <c r="G646" i="2"/>
  <c r="G647" i="2"/>
  <c r="H647" i="2" s="1"/>
  <c r="I647" i="2" s="1"/>
  <c r="J647" i="2" s="1"/>
  <c r="K647" i="2" s="1"/>
  <c r="L647" i="2" s="1"/>
  <c r="M647" i="2" s="1"/>
  <c r="N647" i="2" s="1"/>
  <c r="O647" i="2" s="1"/>
  <c r="P647" i="2" s="1"/>
  <c r="G648" i="2"/>
  <c r="G649" i="2"/>
  <c r="G650" i="2"/>
  <c r="H650" i="2" s="1"/>
  <c r="I650" i="2" s="1"/>
  <c r="J650" i="2" s="1"/>
  <c r="K650" i="2" s="1"/>
  <c r="L650" i="2" s="1"/>
  <c r="M650" i="2" s="1"/>
  <c r="N650" i="2" s="1"/>
  <c r="O650" i="2" s="1"/>
  <c r="P650" i="2" s="1"/>
  <c r="G651" i="2"/>
  <c r="H651" i="2" s="1"/>
  <c r="I651" i="2" s="1"/>
  <c r="J651" i="2" s="1"/>
  <c r="K651" i="2" s="1"/>
  <c r="L651" i="2" s="1"/>
  <c r="M651" i="2" s="1"/>
  <c r="N651" i="2" s="1"/>
  <c r="O651" i="2" s="1"/>
  <c r="P651" i="2" s="1"/>
  <c r="G652" i="2"/>
  <c r="G653" i="2"/>
  <c r="G654" i="2"/>
  <c r="G655" i="2"/>
  <c r="G656" i="2"/>
  <c r="G657" i="2"/>
  <c r="G658" i="2"/>
  <c r="G659" i="2"/>
  <c r="H659" i="2" s="1"/>
  <c r="I659" i="2" s="1"/>
  <c r="J659" i="2" s="1"/>
  <c r="K659" i="2" s="1"/>
  <c r="L659" i="2" s="1"/>
  <c r="M659" i="2" s="1"/>
  <c r="N659" i="2" s="1"/>
  <c r="O659" i="2" s="1"/>
  <c r="P659" i="2" s="1"/>
  <c r="G660" i="2"/>
  <c r="G661" i="2"/>
  <c r="G662" i="2"/>
  <c r="G663" i="2"/>
  <c r="H663" i="2" s="1"/>
  <c r="I663" i="2" s="1"/>
  <c r="J663" i="2" s="1"/>
  <c r="K663" i="2" s="1"/>
  <c r="L663" i="2" s="1"/>
  <c r="M663" i="2" s="1"/>
  <c r="N663" i="2" s="1"/>
  <c r="O663" i="2" s="1"/>
  <c r="P663" i="2" s="1"/>
  <c r="G664" i="2"/>
  <c r="H664" i="2" s="1"/>
  <c r="I664" i="2" s="1"/>
  <c r="J664" i="2" s="1"/>
  <c r="K664" i="2" s="1"/>
  <c r="L664" i="2" s="1"/>
  <c r="M664" i="2" s="1"/>
  <c r="N664" i="2" s="1"/>
  <c r="O664" i="2" s="1"/>
  <c r="P664" i="2" s="1"/>
  <c r="G665" i="2"/>
  <c r="G666" i="2"/>
  <c r="G667" i="2"/>
  <c r="G668" i="2"/>
  <c r="G669" i="2"/>
  <c r="G670" i="2"/>
  <c r="G671" i="2"/>
  <c r="G672" i="2"/>
  <c r="H672" i="2" s="1"/>
  <c r="I672" i="2" s="1"/>
  <c r="J672" i="2" s="1"/>
  <c r="K672" i="2" s="1"/>
  <c r="L672" i="2" s="1"/>
  <c r="M672" i="2" s="1"/>
  <c r="N672" i="2" s="1"/>
  <c r="O672" i="2" s="1"/>
  <c r="P672" i="2" s="1"/>
  <c r="G673" i="2"/>
  <c r="G674" i="2"/>
  <c r="G675" i="2"/>
  <c r="H675" i="2" s="1"/>
  <c r="I675" i="2" s="1"/>
  <c r="J675" i="2" s="1"/>
  <c r="K675" i="2" s="1"/>
  <c r="L675" i="2" s="1"/>
  <c r="M675" i="2" s="1"/>
  <c r="N675" i="2" s="1"/>
  <c r="O675" i="2" s="1"/>
  <c r="P675" i="2" s="1"/>
  <c r="G676" i="2"/>
  <c r="G677" i="2"/>
  <c r="G678" i="2"/>
  <c r="H678" i="2" s="1"/>
  <c r="I678" i="2" s="1"/>
  <c r="J678" i="2" s="1"/>
  <c r="K678" i="2" s="1"/>
  <c r="L678" i="2" s="1"/>
  <c r="M678" i="2" s="1"/>
  <c r="N678" i="2" s="1"/>
  <c r="O678" i="2" s="1"/>
  <c r="P678" i="2" s="1"/>
  <c r="G679" i="2"/>
  <c r="G680" i="2"/>
  <c r="G681" i="2"/>
  <c r="G682" i="2"/>
  <c r="G683" i="2"/>
  <c r="G684" i="2"/>
  <c r="G685" i="2"/>
  <c r="G686" i="2"/>
  <c r="H686" i="2" s="1"/>
  <c r="I686" i="2" s="1"/>
  <c r="J686" i="2" s="1"/>
  <c r="K686" i="2" s="1"/>
  <c r="L686" i="2" s="1"/>
  <c r="M686" i="2" s="1"/>
  <c r="N686" i="2" s="1"/>
  <c r="O686" i="2" s="1"/>
  <c r="P686" i="2" s="1"/>
  <c r="G687" i="2"/>
  <c r="G688" i="2"/>
  <c r="H688" i="2" s="1"/>
  <c r="I688" i="2" s="1"/>
  <c r="J688" i="2" s="1"/>
  <c r="K688" i="2" s="1"/>
  <c r="L688" i="2" s="1"/>
  <c r="M688" i="2" s="1"/>
  <c r="N688" i="2" s="1"/>
  <c r="O688" i="2" s="1"/>
  <c r="P688" i="2" s="1"/>
  <c r="G689" i="2"/>
  <c r="H689" i="2" s="1"/>
  <c r="I689" i="2" s="1"/>
  <c r="J689" i="2" s="1"/>
  <c r="K689" i="2" s="1"/>
  <c r="L689" i="2" s="1"/>
  <c r="M689" i="2" s="1"/>
  <c r="N689" i="2" s="1"/>
  <c r="O689" i="2" s="1"/>
  <c r="P689" i="2" s="1"/>
  <c r="G690" i="2"/>
  <c r="G691" i="2"/>
  <c r="G692" i="2"/>
  <c r="G693" i="2"/>
  <c r="G694" i="2"/>
  <c r="H694" i="2" s="1"/>
  <c r="I694" i="2" s="1"/>
  <c r="J694" i="2" s="1"/>
  <c r="K694" i="2" s="1"/>
  <c r="L694" i="2" s="1"/>
  <c r="M694" i="2" s="1"/>
  <c r="N694" i="2" s="1"/>
  <c r="O694" i="2" s="1"/>
  <c r="P694" i="2" s="1"/>
  <c r="G695" i="2"/>
  <c r="G696" i="2"/>
  <c r="H696" i="2" s="1"/>
  <c r="I696" i="2" s="1"/>
  <c r="J696" i="2" s="1"/>
  <c r="K696" i="2" s="1"/>
  <c r="L696" i="2" s="1"/>
  <c r="M696" i="2" s="1"/>
  <c r="N696" i="2" s="1"/>
  <c r="O696" i="2" s="1"/>
  <c r="P696" i="2" s="1"/>
  <c r="G697" i="2"/>
  <c r="H697" i="2" s="1"/>
  <c r="I697" i="2" s="1"/>
  <c r="J697" i="2" s="1"/>
  <c r="K697" i="2" s="1"/>
  <c r="L697" i="2" s="1"/>
  <c r="M697" i="2" s="1"/>
  <c r="N697" i="2" s="1"/>
  <c r="O697" i="2" s="1"/>
  <c r="P697" i="2" s="1"/>
  <c r="G698" i="2"/>
  <c r="G699" i="2"/>
  <c r="G700" i="2"/>
  <c r="G701" i="2"/>
  <c r="G702" i="2"/>
  <c r="H702" i="2" s="1"/>
  <c r="I702" i="2" s="1"/>
  <c r="J702" i="2" s="1"/>
  <c r="K702" i="2" s="1"/>
  <c r="L702" i="2" s="1"/>
  <c r="M702" i="2" s="1"/>
  <c r="N702" i="2" s="1"/>
  <c r="O702" i="2" s="1"/>
  <c r="P702" i="2" s="1"/>
  <c r="G703" i="2"/>
  <c r="G704" i="2"/>
  <c r="H704" i="2" s="1"/>
  <c r="I704" i="2" s="1"/>
  <c r="J704" i="2" s="1"/>
  <c r="K704" i="2" s="1"/>
  <c r="L704" i="2" s="1"/>
  <c r="M704" i="2" s="1"/>
  <c r="N704" i="2" s="1"/>
  <c r="O704" i="2" s="1"/>
  <c r="P704" i="2" s="1"/>
  <c r="G705" i="2"/>
  <c r="H705" i="2" s="1"/>
  <c r="I705" i="2" s="1"/>
  <c r="J705" i="2" s="1"/>
  <c r="K705" i="2" s="1"/>
  <c r="L705" i="2" s="1"/>
  <c r="M705" i="2" s="1"/>
  <c r="N705" i="2" s="1"/>
  <c r="O705" i="2" s="1"/>
  <c r="P705" i="2" s="1"/>
  <c r="G706" i="2"/>
  <c r="G707" i="2"/>
  <c r="G708" i="2"/>
  <c r="G709" i="2"/>
  <c r="G710" i="2"/>
  <c r="H710" i="2" s="1"/>
  <c r="I710" i="2" s="1"/>
  <c r="J710" i="2" s="1"/>
  <c r="K710" i="2" s="1"/>
  <c r="L710" i="2" s="1"/>
  <c r="M710" i="2" s="1"/>
  <c r="N710" i="2" s="1"/>
  <c r="O710" i="2" s="1"/>
  <c r="P710" i="2" s="1"/>
  <c r="G711" i="2"/>
  <c r="G712" i="2"/>
  <c r="H712" i="2" s="1"/>
  <c r="I712" i="2" s="1"/>
  <c r="J712" i="2" s="1"/>
  <c r="K712" i="2" s="1"/>
  <c r="L712" i="2" s="1"/>
  <c r="M712" i="2" s="1"/>
  <c r="N712" i="2" s="1"/>
  <c r="O712" i="2" s="1"/>
  <c r="P712" i="2" s="1"/>
  <c r="G713" i="2"/>
  <c r="H713" i="2" s="1"/>
  <c r="I713" i="2" s="1"/>
  <c r="J713" i="2" s="1"/>
  <c r="K713" i="2" s="1"/>
  <c r="L713" i="2" s="1"/>
  <c r="M713" i="2" s="1"/>
  <c r="N713" i="2" s="1"/>
  <c r="O713" i="2" s="1"/>
  <c r="P713" i="2" s="1"/>
  <c r="G714" i="2"/>
  <c r="G715" i="2"/>
  <c r="G716" i="2"/>
  <c r="G717" i="2"/>
  <c r="G718" i="2"/>
  <c r="H718" i="2" s="1"/>
  <c r="I718" i="2" s="1"/>
  <c r="J718" i="2" s="1"/>
  <c r="K718" i="2" s="1"/>
  <c r="L718" i="2" s="1"/>
  <c r="M718" i="2" s="1"/>
  <c r="N718" i="2" s="1"/>
  <c r="O718" i="2" s="1"/>
  <c r="P718" i="2" s="1"/>
  <c r="G719" i="2"/>
  <c r="G720" i="2"/>
  <c r="H720" i="2" s="1"/>
  <c r="I720" i="2" s="1"/>
  <c r="J720" i="2" s="1"/>
  <c r="K720" i="2" s="1"/>
  <c r="L720" i="2" s="1"/>
  <c r="M720" i="2" s="1"/>
  <c r="N720" i="2" s="1"/>
  <c r="O720" i="2" s="1"/>
  <c r="P720" i="2" s="1"/>
  <c r="G721" i="2"/>
  <c r="H721" i="2" s="1"/>
  <c r="I721" i="2" s="1"/>
  <c r="J721" i="2" s="1"/>
  <c r="K721" i="2" s="1"/>
  <c r="L721" i="2" s="1"/>
  <c r="M721" i="2" s="1"/>
  <c r="N721" i="2" s="1"/>
  <c r="O721" i="2" s="1"/>
  <c r="P721" i="2" s="1"/>
  <c r="G722" i="2"/>
  <c r="G723" i="2"/>
  <c r="G724" i="2"/>
  <c r="G725" i="2"/>
  <c r="G726" i="2"/>
  <c r="H726" i="2" s="1"/>
  <c r="I726" i="2" s="1"/>
  <c r="J726" i="2" s="1"/>
  <c r="K726" i="2" s="1"/>
  <c r="L726" i="2" s="1"/>
  <c r="M726" i="2" s="1"/>
  <c r="N726" i="2" s="1"/>
  <c r="O726" i="2" s="1"/>
  <c r="P726" i="2" s="1"/>
  <c r="G727" i="2"/>
  <c r="G728" i="2"/>
  <c r="H728" i="2" s="1"/>
  <c r="I728" i="2" s="1"/>
  <c r="J728" i="2" s="1"/>
  <c r="K728" i="2" s="1"/>
  <c r="L728" i="2" s="1"/>
  <c r="M728" i="2" s="1"/>
  <c r="N728" i="2" s="1"/>
  <c r="O728" i="2" s="1"/>
  <c r="P728" i="2" s="1"/>
  <c r="G729" i="2"/>
  <c r="H729" i="2" s="1"/>
  <c r="I729" i="2" s="1"/>
  <c r="J729" i="2" s="1"/>
  <c r="K729" i="2" s="1"/>
  <c r="L729" i="2" s="1"/>
  <c r="M729" i="2" s="1"/>
  <c r="N729" i="2" s="1"/>
  <c r="O729" i="2" s="1"/>
  <c r="P729" i="2" s="1"/>
  <c r="G730" i="2"/>
  <c r="G731" i="2"/>
  <c r="G732" i="2"/>
  <c r="G733" i="2"/>
  <c r="G734" i="2"/>
  <c r="H734" i="2" s="1"/>
  <c r="I734" i="2" s="1"/>
  <c r="J734" i="2" s="1"/>
  <c r="K734" i="2" s="1"/>
  <c r="L734" i="2" s="1"/>
  <c r="M734" i="2" s="1"/>
  <c r="N734" i="2" s="1"/>
  <c r="O734" i="2" s="1"/>
  <c r="P734" i="2" s="1"/>
  <c r="G735" i="2"/>
  <c r="G736" i="2"/>
  <c r="H736" i="2" s="1"/>
  <c r="I736" i="2" s="1"/>
  <c r="J736" i="2" s="1"/>
  <c r="K736" i="2" s="1"/>
  <c r="L736" i="2" s="1"/>
  <c r="M736" i="2" s="1"/>
  <c r="N736" i="2" s="1"/>
  <c r="O736" i="2" s="1"/>
  <c r="P736" i="2" s="1"/>
  <c r="G737" i="2"/>
  <c r="H737" i="2" s="1"/>
  <c r="I737" i="2" s="1"/>
  <c r="J737" i="2" s="1"/>
  <c r="K737" i="2" s="1"/>
  <c r="L737" i="2" s="1"/>
  <c r="M737" i="2" s="1"/>
  <c r="N737" i="2" s="1"/>
  <c r="O737" i="2" s="1"/>
  <c r="P737" i="2" s="1"/>
  <c r="G738" i="2"/>
  <c r="G739" i="2"/>
  <c r="G740" i="2"/>
  <c r="G741" i="2"/>
  <c r="G742" i="2"/>
  <c r="H742" i="2" s="1"/>
  <c r="I742" i="2" s="1"/>
  <c r="J742" i="2" s="1"/>
  <c r="K742" i="2" s="1"/>
  <c r="L742" i="2" s="1"/>
  <c r="M742" i="2" s="1"/>
  <c r="N742" i="2" s="1"/>
  <c r="O742" i="2" s="1"/>
  <c r="P742" i="2" s="1"/>
  <c r="G743" i="2"/>
  <c r="G744" i="2"/>
  <c r="H744" i="2" s="1"/>
  <c r="I744" i="2" s="1"/>
  <c r="J744" i="2" s="1"/>
  <c r="K744" i="2" s="1"/>
  <c r="L744" i="2" s="1"/>
  <c r="M744" i="2" s="1"/>
  <c r="N744" i="2" s="1"/>
  <c r="O744" i="2" s="1"/>
  <c r="P744" i="2" s="1"/>
  <c r="G745" i="2"/>
  <c r="H745" i="2" s="1"/>
  <c r="I745" i="2" s="1"/>
  <c r="J745" i="2" s="1"/>
  <c r="K745" i="2" s="1"/>
  <c r="L745" i="2" s="1"/>
  <c r="M745" i="2" s="1"/>
  <c r="N745" i="2" s="1"/>
  <c r="O745" i="2" s="1"/>
  <c r="P745" i="2" s="1"/>
  <c r="G746" i="2"/>
  <c r="G747" i="2"/>
  <c r="G748" i="2"/>
  <c r="G749" i="2"/>
  <c r="G750" i="2"/>
  <c r="H750" i="2" s="1"/>
  <c r="I750" i="2" s="1"/>
  <c r="J750" i="2" s="1"/>
  <c r="K750" i="2" s="1"/>
  <c r="L750" i="2" s="1"/>
  <c r="M750" i="2" s="1"/>
  <c r="N750" i="2" s="1"/>
  <c r="O750" i="2" s="1"/>
  <c r="P750" i="2" s="1"/>
  <c r="G751" i="2"/>
  <c r="G752" i="2"/>
  <c r="H752" i="2" s="1"/>
  <c r="I752" i="2" s="1"/>
  <c r="J752" i="2" s="1"/>
  <c r="K752" i="2" s="1"/>
  <c r="L752" i="2" s="1"/>
  <c r="M752" i="2" s="1"/>
  <c r="N752" i="2" s="1"/>
  <c r="O752" i="2" s="1"/>
  <c r="P752" i="2" s="1"/>
  <c r="G753" i="2"/>
  <c r="H753" i="2" s="1"/>
  <c r="I753" i="2" s="1"/>
  <c r="J753" i="2" s="1"/>
  <c r="K753" i="2" s="1"/>
  <c r="L753" i="2" s="1"/>
  <c r="M753" i="2" s="1"/>
  <c r="N753" i="2" s="1"/>
  <c r="O753" i="2" s="1"/>
  <c r="P753" i="2" s="1"/>
  <c r="G754" i="2"/>
  <c r="G755" i="2"/>
  <c r="G756" i="2"/>
  <c r="G757" i="2"/>
  <c r="G758" i="2"/>
  <c r="H758" i="2" s="1"/>
  <c r="I758" i="2" s="1"/>
  <c r="J758" i="2" s="1"/>
  <c r="K758" i="2" s="1"/>
  <c r="L758" i="2" s="1"/>
  <c r="M758" i="2" s="1"/>
  <c r="N758" i="2" s="1"/>
  <c r="O758" i="2" s="1"/>
  <c r="P758" i="2" s="1"/>
  <c r="G759" i="2"/>
  <c r="G760" i="2"/>
  <c r="H760" i="2" s="1"/>
  <c r="I760" i="2" s="1"/>
  <c r="J760" i="2" s="1"/>
  <c r="K760" i="2" s="1"/>
  <c r="L760" i="2" s="1"/>
  <c r="M760" i="2" s="1"/>
  <c r="N760" i="2" s="1"/>
  <c r="O760" i="2" s="1"/>
  <c r="P760" i="2" s="1"/>
  <c r="G761" i="2"/>
  <c r="H761" i="2" s="1"/>
  <c r="I761" i="2" s="1"/>
  <c r="J761" i="2" s="1"/>
  <c r="K761" i="2" s="1"/>
  <c r="L761" i="2" s="1"/>
  <c r="M761" i="2" s="1"/>
  <c r="N761" i="2" s="1"/>
  <c r="O761" i="2" s="1"/>
  <c r="P761" i="2" s="1"/>
  <c r="G762" i="2"/>
  <c r="G763" i="2"/>
  <c r="G764" i="2"/>
  <c r="G765" i="2"/>
  <c r="G766" i="2"/>
  <c r="H766" i="2" s="1"/>
  <c r="I766" i="2" s="1"/>
  <c r="J766" i="2" s="1"/>
  <c r="K766" i="2" s="1"/>
  <c r="L766" i="2" s="1"/>
  <c r="M766" i="2" s="1"/>
  <c r="N766" i="2" s="1"/>
  <c r="O766" i="2" s="1"/>
  <c r="P766" i="2" s="1"/>
  <c r="G767" i="2"/>
  <c r="G768" i="2"/>
  <c r="H768" i="2" s="1"/>
  <c r="I768" i="2" s="1"/>
  <c r="J768" i="2" s="1"/>
  <c r="K768" i="2" s="1"/>
  <c r="L768" i="2" s="1"/>
  <c r="M768" i="2" s="1"/>
  <c r="N768" i="2" s="1"/>
  <c r="O768" i="2" s="1"/>
  <c r="P768" i="2" s="1"/>
  <c r="G769" i="2"/>
  <c r="H769" i="2" s="1"/>
  <c r="I769" i="2" s="1"/>
  <c r="J769" i="2" s="1"/>
  <c r="K769" i="2" s="1"/>
  <c r="L769" i="2" s="1"/>
  <c r="M769" i="2" s="1"/>
  <c r="N769" i="2" s="1"/>
  <c r="O769" i="2" s="1"/>
  <c r="P769" i="2" s="1"/>
  <c r="G770" i="2"/>
  <c r="G771" i="2"/>
  <c r="G772" i="2"/>
  <c r="G773" i="2"/>
  <c r="G774" i="2"/>
  <c r="H774" i="2" s="1"/>
  <c r="I774" i="2" s="1"/>
  <c r="J774" i="2" s="1"/>
  <c r="K774" i="2" s="1"/>
  <c r="L774" i="2" s="1"/>
  <c r="M774" i="2" s="1"/>
  <c r="N774" i="2" s="1"/>
  <c r="O774" i="2" s="1"/>
  <c r="P774" i="2" s="1"/>
  <c r="G775" i="2"/>
  <c r="G776" i="2"/>
  <c r="H776" i="2" s="1"/>
  <c r="I776" i="2" s="1"/>
  <c r="J776" i="2" s="1"/>
  <c r="K776" i="2" s="1"/>
  <c r="L776" i="2" s="1"/>
  <c r="M776" i="2" s="1"/>
  <c r="N776" i="2" s="1"/>
  <c r="O776" i="2" s="1"/>
  <c r="P776" i="2" s="1"/>
  <c r="G777" i="2"/>
  <c r="H777" i="2" s="1"/>
  <c r="I777" i="2" s="1"/>
  <c r="J777" i="2" s="1"/>
  <c r="K777" i="2" s="1"/>
  <c r="L777" i="2" s="1"/>
  <c r="M777" i="2" s="1"/>
  <c r="N777" i="2" s="1"/>
  <c r="O777" i="2" s="1"/>
  <c r="P777" i="2" s="1"/>
  <c r="G778" i="2"/>
  <c r="G779" i="2"/>
  <c r="G780" i="2"/>
  <c r="G781" i="2"/>
  <c r="G782" i="2"/>
  <c r="H782" i="2" s="1"/>
  <c r="I782" i="2" s="1"/>
  <c r="J782" i="2" s="1"/>
  <c r="K782" i="2" s="1"/>
  <c r="L782" i="2" s="1"/>
  <c r="M782" i="2" s="1"/>
  <c r="N782" i="2" s="1"/>
  <c r="O782" i="2" s="1"/>
  <c r="P782" i="2" s="1"/>
  <c r="G783" i="2"/>
  <c r="G784" i="2"/>
  <c r="H784" i="2" s="1"/>
  <c r="I784" i="2" s="1"/>
  <c r="J784" i="2" s="1"/>
  <c r="K784" i="2" s="1"/>
  <c r="L784" i="2" s="1"/>
  <c r="M784" i="2" s="1"/>
  <c r="N784" i="2" s="1"/>
  <c r="O784" i="2" s="1"/>
  <c r="P784" i="2" s="1"/>
  <c r="G785" i="2"/>
  <c r="H785" i="2" s="1"/>
  <c r="I785" i="2" s="1"/>
  <c r="J785" i="2" s="1"/>
  <c r="K785" i="2" s="1"/>
  <c r="L785" i="2" s="1"/>
  <c r="M785" i="2" s="1"/>
  <c r="N785" i="2" s="1"/>
  <c r="O785" i="2" s="1"/>
  <c r="P785" i="2" s="1"/>
  <c r="G786" i="2"/>
  <c r="G787" i="2"/>
  <c r="G788" i="2"/>
  <c r="G789" i="2"/>
  <c r="G790" i="2"/>
  <c r="H790" i="2" s="1"/>
  <c r="I790" i="2" s="1"/>
  <c r="J790" i="2" s="1"/>
  <c r="K790" i="2" s="1"/>
  <c r="L790" i="2" s="1"/>
  <c r="M790" i="2" s="1"/>
  <c r="N790" i="2" s="1"/>
  <c r="O790" i="2" s="1"/>
  <c r="P790" i="2" s="1"/>
  <c r="G791" i="2"/>
  <c r="G792" i="2"/>
  <c r="H792" i="2" s="1"/>
  <c r="I792" i="2" s="1"/>
  <c r="J792" i="2" s="1"/>
  <c r="K792" i="2" s="1"/>
  <c r="L792" i="2" s="1"/>
  <c r="M792" i="2" s="1"/>
  <c r="N792" i="2" s="1"/>
  <c r="O792" i="2" s="1"/>
  <c r="P792" i="2" s="1"/>
  <c r="G793" i="2"/>
  <c r="H793" i="2" s="1"/>
  <c r="I793" i="2" s="1"/>
  <c r="J793" i="2" s="1"/>
  <c r="K793" i="2" s="1"/>
  <c r="L793" i="2" s="1"/>
  <c r="M793" i="2" s="1"/>
  <c r="N793" i="2" s="1"/>
  <c r="O793" i="2" s="1"/>
  <c r="P793" i="2" s="1"/>
  <c r="G794" i="2"/>
  <c r="G795" i="2"/>
  <c r="G796" i="2"/>
  <c r="G797" i="2"/>
  <c r="G798" i="2"/>
  <c r="H798" i="2" s="1"/>
  <c r="I798" i="2" s="1"/>
  <c r="J798" i="2" s="1"/>
  <c r="K798" i="2" s="1"/>
  <c r="L798" i="2" s="1"/>
  <c r="M798" i="2" s="1"/>
  <c r="N798" i="2" s="1"/>
  <c r="O798" i="2" s="1"/>
  <c r="P798" i="2" s="1"/>
  <c r="G799" i="2"/>
  <c r="G800" i="2"/>
  <c r="H800" i="2" s="1"/>
  <c r="I800" i="2" s="1"/>
  <c r="J800" i="2" s="1"/>
  <c r="K800" i="2" s="1"/>
  <c r="L800" i="2" s="1"/>
  <c r="M800" i="2" s="1"/>
  <c r="N800" i="2" s="1"/>
  <c r="O800" i="2" s="1"/>
  <c r="P800" i="2" s="1"/>
  <c r="G801" i="2"/>
  <c r="H801" i="2" s="1"/>
  <c r="I801" i="2" s="1"/>
  <c r="J801" i="2" s="1"/>
  <c r="K801" i="2" s="1"/>
  <c r="L801" i="2" s="1"/>
  <c r="M801" i="2" s="1"/>
  <c r="N801" i="2" s="1"/>
  <c r="O801" i="2" s="1"/>
  <c r="P801" i="2" s="1"/>
  <c r="G802" i="2"/>
  <c r="G803" i="2"/>
  <c r="G804" i="2"/>
  <c r="G805" i="2"/>
  <c r="G806" i="2"/>
  <c r="H806" i="2" s="1"/>
  <c r="I806" i="2" s="1"/>
  <c r="J806" i="2" s="1"/>
  <c r="K806" i="2" s="1"/>
  <c r="L806" i="2" s="1"/>
  <c r="M806" i="2" s="1"/>
  <c r="N806" i="2" s="1"/>
  <c r="O806" i="2" s="1"/>
  <c r="P806" i="2" s="1"/>
  <c r="G807" i="2"/>
  <c r="G808" i="2"/>
  <c r="H808" i="2" s="1"/>
  <c r="I808" i="2" s="1"/>
  <c r="J808" i="2" s="1"/>
  <c r="K808" i="2" s="1"/>
  <c r="L808" i="2" s="1"/>
  <c r="M808" i="2" s="1"/>
  <c r="N808" i="2" s="1"/>
  <c r="O808" i="2" s="1"/>
  <c r="P808" i="2" s="1"/>
  <c r="G809" i="2"/>
  <c r="H809" i="2" s="1"/>
  <c r="I809" i="2" s="1"/>
  <c r="J809" i="2" s="1"/>
  <c r="K809" i="2" s="1"/>
  <c r="L809" i="2" s="1"/>
  <c r="M809" i="2" s="1"/>
  <c r="N809" i="2" s="1"/>
  <c r="O809" i="2" s="1"/>
  <c r="P809" i="2" s="1"/>
  <c r="G810" i="2"/>
  <c r="G811" i="2"/>
  <c r="G812" i="2"/>
  <c r="G813" i="2"/>
  <c r="G814" i="2"/>
  <c r="H814" i="2" s="1"/>
  <c r="I814" i="2" s="1"/>
  <c r="J814" i="2" s="1"/>
  <c r="K814" i="2" s="1"/>
  <c r="L814" i="2" s="1"/>
  <c r="M814" i="2" s="1"/>
  <c r="N814" i="2" s="1"/>
  <c r="O814" i="2" s="1"/>
  <c r="P814" i="2" s="1"/>
  <c r="G815" i="2"/>
  <c r="G816" i="2"/>
  <c r="H816" i="2" s="1"/>
  <c r="I816" i="2" s="1"/>
  <c r="J816" i="2" s="1"/>
  <c r="K816" i="2" s="1"/>
  <c r="L816" i="2" s="1"/>
  <c r="M816" i="2" s="1"/>
  <c r="N816" i="2" s="1"/>
  <c r="O816" i="2" s="1"/>
  <c r="P816" i="2" s="1"/>
  <c r="G817" i="2"/>
  <c r="H817" i="2" s="1"/>
  <c r="I817" i="2" s="1"/>
  <c r="J817" i="2" s="1"/>
  <c r="K817" i="2" s="1"/>
  <c r="L817" i="2" s="1"/>
  <c r="M817" i="2" s="1"/>
  <c r="N817" i="2" s="1"/>
  <c r="O817" i="2" s="1"/>
  <c r="P817" i="2" s="1"/>
  <c r="G818" i="2"/>
  <c r="G819" i="2"/>
  <c r="G820" i="2"/>
  <c r="G821" i="2"/>
  <c r="G822" i="2"/>
  <c r="H822" i="2" s="1"/>
  <c r="I822" i="2" s="1"/>
  <c r="J822" i="2" s="1"/>
  <c r="K822" i="2" s="1"/>
  <c r="L822" i="2" s="1"/>
  <c r="M822" i="2" s="1"/>
  <c r="N822" i="2" s="1"/>
  <c r="O822" i="2" s="1"/>
  <c r="P822" i="2" s="1"/>
  <c r="G823" i="2"/>
  <c r="G824" i="2"/>
  <c r="H824" i="2" s="1"/>
  <c r="I824" i="2" s="1"/>
  <c r="J824" i="2" s="1"/>
  <c r="K824" i="2" s="1"/>
  <c r="L824" i="2" s="1"/>
  <c r="M824" i="2" s="1"/>
  <c r="N824" i="2" s="1"/>
  <c r="O824" i="2" s="1"/>
  <c r="P824" i="2" s="1"/>
  <c r="G825" i="2"/>
  <c r="H825" i="2" s="1"/>
  <c r="I825" i="2" s="1"/>
  <c r="J825" i="2" s="1"/>
  <c r="K825" i="2" s="1"/>
  <c r="L825" i="2" s="1"/>
  <c r="M825" i="2" s="1"/>
  <c r="N825" i="2" s="1"/>
  <c r="O825" i="2" s="1"/>
  <c r="P825" i="2" s="1"/>
  <c r="G826" i="2"/>
  <c r="G827" i="2"/>
  <c r="G828" i="2"/>
  <c r="G829" i="2"/>
  <c r="G830" i="2"/>
  <c r="H830" i="2" s="1"/>
  <c r="I830" i="2" s="1"/>
  <c r="J830" i="2" s="1"/>
  <c r="K830" i="2" s="1"/>
  <c r="L830" i="2" s="1"/>
  <c r="M830" i="2" s="1"/>
  <c r="N830" i="2" s="1"/>
  <c r="O830" i="2" s="1"/>
  <c r="P830" i="2" s="1"/>
  <c r="G831" i="2"/>
  <c r="G832" i="2"/>
  <c r="H832" i="2" s="1"/>
  <c r="I832" i="2" s="1"/>
  <c r="J832" i="2" s="1"/>
  <c r="K832" i="2" s="1"/>
  <c r="L832" i="2" s="1"/>
  <c r="M832" i="2" s="1"/>
  <c r="N832" i="2" s="1"/>
  <c r="O832" i="2" s="1"/>
  <c r="P832" i="2" s="1"/>
  <c r="G833" i="2"/>
  <c r="H833" i="2" s="1"/>
  <c r="I833" i="2" s="1"/>
  <c r="J833" i="2" s="1"/>
  <c r="K833" i="2" s="1"/>
  <c r="L833" i="2" s="1"/>
  <c r="M833" i="2" s="1"/>
  <c r="N833" i="2" s="1"/>
  <c r="O833" i="2" s="1"/>
  <c r="P833" i="2" s="1"/>
  <c r="G834" i="2"/>
  <c r="G835" i="2"/>
  <c r="G836" i="2"/>
  <c r="G837" i="2"/>
  <c r="G838" i="2"/>
  <c r="H838" i="2" s="1"/>
  <c r="I838" i="2" s="1"/>
  <c r="J838" i="2" s="1"/>
  <c r="K838" i="2" s="1"/>
  <c r="L838" i="2" s="1"/>
  <c r="M838" i="2" s="1"/>
  <c r="N838" i="2" s="1"/>
  <c r="O838" i="2" s="1"/>
  <c r="P838" i="2" s="1"/>
  <c r="G839" i="2"/>
  <c r="G840" i="2"/>
  <c r="H840" i="2" s="1"/>
  <c r="I840" i="2" s="1"/>
  <c r="J840" i="2" s="1"/>
  <c r="K840" i="2" s="1"/>
  <c r="L840" i="2" s="1"/>
  <c r="M840" i="2" s="1"/>
  <c r="N840" i="2" s="1"/>
  <c r="O840" i="2" s="1"/>
  <c r="P840" i="2" s="1"/>
  <c r="G841" i="2"/>
  <c r="H841" i="2" s="1"/>
  <c r="I841" i="2" s="1"/>
  <c r="J841" i="2" s="1"/>
  <c r="K841" i="2" s="1"/>
  <c r="L841" i="2" s="1"/>
  <c r="M841" i="2" s="1"/>
  <c r="N841" i="2" s="1"/>
  <c r="O841" i="2" s="1"/>
  <c r="P841" i="2" s="1"/>
  <c r="G842" i="2"/>
  <c r="G843" i="2"/>
  <c r="G844" i="2"/>
  <c r="G845" i="2"/>
  <c r="G846" i="2"/>
  <c r="H846" i="2" s="1"/>
  <c r="I846" i="2" s="1"/>
  <c r="J846" i="2" s="1"/>
  <c r="K846" i="2" s="1"/>
  <c r="L846" i="2" s="1"/>
  <c r="M846" i="2" s="1"/>
  <c r="N846" i="2" s="1"/>
  <c r="O846" i="2" s="1"/>
  <c r="P846" i="2" s="1"/>
  <c r="G847" i="2"/>
  <c r="G848" i="2"/>
  <c r="H848" i="2" s="1"/>
  <c r="I848" i="2" s="1"/>
  <c r="J848" i="2" s="1"/>
  <c r="K848" i="2" s="1"/>
  <c r="L848" i="2" s="1"/>
  <c r="M848" i="2" s="1"/>
  <c r="N848" i="2" s="1"/>
  <c r="O848" i="2" s="1"/>
  <c r="P848" i="2" s="1"/>
  <c r="G849" i="2"/>
  <c r="H849" i="2" s="1"/>
  <c r="I849" i="2" s="1"/>
  <c r="J849" i="2" s="1"/>
  <c r="K849" i="2" s="1"/>
  <c r="L849" i="2" s="1"/>
  <c r="M849" i="2" s="1"/>
  <c r="N849" i="2" s="1"/>
  <c r="O849" i="2" s="1"/>
  <c r="P849" i="2" s="1"/>
  <c r="G850" i="2"/>
  <c r="G851" i="2"/>
  <c r="G852" i="2"/>
  <c r="G853" i="2"/>
  <c r="G854" i="2"/>
  <c r="H854" i="2" s="1"/>
  <c r="I854" i="2" s="1"/>
  <c r="J854" i="2" s="1"/>
  <c r="K854" i="2" s="1"/>
  <c r="L854" i="2" s="1"/>
  <c r="M854" i="2" s="1"/>
  <c r="N854" i="2" s="1"/>
  <c r="O854" i="2" s="1"/>
  <c r="P854" i="2" s="1"/>
  <c r="G855" i="2"/>
  <c r="G856" i="2"/>
  <c r="H856" i="2" s="1"/>
  <c r="I856" i="2" s="1"/>
  <c r="J856" i="2" s="1"/>
  <c r="K856" i="2" s="1"/>
  <c r="L856" i="2" s="1"/>
  <c r="M856" i="2" s="1"/>
  <c r="N856" i="2" s="1"/>
  <c r="O856" i="2" s="1"/>
  <c r="P856" i="2" s="1"/>
  <c r="G857" i="2"/>
  <c r="H857" i="2" s="1"/>
  <c r="I857" i="2" s="1"/>
  <c r="J857" i="2" s="1"/>
  <c r="K857" i="2" s="1"/>
  <c r="L857" i="2" s="1"/>
  <c r="M857" i="2" s="1"/>
  <c r="N857" i="2" s="1"/>
  <c r="O857" i="2" s="1"/>
  <c r="P857" i="2" s="1"/>
  <c r="G858" i="2"/>
  <c r="G859" i="2"/>
  <c r="G860" i="2"/>
  <c r="G861" i="2"/>
  <c r="G862" i="2"/>
  <c r="H862" i="2" s="1"/>
  <c r="I862" i="2" s="1"/>
  <c r="J862" i="2" s="1"/>
  <c r="K862" i="2" s="1"/>
  <c r="L862" i="2" s="1"/>
  <c r="M862" i="2" s="1"/>
  <c r="N862" i="2" s="1"/>
  <c r="O862" i="2" s="1"/>
  <c r="P862" i="2" s="1"/>
  <c r="G863" i="2"/>
  <c r="G864" i="2"/>
  <c r="H864" i="2" s="1"/>
  <c r="I864" i="2" s="1"/>
  <c r="J864" i="2" s="1"/>
  <c r="K864" i="2" s="1"/>
  <c r="L864" i="2" s="1"/>
  <c r="M864" i="2" s="1"/>
  <c r="N864" i="2" s="1"/>
  <c r="O864" i="2" s="1"/>
  <c r="P864" i="2" s="1"/>
  <c r="G865" i="2"/>
  <c r="H865" i="2" s="1"/>
  <c r="I865" i="2" s="1"/>
  <c r="J865" i="2" s="1"/>
  <c r="K865" i="2" s="1"/>
  <c r="L865" i="2" s="1"/>
  <c r="M865" i="2" s="1"/>
  <c r="N865" i="2" s="1"/>
  <c r="O865" i="2" s="1"/>
  <c r="P865" i="2" s="1"/>
  <c r="G866" i="2"/>
  <c r="G867" i="2"/>
  <c r="G868" i="2"/>
  <c r="G869" i="2"/>
  <c r="G870" i="2"/>
  <c r="H870" i="2" s="1"/>
  <c r="I870" i="2" s="1"/>
  <c r="J870" i="2" s="1"/>
  <c r="K870" i="2" s="1"/>
  <c r="L870" i="2" s="1"/>
  <c r="M870" i="2" s="1"/>
  <c r="N870" i="2" s="1"/>
  <c r="O870" i="2" s="1"/>
  <c r="P870" i="2" s="1"/>
  <c r="G871" i="2"/>
  <c r="G872" i="2"/>
  <c r="H872" i="2" s="1"/>
  <c r="I872" i="2" s="1"/>
  <c r="J872" i="2" s="1"/>
  <c r="K872" i="2" s="1"/>
  <c r="L872" i="2" s="1"/>
  <c r="M872" i="2" s="1"/>
  <c r="N872" i="2" s="1"/>
  <c r="O872" i="2" s="1"/>
  <c r="P872" i="2" s="1"/>
  <c r="G873" i="2"/>
  <c r="H873" i="2" s="1"/>
  <c r="I873" i="2" s="1"/>
  <c r="J873" i="2" s="1"/>
  <c r="K873" i="2" s="1"/>
  <c r="L873" i="2" s="1"/>
  <c r="M873" i="2" s="1"/>
  <c r="N873" i="2" s="1"/>
  <c r="O873" i="2" s="1"/>
  <c r="P873" i="2" s="1"/>
  <c r="G874" i="2"/>
  <c r="G875" i="2"/>
  <c r="G876" i="2"/>
  <c r="G877" i="2"/>
  <c r="G878" i="2"/>
  <c r="H878" i="2" s="1"/>
  <c r="I878" i="2" s="1"/>
  <c r="J878" i="2" s="1"/>
  <c r="K878" i="2" s="1"/>
  <c r="L878" i="2" s="1"/>
  <c r="M878" i="2" s="1"/>
  <c r="N878" i="2" s="1"/>
  <c r="O878" i="2" s="1"/>
  <c r="P878" i="2" s="1"/>
  <c r="G879" i="2"/>
  <c r="G880" i="2"/>
  <c r="H880" i="2" s="1"/>
  <c r="I880" i="2" s="1"/>
  <c r="J880" i="2" s="1"/>
  <c r="K880" i="2" s="1"/>
  <c r="L880" i="2" s="1"/>
  <c r="M880" i="2" s="1"/>
  <c r="N880" i="2" s="1"/>
  <c r="O880" i="2" s="1"/>
  <c r="P880" i="2" s="1"/>
  <c r="G881" i="2"/>
  <c r="H881" i="2" s="1"/>
  <c r="I881" i="2" s="1"/>
  <c r="J881" i="2" s="1"/>
  <c r="K881" i="2" s="1"/>
  <c r="L881" i="2" s="1"/>
  <c r="M881" i="2" s="1"/>
  <c r="N881" i="2" s="1"/>
  <c r="O881" i="2" s="1"/>
  <c r="P881" i="2" s="1"/>
  <c r="G882" i="2"/>
  <c r="G883" i="2"/>
  <c r="G884" i="2"/>
  <c r="G885" i="2"/>
  <c r="G886" i="2"/>
  <c r="H886" i="2" s="1"/>
  <c r="I886" i="2" s="1"/>
  <c r="J886" i="2" s="1"/>
  <c r="K886" i="2" s="1"/>
  <c r="L886" i="2" s="1"/>
  <c r="M886" i="2" s="1"/>
  <c r="N886" i="2" s="1"/>
  <c r="O886" i="2" s="1"/>
  <c r="P886" i="2" s="1"/>
  <c r="G887" i="2"/>
  <c r="G888" i="2"/>
  <c r="H888" i="2" s="1"/>
  <c r="I888" i="2" s="1"/>
  <c r="J888" i="2" s="1"/>
  <c r="K888" i="2" s="1"/>
  <c r="L888" i="2" s="1"/>
  <c r="M888" i="2" s="1"/>
  <c r="N888" i="2" s="1"/>
  <c r="O888" i="2" s="1"/>
  <c r="P888" i="2" s="1"/>
  <c r="G889" i="2"/>
  <c r="H889" i="2" s="1"/>
  <c r="I889" i="2" s="1"/>
  <c r="J889" i="2" s="1"/>
  <c r="K889" i="2" s="1"/>
  <c r="L889" i="2" s="1"/>
  <c r="M889" i="2" s="1"/>
  <c r="N889" i="2" s="1"/>
  <c r="O889" i="2" s="1"/>
  <c r="P889" i="2" s="1"/>
  <c r="G890" i="2"/>
  <c r="G891" i="2"/>
  <c r="G892" i="2"/>
  <c r="G893" i="2"/>
  <c r="G894" i="2"/>
  <c r="H894" i="2" s="1"/>
  <c r="I894" i="2" s="1"/>
  <c r="J894" i="2" s="1"/>
  <c r="K894" i="2" s="1"/>
  <c r="L894" i="2" s="1"/>
  <c r="M894" i="2" s="1"/>
  <c r="N894" i="2" s="1"/>
  <c r="O894" i="2" s="1"/>
  <c r="P894" i="2" s="1"/>
  <c r="G895" i="2"/>
  <c r="G896" i="2"/>
  <c r="H896" i="2" s="1"/>
  <c r="I896" i="2" s="1"/>
  <c r="J896" i="2" s="1"/>
  <c r="K896" i="2" s="1"/>
  <c r="L896" i="2" s="1"/>
  <c r="M896" i="2" s="1"/>
  <c r="N896" i="2" s="1"/>
  <c r="O896" i="2" s="1"/>
  <c r="P896" i="2" s="1"/>
  <c r="G897" i="2"/>
  <c r="H897" i="2" s="1"/>
  <c r="I897" i="2" s="1"/>
  <c r="J897" i="2" s="1"/>
  <c r="K897" i="2" s="1"/>
  <c r="L897" i="2" s="1"/>
  <c r="M897" i="2" s="1"/>
  <c r="N897" i="2" s="1"/>
  <c r="O897" i="2" s="1"/>
  <c r="P897" i="2" s="1"/>
  <c r="G898" i="2"/>
  <c r="G899" i="2"/>
  <c r="G900" i="2"/>
  <c r="G901" i="2"/>
  <c r="G902" i="2"/>
  <c r="H902" i="2" s="1"/>
  <c r="I902" i="2" s="1"/>
  <c r="J902" i="2" s="1"/>
  <c r="K902" i="2" s="1"/>
  <c r="L902" i="2" s="1"/>
  <c r="M902" i="2" s="1"/>
  <c r="N902" i="2" s="1"/>
  <c r="O902" i="2" s="1"/>
  <c r="P902" i="2" s="1"/>
  <c r="G903" i="2"/>
  <c r="G904" i="2"/>
  <c r="H904" i="2" s="1"/>
  <c r="I904" i="2" s="1"/>
  <c r="J904" i="2" s="1"/>
  <c r="K904" i="2" s="1"/>
  <c r="L904" i="2" s="1"/>
  <c r="M904" i="2" s="1"/>
  <c r="N904" i="2" s="1"/>
  <c r="O904" i="2" s="1"/>
  <c r="P904" i="2" s="1"/>
  <c r="G905" i="2"/>
  <c r="H905" i="2" s="1"/>
  <c r="I905" i="2" s="1"/>
  <c r="J905" i="2" s="1"/>
  <c r="K905" i="2" s="1"/>
  <c r="L905" i="2" s="1"/>
  <c r="M905" i="2" s="1"/>
  <c r="N905" i="2" s="1"/>
  <c r="O905" i="2" s="1"/>
  <c r="P905" i="2" s="1"/>
  <c r="G906" i="2"/>
  <c r="G907" i="2"/>
  <c r="G908" i="2"/>
  <c r="G909" i="2"/>
  <c r="G910" i="2"/>
  <c r="H910" i="2" s="1"/>
  <c r="I910" i="2" s="1"/>
  <c r="J910" i="2" s="1"/>
  <c r="K910" i="2" s="1"/>
  <c r="L910" i="2" s="1"/>
  <c r="M910" i="2" s="1"/>
  <c r="N910" i="2" s="1"/>
  <c r="O910" i="2" s="1"/>
  <c r="P910" i="2" s="1"/>
  <c r="G911" i="2"/>
  <c r="G912" i="2"/>
  <c r="H912" i="2" s="1"/>
  <c r="I912" i="2" s="1"/>
  <c r="J912" i="2" s="1"/>
  <c r="K912" i="2" s="1"/>
  <c r="L912" i="2" s="1"/>
  <c r="M912" i="2" s="1"/>
  <c r="N912" i="2" s="1"/>
  <c r="O912" i="2" s="1"/>
  <c r="P912" i="2" s="1"/>
  <c r="G913" i="2"/>
  <c r="H913" i="2" s="1"/>
  <c r="I913" i="2" s="1"/>
  <c r="J913" i="2" s="1"/>
  <c r="K913" i="2" s="1"/>
  <c r="L913" i="2" s="1"/>
  <c r="M913" i="2" s="1"/>
  <c r="N913" i="2" s="1"/>
  <c r="O913" i="2" s="1"/>
  <c r="P913" i="2" s="1"/>
  <c r="G914" i="2"/>
  <c r="G915" i="2"/>
  <c r="G916" i="2"/>
  <c r="G917" i="2"/>
  <c r="G918" i="2"/>
  <c r="H918" i="2" s="1"/>
  <c r="I918" i="2" s="1"/>
  <c r="J918" i="2" s="1"/>
  <c r="K918" i="2" s="1"/>
  <c r="L918" i="2" s="1"/>
  <c r="M918" i="2" s="1"/>
  <c r="N918" i="2" s="1"/>
  <c r="O918" i="2" s="1"/>
  <c r="P918" i="2" s="1"/>
  <c r="G919" i="2"/>
  <c r="G920" i="2"/>
  <c r="H920" i="2" s="1"/>
  <c r="I920" i="2" s="1"/>
  <c r="J920" i="2" s="1"/>
  <c r="K920" i="2" s="1"/>
  <c r="L920" i="2" s="1"/>
  <c r="M920" i="2" s="1"/>
  <c r="N920" i="2" s="1"/>
  <c r="O920" i="2" s="1"/>
  <c r="P920" i="2" s="1"/>
  <c r="G921" i="2"/>
  <c r="H921" i="2" s="1"/>
  <c r="I921" i="2" s="1"/>
  <c r="J921" i="2" s="1"/>
  <c r="K921" i="2" s="1"/>
  <c r="L921" i="2" s="1"/>
  <c r="M921" i="2" s="1"/>
  <c r="N921" i="2" s="1"/>
  <c r="O921" i="2" s="1"/>
  <c r="P921" i="2" s="1"/>
  <c r="G922" i="2"/>
  <c r="G923" i="2"/>
  <c r="G924" i="2"/>
  <c r="G925" i="2"/>
  <c r="G926" i="2"/>
  <c r="H926" i="2" s="1"/>
  <c r="I926" i="2" s="1"/>
  <c r="J926" i="2" s="1"/>
  <c r="K926" i="2" s="1"/>
  <c r="L926" i="2" s="1"/>
  <c r="M926" i="2" s="1"/>
  <c r="N926" i="2" s="1"/>
  <c r="O926" i="2" s="1"/>
  <c r="P926" i="2" s="1"/>
  <c r="G927" i="2"/>
  <c r="G928" i="2"/>
  <c r="H928" i="2" s="1"/>
  <c r="I928" i="2" s="1"/>
  <c r="J928" i="2" s="1"/>
  <c r="K928" i="2" s="1"/>
  <c r="L928" i="2" s="1"/>
  <c r="M928" i="2" s="1"/>
  <c r="N928" i="2" s="1"/>
  <c r="O928" i="2" s="1"/>
  <c r="P928" i="2" s="1"/>
  <c r="G929" i="2"/>
  <c r="H929" i="2" s="1"/>
  <c r="I929" i="2" s="1"/>
  <c r="J929" i="2" s="1"/>
  <c r="K929" i="2" s="1"/>
  <c r="L929" i="2" s="1"/>
  <c r="M929" i="2" s="1"/>
  <c r="N929" i="2" s="1"/>
  <c r="O929" i="2" s="1"/>
  <c r="P929" i="2" s="1"/>
  <c r="G930" i="2"/>
  <c r="G931" i="2"/>
  <c r="G932" i="2"/>
  <c r="G933" i="2"/>
  <c r="G934" i="2"/>
  <c r="H934" i="2" s="1"/>
  <c r="I934" i="2" s="1"/>
  <c r="J934" i="2" s="1"/>
  <c r="K934" i="2" s="1"/>
  <c r="L934" i="2" s="1"/>
  <c r="M934" i="2" s="1"/>
  <c r="N934" i="2" s="1"/>
  <c r="O934" i="2" s="1"/>
  <c r="P934" i="2" s="1"/>
  <c r="G935" i="2"/>
  <c r="G936" i="2"/>
  <c r="H936" i="2" s="1"/>
  <c r="I936" i="2" s="1"/>
  <c r="J936" i="2" s="1"/>
  <c r="K936" i="2" s="1"/>
  <c r="L936" i="2" s="1"/>
  <c r="M936" i="2" s="1"/>
  <c r="N936" i="2" s="1"/>
  <c r="O936" i="2" s="1"/>
  <c r="P936" i="2" s="1"/>
  <c r="G937" i="2"/>
  <c r="H937" i="2" s="1"/>
  <c r="I937" i="2" s="1"/>
  <c r="J937" i="2" s="1"/>
  <c r="K937" i="2" s="1"/>
  <c r="L937" i="2" s="1"/>
  <c r="M937" i="2" s="1"/>
  <c r="N937" i="2" s="1"/>
  <c r="O937" i="2" s="1"/>
  <c r="P937" i="2" s="1"/>
  <c r="G938" i="2"/>
  <c r="G939" i="2"/>
  <c r="G940" i="2"/>
  <c r="G941" i="2"/>
  <c r="G942" i="2"/>
  <c r="H942" i="2" s="1"/>
  <c r="I942" i="2" s="1"/>
  <c r="J942" i="2" s="1"/>
  <c r="K942" i="2" s="1"/>
  <c r="L942" i="2" s="1"/>
  <c r="M942" i="2" s="1"/>
  <c r="N942" i="2" s="1"/>
  <c r="O942" i="2" s="1"/>
  <c r="P942" i="2" s="1"/>
  <c r="G943" i="2"/>
  <c r="G944" i="2"/>
  <c r="H944" i="2" s="1"/>
  <c r="I944" i="2" s="1"/>
  <c r="J944" i="2" s="1"/>
  <c r="K944" i="2" s="1"/>
  <c r="L944" i="2" s="1"/>
  <c r="M944" i="2" s="1"/>
  <c r="N944" i="2" s="1"/>
  <c r="O944" i="2" s="1"/>
  <c r="P944" i="2" s="1"/>
  <c r="G945" i="2"/>
  <c r="H945" i="2" s="1"/>
  <c r="I945" i="2" s="1"/>
  <c r="J945" i="2" s="1"/>
  <c r="K945" i="2" s="1"/>
  <c r="L945" i="2" s="1"/>
  <c r="M945" i="2" s="1"/>
  <c r="N945" i="2" s="1"/>
  <c r="O945" i="2" s="1"/>
  <c r="P945" i="2" s="1"/>
  <c r="G946" i="2"/>
  <c r="G947" i="2"/>
  <c r="G948" i="2"/>
  <c r="G949" i="2"/>
  <c r="G950" i="2"/>
  <c r="H950" i="2" s="1"/>
  <c r="I950" i="2" s="1"/>
  <c r="J950" i="2" s="1"/>
  <c r="K950" i="2" s="1"/>
  <c r="L950" i="2" s="1"/>
  <c r="M950" i="2" s="1"/>
  <c r="N950" i="2" s="1"/>
  <c r="O950" i="2" s="1"/>
  <c r="P950" i="2" s="1"/>
  <c r="G951" i="2"/>
  <c r="G952" i="2"/>
  <c r="H952" i="2" s="1"/>
  <c r="I952" i="2" s="1"/>
  <c r="J952" i="2" s="1"/>
  <c r="K952" i="2" s="1"/>
  <c r="L952" i="2" s="1"/>
  <c r="M952" i="2" s="1"/>
  <c r="N952" i="2" s="1"/>
  <c r="O952" i="2" s="1"/>
  <c r="P952" i="2" s="1"/>
  <c r="G953" i="2"/>
  <c r="H953" i="2" s="1"/>
  <c r="I953" i="2" s="1"/>
  <c r="J953" i="2" s="1"/>
  <c r="K953" i="2" s="1"/>
  <c r="L953" i="2" s="1"/>
  <c r="M953" i="2" s="1"/>
  <c r="N953" i="2" s="1"/>
  <c r="O953" i="2" s="1"/>
  <c r="P953" i="2" s="1"/>
  <c r="G954" i="2"/>
  <c r="G955" i="2"/>
  <c r="G956" i="2"/>
  <c r="G957" i="2"/>
  <c r="G958" i="2"/>
  <c r="H958" i="2" s="1"/>
  <c r="I958" i="2" s="1"/>
  <c r="J958" i="2" s="1"/>
  <c r="K958" i="2" s="1"/>
  <c r="L958" i="2" s="1"/>
  <c r="M958" i="2" s="1"/>
  <c r="N958" i="2" s="1"/>
  <c r="O958" i="2" s="1"/>
  <c r="P958" i="2" s="1"/>
  <c r="G959" i="2"/>
  <c r="G960" i="2"/>
  <c r="H960" i="2" s="1"/>
  <c r="I960" i="2" s="1"/>
  <c r="J960" i="2" s="1"/>
  <c r="K960" i="2" s="1"/>
  <c r="L960" i="2" s="1"/>
  <c r="M960" i="2" s="1"/>
  <c r="N960" i="2" s="1"/>
  <c r="O960" i="2" s="1"/>
  <c r="P960" i="2" s="1"/>
  <c r="G961" i="2"/>
  <c r="H961" i="2" s="1"/>
  <c r="I961" i="2" s="1"/>
  <c r="J961" i="2" s="1"/>
  <c r="K961" i="2" s="1"/>
  <c r="L961" i="2" s="1"/>
  <c r="M961" i="2" s="1"/>
  <c r="N961" i="2" s="1"/>
  <c r="O961" i="2" s="1"/>
  <c r="P961" i="2" s="1"/>
  <c r="G962" i="2"/>
  <c r="G963" i="2"/>
  <c r="G964" i="2"/>
  <c r="G965" i="2"/>
  <c r="G966" i="2"/>
  <c r="H966" i="2" s="1"/>
  <c r="I966" i="2" s="1"/>
  <c r="J966" i="2" s="1"/>
  <c r="K966" i="2" s="1"/>
  <c r="L966" i="2" s="1"/>
  <c r="M966" i="2" s="1"/>
  <c r="N966" i="2" s="1"/>
  <c r="O966" i="2" s="1"/>
  <c r="P966" i="2" s="1"/>
  <c r="G967" i="2"/>
  <c r="G968" i="2"/>
  <c r="H968" i="2" s="1"/>
  <c r="I968" i="2" s="1"/>
  <c r="J968" i="2" s="1"/>
  <c r="K968" i="2" s="1"/>
  <c r="L968" i="2" s="1"/>
  <c r="M968" i="2" s="1"/>
  <c r="N968" i="2" s="1"/>
  <c r="O968" i="2" s="1"/>
  <c r="P968" i="2" s="1"/>
  <c r="G969" i="2"/>
  <c r="H969" i="2" s="1"/>
  <c r="I969" i="2" s="1"/>
  <c r="J969" i="2" s="1"/>
  <c r="K969" i="2" s="1"/>
  <c r="L969" i="2" s="1"/>
  <c r="M969" i="2" s="1"/>
  <c r="N969" i="2" s="1"/>
  <c r="O969" i="2" s="1"/>
  <c r="P969" i="2" s="1"/>
  <c r="G970" i="2"/>
  <c r="G971" i="2"/>
  <c r="G972" i="2"/>
  <c r="G973" i="2"/>
  <c r="G974" i="2"/>
  <c r="H974" i="2" s="1"/>
  <c r="I974" i="2" s="1"/>
  <c r="J974" i="2" s="1"/>
  <c r="K974" i="2" s="1"/>
  <c r="L974" i="2" s="1"/>
  <c r="M974" i="2" s="1"/>
  <c r="N974" i="2" s="1"/>
  <c r="O974" i="2" s="1"/>
  <c r="P974" i="2" s="1"/>
  <c r="G975" i="2"/>
  <c r="G976" i="2"/>
  <c r="H976" i="2" s="1"/>
  <c r="I976" i="2" s="1"/>
  <c r="J976" i="2" s="1"/>
  <c r="K976" i="2" s="1"/>
  <c r="L976" i="2" s="1"/>
  <c r="M976" i="2" s="1"/>
  <c r="N976" i="2" s="1"/>
  <c r="O976" i="2" s="1"/>
  <c r="P976" i="2" s="1"/>
  <c r="G977" i="2"/>
  <c r="H977" i="2" s="1"/>
  <c r="I977" i="2" s="1"/>
  <c r="J977" i="2" s="1"/>
  <c r="K977" i="2" s="1"/>
  <c r="L977" i="2" s="1"/>
  <c r="M977" i="2" s="1"/>
  <c r="N977" i="2" s="1"/>
  <c r="O977" i="2" s="1"/>
  <c r="P977" i="2" s="1"/>
  <c r="G978" i="2"/>
  <c r="G979" i="2"/>
  <c r="G980" i="2"/>
  <c r="G981" i="2"/>
  <c r="G982" i="2"/>
  <c r="H982" i="2" s="1"/>
  <c r="I982" i="2" s="1"/>
  <c r="J982" i="2" s="1"/>
  <c r="K982" i="2" s="1"/>
  <c r="L982" i="2" s="1"/>
  <c r="M982" i="2" s="1"/>
  <c r="N982" i="2" s="1"/>
  <c r="O982" i="2" s="1"/>
  <c r="P982" i="2" s="1"/>
  <c r="G983" i="2"/>
  <c r="G984" i="2"/>
  <c r="H984" i="2" s="1"/>
  <c r="I984" i="2" s="1"/>
  <c r="J984" i="2" s="1"/>
  <c r="K984" i="2" s="1"/>
  <c r="L984" i="2" s="1"/>
  <c r="M984" i="2" s="1"/>
  <c r="N984" i="2" s="1"/>
  <c r="O984" i="2" s="1"/>
  <c r="P984" i="2" s="1"/>
  <c r="G985" i="2"/>
  <c r="H985" i="2" s="1"/>
  <c r="I985" i="2" s="1"/>
  <c r="J985" i="2" s="1"/>
  <c r="K985" i="2" s="1"/>
  <c r="L985" i="2" s="1"/>
  <c r="M985" i="2" s="1"/>
  <c r="N985" i="2" s="1"/>
  <c r="O985" i="2" s="1"/>
  <c r="P985" i="2" s="1"/>
  <c r="G986" i="2"/>
  <c r="G987" i="2"/>
  <c r="G988" i="2"/>
  <c r="G989" i="2"/>
  <c r="G990" i="2"/>
  <c r="H990" i="2" s="1"/>
  <c r="I990" i="2" s="1"/>
  <c r="J990" i="2" s="1"/>
  <c r="K990" i="2" s="1"/>
  <c r="L990" i="2" s="1"/>
  <c r="M990" i="2" s="1"/>
  <c r="N990" i="2" s="1"/>
  <c r="O990" i="2" s="1"/>
  <c r="P990" i="2" s="1"/>
  <c r="G991" i="2"/>
  <c r="G992" i="2"/>
  <c r="H992" i="2" s="1"/>
  <c r="I992" i="2" s="1"/>
  <c r="J992" i="2" s="1"/>
  <c r="K992" i="2" s="1"/>
  <c r="L992" i="2" s="1"/>
  <c r="M992" i="2" s="1"/>
  <c r="N992" i="2" s="1"/>
  <c r="O992" i="2" s="1"/>
  <c r="P992" i="2" s="1"/>
  <c r="G993" i="2"/>
  <c r="H993" i="2" s="1"/>
  <c r="I993" i="2" s="1"/>
  <c r="J993" i="2" s="1"/>
  <c r="K993" i="2" s="1"/>
  <c r="L993" i="2" s="1"/>
  <c r="M993" i="2" s="1"/>
  <c r="N993" i="2" s="1"/>
  <c r="O993" i="2" s="1"/>
  <c r="P993" i="2" s="1"/>
  <c r="G994" i="2"/>
  <c r="G995" i="2"/>
  <c r="G996" i="2"/>
  <c r="G997" i="2"/>
  <c r="G998" i="2"/>
  <c r="H998" i="2" s="1"/>
  <c r="I998" i="2" s="1"/>
  <c r="J998" i="2" s="1"/>
  <c r="K998" i="2" s="1"/>
  <c r="L998" i="2" s="1"/>
  <c r="M998" i="2" s="1"/>
  <c r="N998" i="2" s="1"/>
  <c r="O998" i="2" s="1"/>
  <c r="P998" i="2" s="1"/>
  <c r="G999" i="2"/>
  <c r="G1000" i="2"/>
  <c r="H1000" i="2" s="1"/>
  <c r="I1000" i="2" s="1"/>
  <c r="J1000" i="2" s="1"/>
  <c r="K1000" i="2" s="1"/>
  <c r="L1000" i="2" s="1"/>
  <c r="M1000" i="2" s="1"/>
  <c r="N1000" i="2" s="1"/>
  <c r="O1000" i="2" s="1"/>
  <c r="P1000" i="2" s="1"/>
  <c r="G1001" i="2"/>
  <c r="H1001" i="2" s="1"/>
  <c r="I1001" i="2" s="1"/>
  <c r="J1001" i="2" s="1"/>
  <c r="K1001" i="2" s="1"/>
  <c r="L1001" i="2" s="1"/>
  <c r="M1001" i="2" s="1"/>
  <c r="N1001" i="2" s="1"/>
  <c r="O1001" i="2" s="1"/>
  <c r="P1001" i="2" s="1"/>
  <c r="G1002" i="2"/>
  <c r="G1003" i="2"/>
  <c r="G1004" i="2"/>
  <c r="G1005" i="2"/>
  <c r="G6" i="2"/>
  <c r="H6" i="2" s="1"/>
  <c r="I6" i="2" s="1"/>
  <c r="J6" i="2" s="1"/>
  <c r="K6" i="2" s="1"/>
  <c r="L6" i="2" s="1"/>
  <c r="M6" i="2" s="1"/>
  <c r="N6" i="2" s="1"/>
  <c r="O6" i="2" s="1"/>
  <c r="P6" i="2" s="1"/>
  <c r="P5" i="2"/>
  <c r="N5" i="2"/>
  <c r="O5" i="2"/>
  <c r="H5" i="2"/>
  <c r="I5" i="2"/>
  <c r="J5" i="2" s="1"/>
  <c r="K5" i="2" s="1"/>
  <c r="L5" i="2" s="1"/>
  <c r="M5" i="2" s="1"/>
  <c r="G5" i="2"/>
  <c r="C22" i="1"/>
  <c r="C24" i="1" s="1"/>
  <c r="F8" i="1"/>
  <c r="G8" i="1" s="1"/>
  <c r="H8" i="1" s="1"/>
  <c r="I8" i="1" s="1"/>
  <c r="F9" i="1"/>
  <c r="G9" i="1" s="1"/>
  <c r="H9" i="1" s="1"/>
  <c r="I9" i="1" s="1"/>
  <c r="F10" i="1"/>
  <c r="G10" i="1" s="1"/>
  <c r="H10" i="1" s="1"/>
  <c r="I10" i="1" s="1"/>
  <c r="F11" i="1"/>
  <c r="G11" i="1" s="1"/>
  <c r="H11" i="1" s="1"/>
  <c r="I11" i="1" s="1"/>
  <c r="F12" i="1"/>
  <c r="G12" i="1" s="1"/>
  <c r="H12" i="1" s="1"/>
  <c r="I12" i="1" s="1"/>
  <c r="F13" i="1"/>
  <c r="G13" i="1" s="1"/>
  <c r="H13" i="1" s="1"/>
  <c r="I13" i="1" s="1"/>
  <c r="F14" i="1"/>
  <c r="G14" i="1" s="1"/>
  <c r="H14" i="1" s="1"/>
  <c r="I14" i="1" s="1"/>
  <c r="F15" i="1"/>
  <c r="G15" i="1" s="1"/>
  <c r="H15" i="1" s="1"/>
  <c r="I15" i="1" s="1"/>
  <c r="F16" i="1"/>
  <c r="G16" i="1" s="1"/>
  <c r="H16" i="1" s="1"/>
  <c r="I16" i="1" s="1"/>
  <c r="F17" i="1"/>
  <c r="G17" i="1" s="1"/>
  <c r="H17" i="1" s="1"/>
  <c r="I17" i="1" s="1"/>
  <c r="F18" i="1"/>
  <c r="G18" i="1" s="1"/>
  <c r="H18" i="1" s="1"/>
  <c r="I18" i="1" s="1"/>
  <c r="F19" i="1"/>
  <c r="G19" i="1" s="1"/>
  <c r="H19" i="1" s="1"/>
  <c r="I19" i="1" s="1"/>
  <c r="F20" i="1"/>
  <c r="G20" i="1" s="1"/>
  <c r="H20" i="1" s="1"/>
  <c r="I20" i="1" s="1"/>
  <c r="F21" i="1"/>
  <c r="G21" i="1" s="1"/>
  <c r="H21" i="1" s="1"/>
  <c r="I21" i="1" s="1"/>
  <c r="F22" i="1"/>
  <c r="G22" i="1" s="1"/>
  <c r="H22" i="1" s="1"/>
  <c r="I22" i="1" s="1"/>
  <c r="F23" i="1"/>
  <c r="G23" i="1" s="1"/>
  <c r="H23" i="1" s="1"/>
  <c r="I23" i="1" s="1"/>
  <c r="F24" i="1"/>
  <c r="F25" i="1"/>
  <c r="G25" i="1" s="1"/>
  <c r="H25" i="1" s="1"/>
  <c r="I25" i="1" s="1"/>
  <c r="F26" i="1"/>
  <c r="G26" i="1" s="1"/>
  <c r="H26" i="1" s="1"/>
  <c r="I26" i="1" s="1"/>
  <c r="F27" i="1"/>
  <c r="G27" i="1" s="1"/>
  <c r="H27" i="1" s="1"/>
  <c r="I27" i="1" s="1"/>
  <c r="F28" i="1"/>
  <c r="G28" i="1" s="1"/>
  <c r="H28" i="1" s="1"/>
  <c r="I28" i="1" s="1"/>
  <c r="F29" i="1"/>
  <c r="G29" i="1" s="1"/>
  <c r="H29" i="1" s="1"/>
  <c r="I29" i="1" s="1"/>
  <c r="F30" i="1"/>
  <c r="G30" i="1" s="1"/>
  <c r="H30" i="1" s="1"/>
  <c r="I30" i="1" s="1"/>
  <c r="F31" i="1"/>
  <c r="G31" i="1" s="1"/>
  <c r="H31" i="1" s="1"/>
  <c r="I31" i="1" s="1"/>
  <c r="F32" i="1"/>
  <c r="G32" i="1" s="1"/>
  <c r="H32" i="1" s="1"/>
  <c r="I32" i="1" s="1"/>
  <c r="F33" i="1"/>
  <c r="G33" i="1" s="1"/>
  <c r="H33" i="1" s="1"/>
  <c r="I33" i="1" s="1"/>
  <c r="F34" i="1"/>
  <c r="G34" i="1" s="1"/>
  <c r="H34" i="1" s="1"/>
  <c r="I34" i="1" s="1"/>
  <c r="F35" i="1"/>
  <c r="G35" i="1" s="1"/>
  <c r="H35" i="1" s="1"/>
  <c r="I35" i="1" s="1"/>
  <c r="F36" i="1"/>
  <c r="G36" i="1" s="1"/>
  <c r="H36" i="1" s="1"/>
  <c r="I36" i="1" s="1"/>
  <c r="F37" i="1"/>
  <c r="G37" i="1" s="1"/>
  <c r="H37" i="1" s="1"/>
  <c r="I37" i="1" s="1"/>
  <c r="F38" i="1"/>
  <c r="G38" i="1" s="1"/>
  <c r="H38" i="1" s="1"/>
  <c r="I38" i="1" s="1"/>
  <c r="F39" i="1"/>
  <c r="G39" i="1" s="1"/>
  <c r="H39" i="1" s="1"/>
  <c r="I39" i="1" s="1"/>
  <c r="F40" i="1"/>
  <c r="G40" i="1" s="1"/>
  <c r="H40" i="1" s="1"/>
  <c r="I40" i="1" s="1"/>
  <c r="F41" i="1"/>
  <c r="G41" i="1" s="1"/>
  <c r="H41" i="1" s="1"/>
  <c r="I41" i="1" s="1"/>
  <c r="F42" i="1"/>
  <c r="G42" i="1" s="1"/>
  <c r="H42" i="1" s="1"/>
  <c r="I42" i="1" s="1"/>
  <c r="F43" i="1"/>
  <c r="G43" i="1" s="1"/>
  <c r="H43" i="1" s="1"/>
  <c r="I43" i="1" s="1"/>
  <c r="F44" i="1"/>
  <c r="G44" i="1" s="1"/>
  <c r="H44" i="1" s="1"/>
  <c r="I44" i="1" s="1"/>
  <c r="F45" i="1"/>
  <c r="G45" i="1" s="1"/>
  <c r="H45" i="1" s="1"/>
  <c r="I45" i="1" s="1"/>
  <c r="F46" i="1"/>
  <c r="G46" i="1" s="1"/>
  <c r="H46" i="1" s="1"/>
  <c r="I46" i="1" s="1"/>
  <c r="F47" i="1"/>
  <c r="G47" i="1" s="1"/>
  <c r="H47" i="1" s="1"/>
  <c r="I47" i="1" s="1"/>
  <c r="F48" i="1"/>
  <c r="G48" i="1" s="1"/>
  <c r="H48" i="1" s="1"/>
  <c r="I48" i="1" s="1"/>
  <c r="F49" i="1"/>
  <c r="G49" i="1" s="1"/>
  <c r="H49" i="1" s="1"/>
  <c r="I49" i="1" s="1"/>
  <c r="F50" i="1"/>
  <c r="G50" i="1" s="1"/>
  <c r="H50" i="1" s="1"/>
  <c r="I50" i="1" s="1"/>
  <c r="F51" i="1"/>
  <c r="G51" i="1" s="1"/>
  <c r="H51" i="1" s="1"/>
  <c r="I51" i="1" s="1"/>
  <c r="F52" i="1"/>
  <c r="G52" i="1" s="1"/>
  <c r="H52" i="1" s="1"/>
  <c r="I52" i="1" s="1"/>
  <c r="F53" i="1"/>
  <c r="G53" i="1" s="1"/>
  <c r="H53" i="1" s="1"/>
  <c r="I53" i="1" s="1"/>
  <c r="F54" i="1"/>
  <c r="G54" i="1" s="1"/>
  <c r="H54" i="1" s="1"/>
  <c r="I54" i="1" s="1"/>
  <c r="F55" i="1"/>
  <c r="G55" i="1" s="1"/>
  <c r="H55" i="1" s="1"/>
  <c r="I55" i="1" s="1"/>
  <c r="F56" i="1"/>
  <c r="G56" i="1" s="1"/>
  <c r="H56" i="1" s="1"/>
  <c r="I56" i="1" s="1"/>
  <c r="F57" i="1"/>
  <c r="G57" i="1" s="1"/>
  <c r="H57" i="1" s="1"/>
  <c r="I57" i="1" s="1"/>
  <c r="F58" i="1"/>
  <c r="G58" i="1" s="1"/>
  <c r="H58" i="1" s="1"/>
  <c r="I58" i="1" s="1"/>
  <c r="F59" i="1"/>
  <c r="G59" i="1" s="1"/>
  <c r="H59" i="1" s="1"/>
  <c r="I59" i="1" s="1"/>
  <c r="F60" i="1"/>
  <c r="G60" i="1" s="1"/>
  <c r="H60" i="1" s="1"/>
  <c r="I60" i="1" s="1"/>
  <c r="F61" i="1"/>
  <c r="G61" i="1" s="1"/>
  <c r="H61" i="1" s="1"/>
  <c r="I61" i="1" s="1"/>
  <c r="F62" i="1"/>
  <c r="G62" i="1" s="1"/>
  <c r="H62" i="1" s="1"/>
  <c r="I62" i="1" s="1"/>
  <c r="F63" i="1"/>
  <c r="G63" i="1" s="1"/>
  <c r="H63" i="1" s="1"/>
  <c r="I63" i="1" s="1"/>
  <c r="F64" i="1"/>
  <c r="G64" i="1" s="1"/>
  <c r="H64" i="1" s="1"/>
  <c r="I64" i="1" s="1"/>
  <c r="F65" i="1"/>
  <c r="G65" i="1" s="1"/>
  <c r="H65" i="1" s="1"/>
  <c r="I65" i="1" s="1"/>
  <c r="F66" i="1"/>
  <c r="G66" i="1" s="1"/>
  <c r="H66" i="1" s="1"/>
  <c r="I66" i="1" s="1"/>
  <c r="F67" i="1"/>
  <c r="G67" i="1" s="1"/>
  <c r="H67" i="1" s="1"/>
  <c r="I67" i="1" s="1"/>
  <c r="F68" i="1"/>
  <c r="G68" i="1" s="1"/>
  <c r="H68" i="1" s="1"/>
  <c r="I68" i="1" s="1"/>
  <c r="F69" i="1"/>
  <c r="G69" i="1" s="1"/>
  <c r="H69" i="1" s="1"/>
  <c r="I69" i="1" s="1"/>
  <c r="F70" i="1"/>
  <c r="G70" i="1" s="1"/>
  <c r="H70" i="1" s="1"/>
  <c r="I70" i="1" s="1"/>
  <c r="F71" i="1"/>
  <c r="G71" i="1" s="1"/>
  <c r="H71" i="1" s="1"/>
  <c r="I71" i="1" s="1"/>
  <c r="F72" i="1"/>
  <c r="G72" i="1" s="1"/>
  <c r="H72" i="1" s="1"/>
  <c r="I72" i="1" s="1"/>
  <c r="F73" i="1"/>
  <c r="G73" i="1" s="1"/>
  <c r="H73" i="1" s="1"/>
  <c r="I73" i="1" s="1"/>
  <c r="F74" i="1"/>
  <c r="G74" i="1" s="1"/>
  <c r="H74" i="1" s="1"/>
  <c r="I74" i="1" s="1"/>
  <c r="F75" i="1"/>
  <c r="G75" i="1" s="1"/>
  <c r="H75" i="1" s="1"/>
  <c r="I75" i="1" s="1"/>
  <c r="F76" i="1"/>
  <c r="G76" i="1" s="1"/>
  <c r="H76" i="1" s="1"/>
  <c r="I76" i="1" s="1"/>
  <c r="F77" i="1"/>
  <c r="G77" i="1" s="1"/>
  <c r="H77" i="1" s="1"/>
  <c r="I77" i="1" s="1"/>
  <c r="F78" i="1"/>
  <c r="G78" i="1" s="1"/>
  <c r="H78" i="1" s="1"/>
  <c r="I78" i="1" s="1"/>
  <c r="F79" i="1"/>
  <c r="G79" i="1" s="1"/>
  <c r="H79" i="1" s="1"/>
  <c r="I79" i="1" s="1"/>
  <c r="F80" i="1"/>
  <c r="G80" i="1" s="1"/>
  <c r="H80" i="1" s="1"/>
  <c r="I80" i="1" s="1"/>
  <c r="F81" i="1"/>
  <c r="G81" i="1" s="1"/>
  <c r="H81" i="1" s="1"/>
  <c r="I81" i="1" s="1"/>
  <c r="F82" i="1"/>
  <c r="G82" i="1" s="1"/>
  <c r="H82" i="1" s="1"/>
  <c r="I82" i="1" s="1"/>
  <c r="F83" i="1"/>
  <c r="G83" i="1" s="1"/>
  <c r="H83" i="1" s="1"/>
  <c r="I83" i="1" s="1"/>
  <c r="F84" i="1"/>
  <c r="G84" i="1" s="1"/>
  <c r="H84" i="1" s="1"/>
  <c r="I84" i="1" s="1"/>
  <c r="F85" i="1"/>
  <c r="G85" i="1" s="1"/>
  <c r="H85" i="1" s="1"/>
  <c r="I85" i="1" s="1"/>
  <c r="F86" i="1"/>
  <c r="G86" i="1" s="1"/>
  <c r="H86" i="1" s="1"/>
  <c r="I86" i="1" s="1"/>
  <c r="F87" i="1"/>
  <c r="G87" i="1" s="1"/>
  <c r="H87" i="1" s="1"/>
  <c r="I87" i="1" s="1"/>
  <c r="F88" i="1"/>
  <c r="G88" i="1" s="1"/>
  <c r="H88" i="1" s="1"/>
  <c r="I88" i="1" s="1"/>
  <c r="F89" i="1"/>
  <c r="G89" i="1" s="1"/>
  <c r="H89" i="1" s="1"/>
  <c r="I89" i="1" s="1"/>
  <c r="F90" i="1"/>
  <c r="G90" i="1" s="1"/>
  <c r="H90" i="1" s="1"/>
  <c r="I90" i="1" s="1"/>
  <c r="F91" i="1"/>
  <c r="G91" i="1" s="1"/>
  <c r="H91" i="1" s="1"/>
  <c r="I91" i="1" s="1"/>
  <c r="F92" i="1"/>
  <c r="G92" i="1" s="1"/>
  <c r="H92" i="1" s="1"/>
  <c r="I92" i="1" s="1"/>
  <c r="F93" i="1"/>
  <c r="G93" i="1" s="1"/>
  <c r="H93" i="1" s="1"/>
  <c r="I93" i="1" s="1"/>
  <c r="F94" i="1"/>
  <c r="G94" i="1" s="1"/>
  <c r="H94" i="1" s="1"/>
  <c r="I94" i="1" s="1"/>
  <c r="F95" i="1"/>
  <c r="G95" i="1" s="1"/>
  <c r="H95" i="1" s="1"/>
  <c r="I95" i="1" s="1"/>
  <c r="F96" i="1"/>
  <c r="G96" i="1" s="1"/>
  <c r="H96" i="1" s="1"/>
  <c r="I96" i="1" s="1"/>
  <c r="F97" i="1"/>
  <c r="G97" i="1" s="1"/>
  <c r="H97" i="1" s="1"/>
  <c r="I97" i="1" s="1"/>
  <c r="F98" i="1"/>
  <c r="G98" i="1" s="1"/>
  <c r="H98" i="1" s="1"/>
  <c r="I98" i="1" s="1"/>
  <c r="F99" i="1"/>
  <c r="G99" i="1" s="1"/>
  <c r="H99" i="1" s="1"/>
  <c r="I99" i="1" s="1"/>
  <c r="F100" i="1"/>
  <c r="G100" i="1" s="1"/>
  <c r="H100" i="1" s="1"/>
  <c r="I100" i="1" s="1"/>
  <c r="F101" i="1"/>
  <c r="G101" i="1" s="1"/>
  <c r="H101" i="1" s="1"/>
  <c r="I101" i="1" s="1"/>
  <c r="F102" i="1"/>
  <c r="G102" i="1" s="1"/>
  <c r="H102" i="1" s="1"/>
  <c r="I102" i="1" s="1"/>
  <c r="F103" i="1"/>
  <c r="G103" i="1" s="1"/>
  <c r="H103" i="1" s="1"/>
  <c r="I103" i="1" s="1"/>
  <c r="F104" i="1"/>
  <c r="G104" i="1" s="1"/>
  <c r="H104" i="1" s="1"/>
  <c r="I104" i="1" s="1"/>
  <c r="F105" i="1"/>
  <c r="G105" i="1" s="1"/>
  <c r="H105" i="1" s="1"/>
  <c r="I105" i="1" s="1"/>
  <c r="F106" i="1"/>
  <c r="G106" i="1" s="1"/>
  <c r="H106" i="1" s="1"/>
  <c r="I106" i="1" s="1"/>
  <c r="F107" i="1"/>
  <c r="G107" i="1" s="1"/>
  <c r="H107" i="1" s="1"/>
  <c r="I107" i="1" s="1"/>
  <c r="F108" i="1"/>
  <c r="G108" i="1" s="1"/>
  <c r="H108" i="1" s="1"/>
  <c r="I108" i="1" s="1"/>
  <c r="F109" i="1"/>
  <c r="G109" i="1" s="1"/>
  <c r="H109" i="1" s="1"/>
  <c r="I109" i="1" s="1"/>
  <c r="F110" i="1"/>
  <c r="G110" i="1" s="1"/>
  <c r="H110" i="1" s="1"/>
  <c r="I110" i="1" s="1"/>
  <c r="F111" i="1"/>
  <c r="G111" i="1" s="1"/>
  <c r="H111" i="1" s="1"/>
  <c r="I111" i="1" s="1"/>
  <c r="F112" i="1"/>
  <c r="G112" i="1" s="1"/>
  <c r="H112" i="1" s="1"/>
  <c r="I112" i="1" s="1"/>
  <c r="F113" i="1"/>
  <c r="G113" i="1" s="1"/>
  <c r="H113" i="1" s="1"/>
  <c r="I113" i="1" s="1"/>
  <c r="F114" i="1"/>
  <c r="G114" i="1" s="1"/>
  <c r="H114" i="1" s="1"/>
  <c r="I114" i="1" s="1"/>
  <c r="F115" i="1"/>
  <c r="G115" i="1" s="1"/>
  <c r="H115" i="1" s="1"/>
  <c r="I115" i="1" s="1"/>
  <c r="F116" i="1"/>
  <c r="G116" i="1" s="1"/>
  <c r="H116" i="1" s="1"/>
  <c r="I116" i="1" s="1"/>
  <c r="F117" i="1"/>
  <c r="G117" i="1" s="1"/>
  <c r="H117" i="1" s="1"/>
  <c r="I117" i="1" s="1"/>
  <c r="F118" i="1"/>
  <c r="G118" i="1" s="1"/>
  <c r="H118" i="1" s="1"/>
  <c r="I118" i="1" s="1"/>
  <c r="F119" i="1"/>
  <c r="G119" i="1" s="1"/>
  <c r="H119" i="1" s="1"/>
  <c r="I119" i="1" s="1"/>
  <c r="F120" i="1"/>
  <c r="G120" i="1" s="1"/>
  <c r="H120" i="1" s="1"/>
  <c r="I120" i="1" s="1"/>
  <c r="F121" i="1"/>
  <c r="G121" i="1" s="1"/>
  <c r="H121" i="1" s="1"/>
  <c r="I121" i="1" s="1"/>
  <c r="F122" i="1"/>
  <c r="G122" i="1" s="1"/>
  <c r="H122" i="1" s="1"/>
  <c r="I122" i="1" s="1"/>
  <c r="F123" i="1"/>
  <c r="G123" i="1" s="1"/>
  <c r="H123" i="1" s="1"/>
  <c r="I123" i="1" s="1"/>
  <c r="F124" i="1"/>
  <c r="G124" i="1" s="1"/>
  <c r="H124" i="1" s="1"/>
  <c r="I124" i="1" s="1"/>
  <c r="F125" i="1"/>
  <c r="G125" i="1" s="1"/>
  <c r="H125" i="1" s="1"/>
  <c r="I125" i="1" s="1"/>
  <c r="F126" i="1"/>
  <c r="G126" i="1" s="1"/>
  <c r="H126" i="1" s="1"/>
  <c r="I126" i="1" s="1"/>
  <c r="F127" i="1"/>
  <c r="G127" i="1" s="1"/>
  <c r="H127" i="1" s="1"/>
  <c r="I127" i="1" s="1"/>
  <c r="F128" i="1"/>
  <c r="G128" i="1" s="1"/>
  <c r="H128" i="1" s="1"/>
  <c r="I128" i="1" s="1"/>
  <c r="F129" i="1"/>
  <c r="G129" i="1" s="1"/>
  <c r="H129" i="1" s="1"/>
  <c r="I129" i="1" s="1"/>
  <c r="F130" i="1"/>
  <c r="G130" i="1" s="1"/>
  <c r="H130" i="1" s="1"/>
  <c r="I130" i="1" s="1"/>
  <c r="F131" i="1"/>
  <c r="G131" i="1" s="1"/>
  <c r="H131" i="1" s="1"/>
  <c r="I131" i="1" s="1"/>
  <c r="F132" i="1"/>
  <c r="G132" i="1" s="1"/>
  <c r="H132" i="1" s="1"/>
  <c r="I132" i="1" s="1"/>
  <c r="F133" i="1"/>
  <c r="G133" i="1" s="1"/>
  <c r="H133" i="1" s="1"/>
  <c r="I133" i="1" s="1"/>
  <c r="F134" i="1"/>
  <c r="G134" i="1" s="1"/>
  <c r="H134" i="1" s="1"/>
  <c r="I134" i="1" s="1"/>
  <c r="F135" i="1"/>
  <c r="G135" i="1" s="1"/>
  <c r="H135" i="1" s="1"/>
  <c r="I135" i="1" s="1"/>
  <c r="F136" i="1"/>
  <c r="G136" i="1" s="1"/>
  <c r="H136" i="1" s="1"/>
  <c r="I136" i="1" s="1"/>
  <c r="F137" i="1"/>
  <c r="G137" i="1" s="1"/>
  <c r="H137" i="1" s="1"/>
  <c r="I137" i="1" s="1"/>
  <c r="F138" i="1"/>
  <c r="G138" i="1" s="1"/>
  <c r="H138" i="1" s="1"/>
  <c r="I138" i="1" s="1"/>
  <c r="F139" i="1"/>
  <c r="G139" i="1" s="1"/>
  <c r="H139" i="1" s="1"/>
  <c r="I139" i="1" s="1"/>
  <c r="F140" i="1"/>
  <c r="G140" i="1" s="1"/>
  <c r="H140" i="1" s="1"/>
  <c r="I140" i="1" s="1"/>
  <c r="F141" i="1"/>
  <c r="G141" i="1" s="1"/>
  <c r="H141" i="1" s="1"/>
  <c r="I141" i="1" s="1"/>
  <c r="F142" i="1"/>
  <c r="G142" i="1" s="1"/>
  <c r="H142" i="1" s="1"/>
  <c r="I142" i="1" s="1"/>
  <c r="F143" i="1"/>
  <c r="G143" i="1" s="1"/>
  <c r="H143" i="1" s="1"/>
  <c r="I143" i="1" s="1"/>
  <c r="F144" i="1"/>
  <c r="G144" i="1" s="1"/>
  <c r="H144" i="1" s="1"/>
  <c r="I144" i="1" s="1"/>
  <c r="F145" i="1"/>
  <c r="G145" i="1" s="1"/>
  <c r="H145" i="1" s="1"/>
  <c r="I145" i="1" s="1"/>
  <c r="F146" i="1"/>
  <c r="G146" i="1" s="1"/>
  <c r="H146" i="1" s="1"/>
  <c r="I146" i="1" s="1"/>
  <c r="F147" i="1"/>
  <c r="G147" i="1" s="1"/>
  <c r="H147" i="1" s="1"/>
  <c r="I147" i="1" s="1"/>
  <c r="F148" i="1"/>
  <c r="G148" i="1" s="1"/>
  <c r="H148" i="1" s="1"/>
  <c r="I148" i="1" s="1"/>
  <c r="F149" i="1"/>
  <c r="G149" i="1" s="1"/>
  <c r="H149" i="1" s="1"/>
  <c r="I149" i="1" s="1"/>
  <c r="F150" i="1"/>
  <c r="G150" i="1" s="1"/>
  <c r="H150" i="1" s="1"/>
  <c r="I150" i="1" s="1"/>
  <c r="F151" i="1"/>
  <c r="G151" i="1" s="1"/>
  <c r="H151" i="1" s="1"/>
  <c r="I151" i="1" s="1"/>
  <c r="F152" i="1"/>
  <c r="G152" i="1" s="1"/>
  <c r="H152" i="1" s="1"/>
  <c r="I152" i="1" s="1"/>
  <c r="F153" i="1"/>
  <c r="G153" i="1" s="1"/>
  <c r="H153" i="1" s="1"/>
  <c r="I153" i="1" s="1"/>
  <c r="F154" i="1"/>
  <c r="G154" i="1" s="1"/>
  <c r="H154" i="1" s="1"/>
  <c r="I154" i="1" s="1"/>
  <c r="F155" i="1"/>
  <c r="G155" i="1" s="1"/>
  <c r="H155" i="1" s="1"/>
  <c r="I155" i="1" s="1"/>
  <c r="F156" i="1"/>
  <c r="G156" i="1" s="1"/>
  <c r="H156" i="1" s="1"/>
  <c r="I156" i="1" s="1"/>
  <c r="F157" i="1"/>
  <c r="G157" i="1" s="1"/>
  <c r="H157" i="1" s="1"/>
  <c r="I157" i="1" s="1"/>
  <c r="F158" i="1"/>
  <c r="G158" i="1" s="1"/>
  <c r="H158" i="1" s="1"/>
  <c r="I158" i="1" s="1"/>
  <c r="F159" i="1"/>
  <c r="G159" i="1" s="1"/>
  <c r="H159" i="1" s="1"/>
  <c r="I159" i="1" s="1"/>
  <c r="F160" i="1"/>
  <c r="G160" i="1" s="1"/>
  <c r="H160" i="1" s="1"/>
  <c r="I160" i="1" s="1"/>
  <c r="F161" i="1"/>
  <c r="G161" i="1" s="1"/>
  <c r="H161" i="1" s="1"/>
  <c r="I161" i="1" s="1"/>
  <c r="F162" i="1"/>
  <c r="G162" i="1" s="1"/>
  <c r="H162" i="1" s="1"/>
  <c r="I162" i="1" s="1"/>
  <c r="F163" i="1"/>
  <c r="G163" i="1" s="1"/>
  <c r="H163" i="1" s="1"/>
  <c r="I163" i="1" s="1"/>
  <c r="F164" i="1"/>
  <c r="G164" i="1" s="1"/>
  <c r="H164" i="1" s="1"/>
  <c r="I164" i="1" s="1"/>
  <c r="F165" i="1"/>
  <c r="G165" i="1" s="1"/>
  <c r="H165" i="1" s="1"/>
  <c r="I165" i="1" s="1"/>
  <c r="F166" i="1"/>
  <c r="G166" i="1" s="1"/>
  <c r="H166" i="1" s="1"/>
  <c r="I166" i="1" s="1"/>
  <c r="F167" i="1"/>
  <c r="G167" i="1" s="1"/>
  <c r="H167" i="1" s="1"/>
  <c r="I167" i="1" s="1"/>
  <c r="F168" i="1"/>
  <c r="G168" i="1" s="1"/>
  <c r="H168" i="1" s="1"/>
  <c r="I168" i="1" s="1"/>
  <c r="F169" i="1"/>
  <c r="G169" i="1" s="1"/>
  <c r="H169" i="1" s="1"/>
  <c r="I169" i="1" s="1"/>
  <c r="F170" i="1"/>
  <c r="G170" i="1" s="1"/>
  <c r="H170" i="1" s="1"/>
  <c r="I170" i="1" s="1"/>
  <c r="F171" i="1"/>
  <c r="G171" i="1" s="1"/>
  <c r="H171" i="1" s="1"/>
  <c r="I171" i="1" s="1"/>
  <c r="F172" i="1"/>
  <c r="G172" i="1" s="1"/>
  <c r="H172" i="1" s="1"/>
  <c r="I172" i="1" s="1"/>
  <c r="F173" i="1"/>
  <c r="G173" i="1" s="1"/>
  <c r="H173" i="1" s="1"/>
  <c r="I173" i="1" s="1"/>
  <c r="F174" i="1"/>
  <c r="G174" i="1" s="1"/>
  <c r="H174" i="1" s="1"/>
  <c r="I174" i="1" s="1"/>
  <c r="F175" i="1"/>
  <c r="G175" i="1" s="1"/>
  <c r="H175" i="1" s="1"/>
  <c r="I175" i="1" s="1"/>
  <c r="F176" i="1"/>
  <c r="G176" i="1" s="1"/>
  <c r="H176" i="1" s="1"/>
  <c r="I176" i="1" s="1"/>
  <c r="F177" i="1"/>
  <c r="G177" i="1" s="1"/>
  <c r="H177" i="1" s="1"/>
  <c r="I177" i="1" s="1"/>
  <c r="F178" i="1"/>
  <c r="G178" i="1" s="1"/>
  <c r="H178" i="1" s="1"/>
  <c r="I178" i="1" s="1"/>
  <c r="F179" i="1"/>
  <c r="G179" i="1" s="1"/>
  <c r="H179" i="1" s="1"/>
  <c r="I179" i="1" s="1"/>
  <c r="F180" i="1"/>
  <c r="G180" i="1" s="1"/>
  <c r="H180" i="1" s="1"/>
  <c r="I180" i="1" s="1"/>
  <c r="F181" i="1"/>
  <c r="G181" i="1" s="1"/>
  <c r="H181" i="1" s="1"/>
  <c r="I181" i="1" s="1"/>
  <c r="F182" i="1"/>
  <c r="G182" i="1" s="1"/>
  <c r="H182" i="1" s="1"/>
  <c r="I182" i="1" s="1"/>
  <c r="F183" i="1"/>
  <c r="G183" i="1" s="1"/>
  <c r="H183" i="1" s="1"/>
  <c r="I183" i="1" s="1"/>
  <c r="F184" i="1"/>
  <c r="G184" i="1" s="1"/>
  <c r="H184" i="1" s="1"/>
  <c r="I184" i="1" s="1"/>
  <c r="F185" i="1"/>
  <c r="G185" i="1" s="1"/>
  <c r="H185" i="1" s="1"/>
  <c r="I185" i="1" s="1"/>
  <c r="F186" i="1"/>
  <c r="G186" i="1" s="1"/>
  <c r="H186" i="1" s="1"/>
  <c r="I186" i="1" s="1"/>
  <c r="F187" i="1"/>
  <c r="G187" i="1" s="1"/>
  <c r="H187" i="1" s="1"/>
  <c r="I187" i="1" s="1"/>
  <c r="F188" i="1"/>
  <c r="G188" i="1" s="1"/>
  <c r="H188" i="1" s="1"/>
  <c r="I188" i="1" s="1"/>
  <c r="F189" i="1"/>
  <c r="G189" i="1" s="1"/>
  <c r="H189" i="1" s="1"/>
  <c r="I189" i="1" s="1"/>
  <c r="F190" i="1"/>
  <c r="G190" i="1" s="1"/>
  <c r="H190" i="1" s="1"/>
  <c r="I190" i="1" s="1"/>
  <c r="F191" i="1"/>
  <c r="G191" i="1" s="1"/>
  <c r="H191" i="1" s="1"/>
  <c r="I191" i="1" s="1"/>
  <c r="F192" i="1"/>
  <c r="G192" i="1" s="1"/>
  <c r="H192" i="1" s="1"/>
  <c r="I192" i="1" s="1"/>
  <c r="F193" i="1"/>
  <c r="G193" i="1" s="1"/>
  <c r="H193" i="1" s="1"/>
  <c r="I193" i="1" s="1"/>
  <c r="F194" i="1"/>
  <c r="G194" i="1" s="1"/>
  <c r="H194" i="1" s="1"/>
  <c r="I194" i="1" s="1"/>
  <c r="F195" i="1"/>
  <c r="G195" i="1" s="1"/>
  <c r="H195" i="1" s="1"/>
  <c r="I195" i="1" s="1"/>
  <c r="F196" i="1"/>
  <c r="G196" i="1" s="1"/>
  <c r="H196" i="1" s="1"/>
  <c r="I196" i="1" s="1"/>
  <c r="F197" i="1"/>
  <c r="G197" i="1" s="1"/>
  <c r="H197" i="1" s="1"/>
  <c r="I197" i="1" s="1"/>
  <c r="F198" i="1"/>
  <c r="G198" i="1" s="1"/>
  <c r="H198" i="1" s="1"/>
  <c r="I198" i="1" s="1"/>
  <c r="F199" i="1"/>
  <c r="G199" i="1" s="1"/>
  <c r="H199" i="1" s="1"/>
  <c r="I199" i="1" s="1"/>
  <c r="F200" i="1"/>
  <c r="G200" i="1" s="1"/>
  <c r="H200" i="1" s="1"/>
  <c r="I200" i="1" s="1"/>
  <c r="F201" i="1"/>
  <c r="G201" i="1" s="1"/>
  <c r="H201" i="1" s="1"/>
  <c r="I201" i="1" s="1"/>
  <c r="F202" i="1"/>
  <c r="G202" i="1" s="1"/>
  <c r="H202" i="1" s="1"/>
  <c r="I202" i="1" s="1"/>
  <c r="F203" i="1"/>
  <c r="G203" i="1" s="1"/>
  <c r="H203" i="1" s="1"/>
  <c r="I203" i="1" s="1"/>
  <c r="F204" i="1"/>
  <c r="G204" i="1" s="1"/>
  <c r="H204" i="1" s="1"/>
  <c r="I204" i="1" s="1"/>
  <c r="F205" i="1"/>
  <c r="G205" i="1" s="1"/>
  <c r="H205" i="1" s="1"/>
  <c r="I205" i="1" s="1"/>
  <c r="F206" i="1"/>
  <c r="G206" i="1" s="1"/>
  <c r="H206" i="1" s="1"/>
  <c r="I206" i="1" s="1"/>
  <c r="F207" i="1"/>
  <c r="G207" i="1" s="1"/>
  <c r="H207" i="1" s="1"/>
  <c r="I207" i="1" s="1"/>
  <c r="F208" i="1"/>
  <c r="G208" i="1" s="1"/>
  <c r="H208" i="1" s="1"/>
  <c r="I208" i="1" s="1"/>
  <c r="F209" i="1"/>
  <c r="G209" i="1" s="1"/>
  <c r="H209" i="1" s="1"/>
  <c r="I209" i="1" s="1"/>
  <c r="F210" i="1"/>
  <c r="G210" i="1" s="1"/>
  <c r="H210" i="1" s="1"/>
  <c r="I210" i="1" s="1"/>
  <c r="F211" i="1"/>
  <c r="G211" i="1" s="1"/>
  <c r="H211" i="1" s="1"/>
  <c r="I211" i="1" s="1"/>
  <c r="F212" i="1"/>
  <c r="G212" i="1" s="1"/>
  <c r="H212" i="1" s="1"/>
  <c r="I212" i="1" s="1"/>
  <c r="F213" i="1"/>
  <c r="G213" i="1" s="1"/>
  <c r="H213" i="1" s="1"/>
  <c r="I213" i="1" s="1"/>
  <c r="F214" i="1"/>
  <c r="G214" i="1" s="1"/>
  <c r="H214" i="1" s="1"/>
  <c r="I214" i="1" s="1"/>
  <c r="F215" i="1"/>
  <c r="G215" i="1" s="1"/>
  <c r="H215" i="1" s="1"/>
  <c r="I215" i="1" s="1"/>
  <c r="F216" i="1"/>
  <c r="G216" i="1" s="1"/>
  <c r="H216" i="1" s="1"/>
  <c r="I216" i="1" s="1"/>
  <c r="F217" i="1"/>
  <c r="G217" i="1" s="1"/>
  <c r="H217" i="1" s="1"/>
  <c r="I217" i="1" s="1"/>
  <c r="F218" i="1"/>
  <c r="G218" i="1" s="1"/>
  <c r="H218" i="1" s="1"/>
  <c r="I218" i="1" s="1"/>
  <c r="F219" i="1"/>
  <c r="G219" i="1" s="1"/>
  <c r="H219" i="1" s="1"/>
  <c r="I219" i="1" s="1"/>
  <c r="F220" i="1"/>
  <c r="G220" i="1" s="1"/>
  <c r="H220" i="1" s="1"/>
  <c r="I220" i="1" s="1"/>
  <c r="F221" i="1"/>
  <c r="G221" i="1" s="1"/>
  <c r="H221" i="1" s="1"/>
  <c r="I221" i="1" s="1"/>
  <c r="F222" i="1"/>
  <c r="G222" i="1" s="1"/>
  <c r="H222" i="1" s="1"/>
  <c r="I222" i="1" s="1"/>
  <c r="F223" i="1"/>
  <c r="G223" i="1" s="1"/>
  <c r="H223" i="1" s="1"/>
  <c r="I223" i="1" s="1"/>
  <c r="F224" i="1"/>
  <c r="G224" i="1" s="1"/>
  <c r="H224" i="1" s="1"/>
  <c r="I224" i="1" s="1"/>
  <c r="F225" i="1"/>
  <c r="G225" i="1" s="1"/>
  <c r="H225" i="1" s="1"/>
  <c r="I225" i="1" s="1"/>
  <c r="F226" i="1"/>
  <c r="G226" i="1" s="1"/>
  <c r="H226" i="1" s="1"/>
  <c r="I226" i="1" s="1"/>
  <c r="F227" i="1"/>
  <c r="G227" i="1" s="1"/>
  <c r="H227" i="1" s="1"/>
  <c r="I227" i="1" s="1"/>
  <c r="F228" i="1"/>
  <c r="G228" i="1" s="1"/>
  <c r="H228" i="1" s="1"/>
  <c r="I228" i="1" s="1"/>
  <c r="F229" i="1"/>
  <c r="G229" i="1" s="1"/>
  <c r="H229" i="1" s="1"/>
  <c r="I229" i="1" s="1"/>
  <c r="F230" i="1"/>
  <c r="G230" i="1" s="1"/>
  <c r="H230" i="1" s="1"/>
  <c r="I230" i="1" s="1"/>
  <c r="F231" i="1"/>
  <c r="G231" i="1" s="1"/>
  <c r="H231" i="1" s="1"/>
  <c r="I231" i="1" s="1"/>
  <c r="F232" i="1"/>
  <c r="G232" i="1" s="1"/>
  <c r="H232" i="1" s="1"/>
  <c r="I232" i="1" s="1"/>
  <c r="F233" i="1"/>
  <c r="G233" i="1" s="1"/>
  <c r="H233" i="1" s="1"/>
  <c r="I233" i="1" s="1"/>
  <c r="F234" i="1"/>
  <c r="G234" i="1" s="1"/>
  <c r="H234" i="1" s="1"/>
  <c r="I234" i="1" s="1"/>
  <c r="F235" i="1"/>
  <c r="G235" i="1" s="1"/>
  <c r="H235" i="1" s="1"/>
  <c r="I235" i="1" s="1"/>
  <c r="F236" i="1"/>
  <c r="G236" i="1" s="1"/>
  <c r="H236" i="1" s="1"/>
  <c r="I236" i="1" s="1"/>
  <c r="F237" i="1"/>
  <c r="G237" i="1" s="1"/>
  <c r="H237" i="1" s="1"/>
  <c r="I237" i="1" s="1"/>
  <c r="F238" i="1"/>
  <c r="G238" i="1" s="1"/>
  <c r="H238" i="1" s="1"/>
  <c r="I238" i="1" s="1"/>
  <c r="F239" i="1"/>
  <c r="G239" i="1" s="1"/>
  <c r="H239" i="1" s="1"/>
  <c r="I239" i="1" s="1"/>
  <c r="F240" i="1"/>
  <c r="G240" i="1" s="1"/>
  <c r="H240" i="1" s="1"/>
  <c r="I240" i="1" s="1"/>
  <c r="F241" i="1"/>
  <c r="G241" i="1" s="1"/>
  <c r="H241" i="1" s="1"/>
  <c r="I241" i="1" s="1"/>
  <c r="F242" i="1"/>
  <c r="G242" i="1" s="1"/>
  <c r="H242" i="1" s="1"/>
  <c r="I242" i="1" s="1"/>
  <c r="F243" i="1"/>
  <c r="G243" i="1" s="1"/>
  <c r="H243" i="1" s="1"/>
  <c r="I243" i="1" s="1"/>
  <c r="F244" i="1"/>
  <c r="G244" i="1" s="1"/>
  <c r="H244" i="1" s="1"/>
  <c r="I244" i="1" s="1"/>
  <c r="F245" i="1"/>
  <c r="G245" i="1" s="1"/>
  <c r="H245" i="1" s="1"/>
  <c r="I245" i="1" s="1"/>
  <c r="F246" i="1"/>
  <c r="G246" i="1" s="1"/>
  <c r="H246" i="1" s="1"/>
  <c r="I246" i="1" s="1"/>
  <c r="F247" i="1"/>
  <c r="G247" i="1" s="1"/>
  <c r="H247" i="1" s="1"/>
  <c r="I247" i="1" s="1"/>
  <c r="F248" i="1"/>
  <c r="G248" i="1" s="1"/>
  <c r="H248" i="1" s="1"/>
  <c r="I248" i="1" s="1"/>
  <c r="F249" i="1"/>
  <c r="G249" i="1" s="1"/>
  <c r="H249" i="1" s="1"/>
  <c r="I249" i="1" s="1"/>
  <c r="F250" i="1"/>
  <c r="G250" i="1" s="1"/>
  <c r="H250" i="1" s="1"/>
  <c r="I250" i="1" s="1"/>
  <c r="F251" i="1"/>
  <c r="G251" i="1" s="1"/>
  <c r="H251" i="1" s="1"/>
  <c r="I251" i="1" s="1"/>
  <c r="F252" i="1"/>
  <c r="G252" i="1" s="1"/>
  <c r="H252" i="1" s="1"/>
  <c r="I252" i="1" s="1"/>
  <c r="F253" i="1"/>
  <c r="G253" i="1" s="1"/>
  <c r="H253" i="1" s="1"/>
  <c r="I253" i="1" s="1"/>
  <c r="F254" i="1"/>
  <c r="G254" i="1" s="1"/>
  <c r="H254" i="1" s="1"/>
  <c r="I254" i="1" s="1"/>
  <c r="F255" i="1"/>
  <c r="G255" i="1" s="1"/>
  <c r="H255" i="1" s="1"/>
  <c r="I255" i="1" s="1"/>
  <c r="F256" i="1"/>
  <c r="G256" i="1" s="1"/>
  <c r="H256" i="1" s="1"/>
  <c r="I256" i="1" s="1"/>
  <c r="F257" i="1"/>
  <c r="G257" i="1" s="1"/>
  <c r="H257" i="1" s="1"/>
  <c r="I257" i="1" s="1"/>
  <c r="F258" i="1"/>
  <c r="G258" i="1" s="1"/>
  <c r="H258" i="1" s="1"/>
  <c r="I258" i="1" s="1"/>
  <c r="F259" i="1"/>
  <c r="G259" i="1" s="1"/>
  <c r="H259" i="1" s="1"/>
  <c r="I259" i="1" s="1"/>
  <c r="F260" i="1"/>
  <c r="G260" i="1" s="1"/>
  <c r="H260" i="1" s="1"/>
  <c r="I260" i="1" s="1"/>
  <c r="F261" i="1"/>
  <c r="G261" i="1" s="1"/>
  <c r="H261" i="1" s="1"/>
  <c r="I261" i="1" s="1"/>
  <c r="F262" i="1"/>
  <c r="G262" i="1" s="1"/>
  <c r="H262" i="1" s="1"/>
  <c r="I262" i="1" s="1"/>
  <c r="F263" i="1"/>
  <c r="G263" i="1" s="1"/>
  <c r="H263" i="1" s="1"/>
  <c r="I263" i="1" s="1"/>
  <c r="F264" i="1"/>
  <c r="G264" i="1" s="1"/>
  <c r="H264" i="1" s="1"/>
  <c r="I264" i="1" s="1"/>
  <c r="F265" i="1"/>
  <c r="G265" i="1" s="1"/>
  <c r="H265" i="1" s="1"/>
  <c r="I265" i="1" s="1"/>
  <c r="F266" i="1"/>
  <c r="G266" i="1" s="1"/>
  <c r="H266" i="1" s="1"/>
  <c r="I266" i="1" s="1"/>
  <c r="F267" i="1"/>
  <c r="G267" i="1" s="1"/>
  <c r="H267" i="1" s="1"/>
  <c r="I267" i="1" s="1"/>
  <c r="F268" i="1"/>
  <c r="G268" i="1" s="1"/>
  <c r="H268" i="1" s="1"/>
  <c r="I268" i="1" s="1"/>
  <c r="F269" i="1"/>
  <c r="G269" i="1" s="1"/>
  <c r="H269" i="1" s="1"/>
  <c r="I269" i="1" s="1"/>
  <c r="F270" i="1"/>
  <c r="G270" i="1" s="1"/>
  <c r="H270" i="1" s="1"/>
  <c r="I270" i="1" s="1"/>
  <c r="F271" i="1"/>
  <c r="G271" i="1" s="1"/>
  <c r="H271" i="1" s="1"/>
  <c r="I271" i="1" s="1"/>
  <c r="F272" i="1"/>
  <c r="G272" i="1" s="1"/>
  <c r="H272" i="1" s="1"/>
  <c r="I272" i="1" s="1"/>
  <c r="F273" i="1"/>
  <c r="G273" i="1" s="1"/>
  <c r="H273" i="1" s="1"/>
  <c r="I273" i="1" s="1"/>
  <c r="F274" i="1"/>
  <c r="G274" i="1" s="1"/>
  <c r="H274" i="1" s="1"/>
  <c r="I274" i="1" s="1"/>
  <c r="F275" i="1"/>
  <c r="G275" i="1" s="1"/>
  <c r="H275" i="1" s="1"/>
  <c r="I275" i="1" s="1"/>
  <c r="F276" i="1"/>
  <c r="G276" i="1" s="1"/>
  <c r="H276" i="1" s="1"/>
  <c r="I276" i="1" s="1"/>
  <c r="F277" i="1"/>
  <c r="G277" i="1" s="1"/>
  <c r="H277" i="1" s="1"/>
  <c r="I277" i="1" s="1"/>
  <c r="F278" i="1"/>
  <c r="G278" i="1" s="1"/>
  <c r="H278" i="1" s="1"/>
  <c r="I278" i="1" s="1"/>
  <c r="F279" i="1"/>
  <c r="G279" i="1" s="1"/>
  <c r="H279" i="1" s="1"/>
  <c r="I279" i="1" s="1"/>
  <c r="F280" i="1"/>
  <c r="G280" i="1" s="1"/>
  <c r="H280" i="1" s="1"/>
  <c r="I280" i="1" s="1"/>
  <c r="F281" i="1"/>
  <c r="G281" i="1" s="1"/>
  <c r="H281" i="1" s="1"/>
  <c r="I281" i="1" s="1"/>
  <c r="F282" i="1"/>
  <c r="G282" i="1" s="1"/>
  <c r="H282" i="1" s="1"/>
  <c r="I282" i="1" s="1"/>
  <c r="F283" i="1"/>
  <c r="G283" i="1" s="1"/>
  <c r="H283" i="1" s="1"/>
  <c r="I283" i="1" s="1"/>
  <c r="F284" i="1"/>
  <c r="G284" i="1" s="1"/>
  <c r="H284" i="1" s="1"/>
  <c r="I284" i="1" s="1"/>
  <c r="F285" i="1"/>
  <c r="G285" i="1" s="1"/>
  <c r="H285" i="1" s="1"/>
  <c r="I285" i="1" s="1"/>
  <c r="F286" i="1"/>
  <c r="G286" i="1" s="1"/>
  <c r="H286" i="1" s="1"/>
  <c r="I286" i="1" s="1"/>
  <c r="F287" i="1"/>
  <c r="G287" i="1" s="1"/>
  <c r="H287" i="1" s="1"/>
  <c r="I287" i="1" s="1"/>
  <c r="F288" i="1"/>
  <c r="G288" i="1" s="1"/>
  <c r="H288" i="1" s="1"/>
  <c r="I288" i="1" s="1"/>
  <c r="F289" i="1"/>
  <c r="G289" i="1" s="1"/>
  <c r="H289" i="1" s="1"/>
  <c r="I289" i="1" s="1"/>
  <c r="F290" i="1"/>
  <c r="G290" i="1" s="1"/>
  <c r="H290" i="1" s="1"/>
  <c r="I290" i="1" s="1"/>
  <c r="F291" i="1"/>
  <c r="G291" i="1" s="1"/>
  <c r="H291" i="1" s="1"/>
  <c r="I291" i="1" s="1"/>
  <c r="F292" i="1"/>
  <c r="G292" i="1" s="1"/>
  <c r="H292" i="1" s="1"/>
  <c r="I292" i="1" s="1"/>
  <c r="F293" i="1"/>
  <c r="G293" i="1" s="1"/>
  <c r="H293" i="1" s="1"/>
  <c r="I293" i="1" s="1"/>
  <c r="F294" i="1"/>
  <c r="G294" i="1" s="1"/>
  <c r="H294" i="1" s="1"/>
  <c r="I294" i="1" s="1"/>
  <c r="F295" i="1"/>
  <c r="G295" i="1" s="1"/>
  <c r="H295" i="1" s="1"/>
  <c r="I295" i="1" s="1"/>
  <c r="F296" i="1"/>
  <c r="G296" i="1" s="1"/>
  <c r="H296" i="1" s="1"/>
  <c r="I296" i="1" s="1"/>
  <c r="F297" i="1"/>
  <c r="G297" i="1" s="1"/>
  <c r="H297" i="1" s="1"/>
  <c r="I297" i="1" s="1"/>
  <c r="F298" i="1"/>
  <c r="G298" i="1" s="1"/>
  <c r="H298" i="1" s="1"/>
  <c r="I298" i="1" s="1"/>
  <c r="F299" i="1"/>
  <c r="G299" i="1" s="1"/>
  <c r="H299" i="1" s="1"/>
  <c r="I299" i="1" s="1"/>
  <c r="F300" i="1"/>
  <c r="G300" i="1" s="1"/>
  <c r="H300" i="1" s="1"/>
  <c r="I300" i="1" s="1"/>
  <c r="F301" i="1"/>
  <c r="G301" i="1" s="1"/>
  <c r="H301" i="1" s="1"/>
  <c r="I301" i="1" s="1"/>
  <c r="F302" i="1"/>
  <c r="G302" i="1" s="1"/>
  <c r="H302" i="1" s="1"/>
  <c r="I302" i="1" s="1"/>
  <c r="F303" i="1"/>
  <c r="G303" i="1" s="1"/>
  <c r="H303" i="1" s="1"/>
  <c r="I303" i="1" s="1"/>
  <c r="F304" i="1"/>
  <c r="G304" i="1" s="1"/>
  <c r="H304" i="1" s="1"/>
  <c r="I304" i="1" s="1"/>
  <c r="F305" i="1"/>
  <c r="G305" i="1" s="1"/>
  <c r="H305" i="1" s="1"/>
  <c r="I305" i="1" s="1"/>
  <c r="F306" i="1"/>
  <c r="G306" i="1" s="1"/>
  <c r="H306" i="1" s="1"/>
  <c r="I306" i="1" s="1"/>
  <c r="F307" i="1"/>
  <c r="G307" i="1" s="1"/>
  <c r="H307" i="1" s="1"/>
  <c r="I307" i="1" s="1"/>
  <c r="F308" i="1"/>
  <c r="G308" i="1" s="1"/>
  <c r="H308" i="1" s="1"/>
  <c r="I308" i="1" s="1"/>
  <c r="F309" i="1"/>
  <c r="G309" i="1" s="1"/>
  <c r="H309" i="1" s="1"/>
  <c r="I309" i="1" s="1"/>
  <c r="F310" i="1"/>
  <c r="G310" i="1" s="1"/>
  <c r="H310" i="1" s="1"/>
  <c r="I310" i="1" s="1"/>
  <c r="F311" i="1"/>
  <c r="G311" i="1" s="1"/>
  <c r="H311" i="1" s="1"/>
  <c r="I311" i="1" s="1"/>
  <c r="F312" i="1"/>
  <c r="G312" i="1" s="1"/>
  <c r="H312" i="1" s="1"/>
  <c r="I312" i="1" s="1"/>
  <c r="F313" i="1"/>
  <c r="G313" i="1" s="1"/>
  <c r="H313" i="1" s="1"/>
  <c r="I313" i="1" s="1"/>
  <c r="F314" i="1"/>
  <c r="G314" i="1" s="1"/>
  <c r="H314" i="1" s="1"/>
  <c r="I314" i="1" s="1"/>
  <c r="F315" i="1"/>
  <c r="G315" i="1" s="1"/>
  <c r="H315" i="1" s="1"/>
  <c r="I315" i="1" s="1"/>
  <c r="F316" i="1"/>
  <c r="G316" i="1" s="1"/>
  <c r="H316" i="1" s="1"/>
  <c r="I316" i="1" s="1"/>
  <c r="F317" i="1"/>
  <c r="G317" i="1" s="1"/>
  <c r="H317" i="1" s="1"/>
  <c r="I317" i="1" s="1"/>
  <c r="F318" i="1"/>
  <c r="G318" i="1" s="1"/>
  <c r="H318" i="1" s="1"/>
  <c r="I318" i="1" s="1"/>
  <c r="F319" i="1"/>
  <c r="G319" i="1" s="1"/>
  <c r="H319" i="1" s="1"/>
  <c r="I319" i="1" s="1"/>
  <c r="F320" i="1"/>
  <c r="G320" i="1" s="1"/>
  <c r="H320" i="1" s="1"/>
  <c r="I320" i="1" s="1"/>
  <c r="F321" i="1"/>
  <c r="G321" i="1" s="1"/>
  <c r="H321" i="1" s="1"/>
  <c r="I321" i="1" s="1"/>
  <c r="F322" i="1"/>
  <c r="G322" i="1" s="1"/>
  <c r="H322" i="1" s="1"/>
  <c r="I322" i="1" s="1"/>
  <c r="F323" i="1"/>
  <c r="G323" i="1" s="1"/>
  <c r="H323" i="1" s="1"/>
  <c r="I323" i="1" s="1"/>
  <c r="F324" i="1"/>
  <c r="G324" i="1" s="1"/>
  <c r="H324" i="1" s="1"/>
  <c r="I324" i="1" s="1"/>
  <c r="F325" i="1"/>
  <c r="G325" i="1" s="1"/>
  <c r="H325" i="1" s="1"/>
  <c r="I325" i="1" s="1"/>
  <c r="F326" i="1"/>
  <c r="G326" i="1" s="1"/>
  <c r="H326" i="1" s="1"/>
  <c r="I326" i="1" s="1"/>
  <c r="F327" i="1"/>
  <c r="G327" i="1" s="1"/>
  <c r="H327" i="1" s="1"/>
  <c r="I327" i="1" s="1"/>
  <c r="F328" i="1"/>
  <c r="G328" i="1" s="1"/>
  <c r="H328" i="1" s="1"/>
  <c r="I328" i="1" s="1"/>
  <c r="F329" i="1"/>
  <c r="G329" i="1" s="1"/>
  <c r="H329" i="1" s="1"/>
  <c r="I329" i="1" s="1"/>
  <c r="F330" i="1"/>
  <c r="G330" i="1" s="1"/>
  <c r="H330" i="1" s="1"/>
  <c r="I330" i="1" s="1"/>
  <c r="F331" i="1"/>
  <c r="G331" i="1" s="1"/>
  <c r="H331" i="1" s="1"/>
  <c r="I331" i="1" s="1"/>
  <c r="F332" i="1"/>
  <c r="G332" i="1" s="1"/>
  <c r="H332" i="1" s="1"/>
  <c r="I332" i="1" s="1"/>
  <c r="F333" i="1"/>
  <c r="G333" i="1" s="1"/>
  <c r="H333" i="1" s="1"/>
  <c r="I333" i="1" s="1"/>
  <c r="F334" i="1"/>
  <c r="G334" i="1" s="1"/>
  <c r="H334" i="1" s="1"/>
  <c r="I334" i="1" s="1"/>
  <c r="F335" i="1"/>
  <c r="G335" i="1" s="1"/>
  <c r="H335" i="1" s="1"/>
  <c r="I335" i="1" s="1"/>
  <c r="F336" i="1"/>
  <c r="G336" i="1" s="1"/>
  <c r="H336" i="1" s="1"/>
  <c r="I336" i="1" s="1"/>
  <c r="F337" i="1"/>
  <c r="G337" i="1" s="1"/>
  <c r="H337" i="1" s="1"/>
  <c r="I337" i="1" s="1"/>
  <c r="F338" i="1"/>
  <c r="G338" i="1" s="1"/>
  <c r="H338" i="1" s="1"/>
  <c r="I338" i="1" s="1"/>
  <c r="F339" i="1"/>
  <c r="G339" i="1" s="1"/>
  <c r="H339" i="1" s="1"/>
  <c r="I339" i="1" s="1"/>
  <c r="F340" i="1"/>
  <c r="G340" i="1" s="1"/>
  <c r="H340" i="1" s="1"/>
  <c r="I340" i="1" s="1"/>
  <c r="F341" i="1"/>
  <c r="G341" i="1" s="1"/>
  <c r="H341" i="1" s="1"/>
  <c r="I341" i="1" s="1"/>
  <c r="F342" i="1"/>
  <c r="G342" i="1" s="1"/>
  <c r="H342" i="1" s="1"/>
  <c r="I342" i="1" s="1"/>
  <c r="F343" i="1"/>
  <c r="G343" i="1" s="1"/>
  <c r="H343" i="1" s="1"/>
  <c r="I343" i="1" s="1"/>
  <c r="F344" i="1"/>
  <c r="G344" i="1" s="1"/>
  <c r="H344" i="1" s="1"/>
  <c r="I344" i="1" s="1"/>
  <c r="F345" i="1"/>
  <c r="G345" i="1" s="1"/>
  <c r="H345" i="1" s="1"/>
  <c r="I345" i="1" s="1"/>
  <c r="F346" i="1"/>
  <c r="G346" i="1" s="1"/>
  <c r="H346" i="1" s="1"/>
  <c r="I346" i="1" s="1"/>
  <c r="F347" i="1"/>
  <c r="G347" i="1" s="1"/>
  <c r="H347" i="1" s="1"/>
  <c r="I347" i="1" s="1"/>
  <c r="F348" i="1"/>
  <c r="G348" i="1" s="1"/>
  <c r="H348" i="1" s="1"/>
  <c r="I348" i="1" s="1"/>
  <c r="F349" i="1"/>
  <c r="G349" i="1" s="1"/>
  <c r="H349" i="1" s="1"/>
  <c r="I349" i="1" s="1"/>
  <c r="F350" i="1"/>
  <c r="G350" i="1" s="1"/>
  <c r="H350" i="1" s="1"/>
  <c r="I350" i="1" s="1"/>
  <c r="F351" i="1"/>
  <c r="G351" i="1" s="1"/>
  <c r="H351" i="1" s="1"/>
  <c r="I351" i="1" s="1"/>
  <c r="F352" i="1"/>
  <c r="G352" i="1" s="1"/>
  <c r="H352" i="1" s="1"/>
  <c r="I352" i="1" s="1"/>
  <c r="F353" i="1"/>
  <c r="G353" i="1" s="1"/>
  <c r="H353" i="1" s="1"/>
  <c r="I353" i="1" s="1"/>
  <c r="F354" i="1"/>
  <c r="G354" i="1" s="1"/>
  <c r="H354" i="1" s="1"/>
  <c r="I354" i="1" s="1"/>
  <c r="F355" i="1"/>
  <c r="G355" i="1" s="1"/>
  <c r="H355" i="1" s="1"/>
  <c r="I355" i="1" s="1"/>
  <c r="F356" i="1"/>
  <c r="G356" i="1" s="1"/>
  <c r="H356" i="1" s="1"/>
  <c r="I356" i="1" s="1"/>
  <c r="F357" i="1"/>
  <c r="G357" i="1" s="1"/>
  <c r="H357" i="1" s="1"/>
  <c r="I357" i="1" s="1"/>
  <c r="F358" i="1"/>
  <c r="G358" i="1" s="1"/>
  <c r="H358" i="1" s="1"/>
  <c r="I358" i="1" s="1"/>
  <c r="F359" i="1"/>
  <c r="G359" i="1" s="1"/>
  <c r="H359" i="1" s="1"/>
  <c r="I359" i="1" s="1"/>
  <c r="F360" i="1"/>
  <c r="G360" i="1" s="1"/>
  <c r="H360" i="1" s="1"/>
  <c r="I360" i="1" s="1"/>
  <c r="F361" i="1"/>
  <c r="G361" i="1" s="1"/>
  <c r="H361" i="1" s="1"/>
  <c r="I361" i="1" s="1"/>
  <c r="F362" i="1"/>
  <c r="G362" i="1" s="1"/>
  <c r="H362" i="1" s="1"/>
  <c r="I362" i="1" s="1"/>
  <c r="F363" i="1"/>
  <c r="G363" i="1" s="1"/>
  <c r="H363" i="1" s="1"/>
  <c r="I363" i="1" s="1"/>
  <c r="F364" i="1"/>
  <c r="G364" i="1" s="1"/>
  <c r="H364" i="1" s="1"/>
  <c r="I364" i="1" s="1"/>
  <c r="F365" i="1"/>
  <c r="G365" i="1" s="1"/>
  <c r="H365" i="1" s="1"/>
  <c r="I365" i="1" s="1"/>
  <c r="F366" i="1"/>
  <c r="G366" i="1" s="1"/>
  <c r="H366" i="1" s="1"/>
  <c r="I366" i="1" s="1"/>
  <c r="F367" i="1"/>
  <c r="G367" i="1" s="1"/>
  <c r="H367" i="1" s="1"/>
  <c r="I367" i="1" s="1"/>
  <c r="F368" i="1"/>
  <c r="G368" i="1" s="1"/>
  <c r="H368" i="1" s="1"/>
  <c r="I368" i="1" s="1"/>
  <c r="F369" i="1"/>
  <c r="G369" i="1" s="1"/>
  <c r="H369" i="1" s="1"/>
  <c r="I369" i="1" s="1"/>
  <c r="F370" i="1"/>
  <c r="G370" i="1" s="1"/>
  <c r="H370" i="1" s="1"/>
  <c r="I370" i="1" s="1"/>
  <c r="F371" i="1"/>
  <c r="G371" i="1" s="1"/>
  <c r="H371" i="1" s="1"/>
  <c r="I371" i="1" s="1"/>
  <c r="F372" i="1"/>
  <c r="G372" i="1" s="1"/>
  <c r="H372" i="1" s="1"/>
  <c r="I372" i="1" s="1"/>
  <c r="F373" i="1"/>
  <c r="G373" i="1" s="1"/>
  <c r="H373" i="1" s="1"/>
  <c r="I373" i="1" s="1"/>
  <c r="F374" i="1"/>
  <c r="G374" i="1" s="1"/>
  <c r="H374" i="1" s="1"/>
  <c r="I374" i="1" s="1"/>
  <c r="F375" i="1"/>
  <c r="G375" i="1" s="1"/>
  <c r="H375" i="1" s="1"/>
  <c r="I375" i="1" s="1"/>
  <c r="F376" i="1"/>
  <c r="G376" i="1" s="1"/>
  <c r="H376" i="1" s="1"/>
  <c r="I376" i="1" s="1"/>
  <c r="F377" i="1"/>
  <c r="G377" i="1" s="1"/>
  <c r="H377" i="1" s="1"/>
  <c r="I377" i="1" s="1"/>
  <c r="F378" i="1"/>
  <c r="G378" i="1" s="1"/>
  <c r="H378" i="1" s="1"/>
  <c r="I378" i="1" s="1"/>
  <c r="F379" i="1"/>
  <c r="G379" i="1" s="1"/>
  <c r="H379" i="1" s="1"/>
  <c r="I379" i="1" s="1"/>
  <c r="F380" i="1"/>
  <c r="G380" i="1" s="1"/>
  <c r="H380" i="1" s="1"/>
  <c r="I380" i="1" s="1"/>
  <c r="F381" i="1"/>
  <c r="G381" i="1" s="1"/>
  <c r="H381" i="1" s="1"/>
  <c r="I381" i="1" s="1"/>
  <c r="F382" i="1"/>
  <c r="G382" i="1" s="1"/>
  <c r="H382" i="1" s="1"/>
  <c r="I382" i="1" s="1"/>
  <c r="F383" i="1"/>
  <c r="G383" i="1" s="1"/>
  <c r="H383" i="1" s="1"/>
  <c r="I383" i="1" s="1"/>
  <c r="F384" i="1"/>
  <c r="G384" i="1" s="1"/>
  <c r="H384" i="1" s="1"/>
  <c r="I384" i="1" s="1"/>
  <c r="F385" i="1"/>
  <c r="G385" i="1" s="1"/>
  <c r="H385" i="1" s="1"/>
  <c r="I385" i="1" s="1"/>
  <c r="F386" i="1"/>
  <c r="G386" i="1" s="1"/>
  <c r="H386" i="1" s="1"/>
  <c r="I386" i="1" s="1"/>
  <c r="F387" i="1"/>
  <c r="G387" i="1" s="1"/>
  <c r="H387" i="1" s="1"/>
  <c r="I387" i="1" s="1"/>
  <c r="F388" i="1"/>
  <c r="G388" i="1" s="1"/>
  <c r="H388" i="1" s="1"/>
  <c r="I388" i="1" s="1"/>
  <c r="F389" i="1"/>
  <c r="G389" i="1" s="1"/>
  <c r="H389" i="1" s="1"/>
  <c r="I389" i="1" s="1"/>
  <c r="F390" i="1"/>
  <c r="G390" i="1" s="1"/>
  <c r="H390" i="1" s="1"/>
  <c r="I390" i="1" s="1"/>
  <c r="F391" i="1"/>
  <c r="G391" i="1" s="1"/>
  <c r="H391" i="1" s="1"/>
  <c r="I391" i="1" s="1"/>
  <c r="F392" i="1"/>
  <c r="G392" i="1" s="1"/>
  <c r="H392" i="1" s="1"/>
  <c r="I392" i="1" s="1"/>
  <c r="F393" i="1"/>
  <c r="G393" i="1" s="1"/>
  <c r="H393" i="1" s="1"/>
  <c r="I393" i="1" s="1"/>
  <c r="F394" i="1"/>
  <c r="G394" i="1" s="1"/>
  <c r="H394" i="1" s="1"/>
  <c r="I394" i="1" s="1"/>
  <c r="F395" i="1"/>
  <c r="G395" i="1" s="1"/>
  <c r="H395" i="1" s="1"/>
  <c r="I395" i="1" s="1"/>
  <c r="F396" i="1"/>
  <c r="G396" i="1" s="1"/>
  <c r="H396" i="1" s="1"/>
  <c r="I396" i="1" s="1"/>
  <c r="F397" i="1"/>
  <c r="G397" i="1" s="1"/>
  <c r="H397" i="1" s="1"/>
  <c r="I397" i="1" s="1"/>
  <c r="F398" i="1"/>
  <c r="G398" i="1" s="1"/>
  <c r="H398" i="1" s="1"/>
  <c r="I398" i="1" s="1"/>
  <c r="F399" i="1"/>
  <c r="G399" i="1" s="1"/>
  <c r="H399" i="1" s="1"/>
  <c r="I399" i="1" s="1"/>
  <c r="F400" i="1"/>
  <c r="G400" i="1" s="1"/>
  <c r="H400" i="1" s="1"/>
  <c r="I400" i="1" s="1"/>
  <c r="F401" i="1"/>
  <c r="G401" i="1" s="1"/>
  <c r="H401" i="1" s="1"/>
  <c r="I401" i="1" s="1"/>
  <c r="F402" i="1"/>
  <c r="G402" i="1" s="1"/>
  <c r="H402" i="1" s="1"/>
  <c r="I402" i="1" s="1"/>
  <c r="F403" i="1"/>
  <c r="G403" i="1" s="1"/>
  <c r="H403" i="1" s="1"/>
  <c r="I403" i="1" s="1"/>
  <c r="F404" i="1"/>
  <c r="G404" i="1" s="1"/>
  <c r="H404" i="1" s="1"/>
  <c r="I404" i="1" s="1"/>
  <c r="F405" i="1"/>
  <c r="G405" i="1" s="1"/>
  <c r="H405" i="1" s="1"/>
  <c r="I405" i="1" s="1"/>
  <c r="F406" i="1"/>
  <c r="G406" i="1" s="1"/>
  <c r="H406" i="1" s="1"/>
  <c r="I406" i="1" s="1"/>
  <c r="F407" i="1"/>
  <c r="G407" i="1" s="1"/>
  <c r="H407" i="1" s="1"/>
  <c r="I407" i="1" s="1"/>
  <c r="F408" i="1"/>
  <c r="G408" i="1" s="1"/>
  <c r="H408" i="1" s="1"/>
  <c r="I408" i="1" s="1"/>
  <c r="F409" i="1"/>
  <c r="G409" i="1" s="1"/>
  <c r="H409" i="1" s="1"/>
  <c r="I409" i="1" s="1"/>
  <c r="F410" i="1"/>
  <c r="G410" i="1" s="1"/>
  <c r="H410" i="1" s="1"/>
  <c r="I410" i="1" s="1"/>
  <c r="F411" i="1"/>
  <c r="G411" i="1" s="1"/>
  <c r="H411" i="1" s="1"/>
  <c r="I411" i="1" s="1"/>
  <c r="F412" i="1"/>
  <c r="G412" i="1" s="1"/>
  <c r="H412" i="1" s="1"/>
  <c r="I412" i="1" s="1"/>
  <c r="F413" i="1"/>
  <c r="G413" i="1" s="1"/>
  <c r="H413" i="1" s="1"/>
  <c r="I413" i="1" s="1"/>
  <c r="F414" i="1"/>
  <c r="G414" i="1" s="1"/>
  <c r="H414" i="1" s="1"/>
  <c r="I414" i="1" s="1"/>
  <c r="F415" i="1"/>
  <c r="G415" i="1" s="1"/>
  <c r="H415" i="1" s="1"/>
  <c r="I415" i="1" s="1"/>
  <c r="F416" i="1"/>
  <c r="G416" i="1" s="1"/>
  <c r="H416" i="1" s="1"/>
  <c r="I416" i="1" s="1"/>
  <c r="F417" i="1"/>
  <c r="G417" i="1" s="1"/>
  <c r="H417" i="1" s="1"/>
  <c r="I417" i="1" s="1"/>
  <c r="F418" i="1"/>
  <c r="G418" i="1" s="1"/>
  <c r="H418" i="1" s="1"/>
  <c r="I418" i="1" s="1"/>
  <c r="F419" i="1"/>
  <c r="G419" i="1" s="1"/>
  <c r="H419" i="1" s="1"/>
  <c r="I419" i="1" s="1"/>
  <c r="F420" i="1"/>
  <c r="G420" i="1" s="1"/>
  <c r="H420" i="1" s="1"/>
  <c r="I420" i="1" s="1"/>
  <c r="F421" i="1"/>
  <c r="G421" i="1" s="1"/>
  <c r="H421" i="1" s="1"/>
  <c r="I421" i="1" s="1"/>
  <c r="F422" i="1"/>
  <c r="G422" i="1" s="1"/>
  <c r="H422" i="1" s="1"/>
  <c r="I422" i="1" s="1"/>
  <c r="F423" i="1"/>
  <c r="G423" i="1" s="1"/>
  <c r="H423" i="1" s="1"/>
  <c r="I423" i="1" s="1"/>
  <c r="F424" i="1"/>
  <c r="G424" i="1" s="1"/>
  <c r="H424" i="1" s="1"/>
  <c r="I424" i="1" s="1"/>
  <c r="F425" i="1"/>
  <c r="G425" i="1" s="1"/>
  <c r="H425" i="1" s="1"/>
  <c r="I425" i="1" s="1"/>
  <c r="F426" i="1"/>
  <c r="G426" i="1" s="1"/>
  <c r="H426" i="1" s="1"/>
  <c r="I426" i="1" s="1"/>
  <c r="F427" i="1"/>
  <c r="G427" i="1" s="1"/>
  <c r="H427" i="1" s="1"/>
  <c r="I427" i="1" s="1"/>
  <c r="F428" i="1"/>
  <c r="G428" i="1" s="1"/>
  <c r="H428" i="1" s="1"/>
  <c r="I428" i="1" s="1"/>
  <c r="F429" i="1"/>
  <c r="G429" i="1" s="1"/>
  <c r="H429" i="1" s="1"/>
  <c r="I429" i="1" s="1"/>
  <c r="F430" i="1"/>
  <c r="G430" i="1" s="1"/>
  <c r="H430" i="1" s="1"/>
  <c r="I430" i="1" s="1"/>
  <c r="F431" i="1"/>
  <c r="G431" i="1" s="1"/>
  <c r="H431" i="1" s="1"/>
  <c r="I431" i="1" s="1"/>
  <c r="F432" i="1"/>
  <c r="G432" i="1" s="1"/>
  <c r="H432" i="1" s="1"/>
  <c r="I432" i="1" s="1"/>
  <c r="F433" i="1"/>
  <c r="G433" i="1" s="1"/>
  <c r="H433" i="1" s="1"/>
  <c r="I433" i="1" s="1"/>
  <c r="F434" i="1"/>
  <c r="G434" i="1" s="1"/>
  <c r="H434" i="1" s="1"/>
  <c r="I434" i="1" s="1"/>
  <c r="F435" i="1"/>
  <c r="G435" i="1" s="1"/>
  <c r="H435" i="1" s="1"/>
  <c r="I435" i="1" s="1"/>
  <c r="F436" i="1"/>
  <c r="G436" i="1" s="1"/>
  <c r="H436" i="1" s="1"/>
  <c r="I436" i="1" s="1"/>
  <c r="F437" i="1"/>
  <c r="G437" i="1" s="1"/>
  <c r="H437" i="1" s="1"/>
  <c r="I437" i="1" s="1"/>
  <c r="F438" i="1"/>
  <c r="G438" i="1" s="1"/>
  <c r="H438" i="1" s="1"/>
  <c r="I438" i="1" s="1"/>
  <c r="F439" i="1"/>
  <c r="G439" i="1" s="1"/>
  <c r="H439" i="1" s="1"/>
  <c r="I439" i="1" s="1"/>
  <c r="F440" i="1"/>
  <c r="G440" i="1" s="1"/>
  <c r="H440" i="1" s="1"/>
  <c r="I440" i="1" s="1"/>
  <c r="F441" i="1"/>
  <c r="G441" i="1" s="1"/>
  <c r="H441" i="1" s="1"/>
  <c r="I441" i="1" s="1"/>
  <c r="F442" i="1"/>
  <c r="G442" i="1" s="1"/>
  <c r="H442" i="1" s="1"/>
  <c r="I442" i="1" s="1"/>
  <c r="F443" i="1"/>
  <c r="G443" i="1" s="1"/>
  <c r="H443" i="1" s="1"/>
  <c r="I443" i="1" s="1"/>
  <c r="F444" i="1"/>
  <c r="G444" i="1" s="1"/>
  <c r="H444" i="1" s="1"/>
  <c r="I444" i="1" s="1"/>
  <c r="F445" i="1"/>
  <c r="G445" i="1" s="1"/>
  <c r="H445" i="1" s="1"/>
  <c r="I445" i="1" s="1"/>
  <c r="F446" i="1"/>
  <c r="G446" i="1" s="1"/>
  <c r="H446" i="1" s="1"/>
  <c r="I446" i="1" s="1"/>
  <c r="F447" i="1"/>
  <c r="G447" i="1" s="1"/>
  <c r="H447" i="1" s="1"/>
  <c r="I447" i="1" s="1"/>
  <c r="F448" i="1"/>
  <c r="G448" i="1" s="1"/>
  <c r="H448" i="1" s="1"/>
  <c r="I448" i="1" s="1"/>
  <c r="F449" i="1"/>
  <c r="G449" i="1" s="1"/>
  <c r="H449" i="1" s="1"/>
  <c r="I449" i="1" s="1"/>
  <c r="F450" i="1"/>
  <c r="G450" i="1" s="1"/>
  <c r="H450" i="1" s="1"/>
  <c r="I450" i="1" s="1"/>
  <c r="F451" i="1"/>
  <c r="G451" i="1" s="1"/>
  <c r="H451" i="1" s="1"/>
  <c r="I451" i="1" s="1"/>
  <c r="F452" i="1"/>
  <c r="G452" i="1" s="1"/>
  <c r="H452" i="1" s="1"/>
  <c r="I452" i="1" s="1"/>
  <c r="F453" i="1"/>
  <c r="G453" i="1" s="1"/>
  <c r="H453" i="1" s="1"/>
  <c r="I453" i="1" s="1"/>
  <c r="F454" i="1"/>
  <c r="G454" i="1" s="1"/>
  <c r="H454" i="1" s="1"/>
  <c r="I454" i="1" s="1"/>
  <c r="F455" i="1"/>
  <c r="G455" i="1" s="1"/>
  <c r="H455" i="1" s="1"/>
  <c r="I455" i="1" s="1"/>
  <c r="F456" i="1"/>
  <c r="G456" i="1" s="1"/>
  <c r="H456" i="1" s="1"/>
  <c r="I456" i="1" s="1"/>
  <c r="F457" i="1"/>
  <c r="G457" i="1" s="1"/>
  <c r="H457" i="1" s="1"/>
  <c r="I457" i="1" s="1"/>
  <c r="F458" i="1"/>
  <c r="G458" i="1" s="1"/>
  <c r="H458" i="1" s="1"/>
  <c r="I458" i="1" s="1"/>
  <c r="F459" i="1"/>
  <c r="G459" i="1" s="1"/>
  <c r="H459" i="1" s="1"/>
  <c r="I459" i="1" s="1"/>
  <c r="F460" i="1"/>
  <c r="G460" i="1" s="1"/>
  <c r="H460" i="1" s="1"/>
  <c r="I460" i="1" s="1"/>
  <c r="F461" i="1"/>
  <c r="G461" i="1" s="1"/>
  <c r="H461" i="1" s="1"/>
  <c r="I461" i="1" s="1"/>
  <c r="F462" i="1"/>
  <c r="G462" i="1" s="1"/>
  <c r="H462" i="1" s="1"/>
  <c r="I462" i="1" s="1"/>
  <c r="F463" i="1"/>
  <c r="G463" i="1" s="1"/>
  <c r="H463" i="1" s="1"/>
  <c r="I463" i="1" s="1"/>
  <c r="F464" i="1"/>
  <c r="G464" i="1" s="1"/>
  <c r="H464" i="1" s="1"/>
  <c r="I464" i="1" s="1"/>
  <c r="F465" i="1"/>
  <c r="G465" i="1" s="1"/>
  <c r="H465" i="1" s="1"/>
  <c r="I465" i="1" s="1"/>
  <c r="F466" i="1"/>
  <c r="G466" i="1" s="1"/>
  <c r="H466" i="1" s="1"/>
  <c r="I466" i="1" s="1"/>
  <c r="F467" i="1"/>
  <c r="G467" i="1" s="1"/>
  <c r="H467" i="1" s="1"/>
  <c r="I467" i="1" s="1"/>
  <c r="F468" i="1"/>
  <c r="G468" i="1" s="1"/>
  <c r="H468" i="1" s="1"/>
  <c r="I468" i="1" s="1"/>
  <c r="F469" i="1"/>
  <c r="G469" i="1" s="1"/>
  <c r="H469" i="1" s="1"/>
  <c r="I469" i="1" s="1"/>
  <c r="F470" i="1"/>
  <c r="G470" i="1" s="1"/>
  <c r="H470" i="1" s="1"/>
  <c r="I470" i="1" s="1"/>
  <c r="F471" i="1"/>
  <c r="G471" i="1" s="1"/>
  <c r="H471" i="1" s="1"/>
  <c r="I471" i="1" s="1"/>
  <c r="F472" i="1"/>
  <c r="G472" i="1" s="1"/>
  <c r="H472" i="1" s="1"/>
  <c r="I472" i="1" s="1"/>
  <c r="F473" i="1"/>
  <c r="G473" i="1" s="1"/>
  <c r="H473" i="1" s="1"/>
  <c r="I473" i="1" s="1"/>
  <c r="F474" i="1"/>
  <c r="G474" i="1" s="1"/>
  <c r="H474" i="1" s="1"/>
  <c r="I474" i="1" s="1"/>
  <c r="F475" i="1"/>
  <c r="G475" i="1" s="1"/>
  <c r="H475" i="1" s="1"/>
  <c r="I475" i="1" s="1"/>
  <c r="F476" i="1"/>
  <c r="G476" i="1" s="1"/>
  <c r="H476" i="1" s="1"/>
  <c r="I476" i="1" s="1"/>
  <c r="F477" i="1"/>
  <c r="G477" i="1" s="1"/>
  <c r="H477" i="1" s="1"/>
  <c r="I477" i="1" s="1"/>
  <c r="F478" i="1"/>
  <c r="G478" i="1" s="1"/>
  <c r="H478" i="1" s="1"/>
  <c r="I478" i="1" s="1"/>
  <c r="F479" i="1"/>
  <c r="G479" i="1" s="1"/>
  <c r="H479" i="1" s="1"/>
  <c r="I479" i="1" s="1"/>
  <c r="F480" i="1"/>
  <c r="G480" i="1" s="1"/>
  <c r="H480" i="1" s="1"/>
  <c r="I480" i="1" s="1"/>
  <c r="F481" i="1"/>
  <c r="G481" i="1" s="1"/>
  <c r="H481" i="1" s="1"/>
  <c r="I481" i="1" s="1"/>
  <c r="F482" i="1"/>
  <c r="G482" i="1" s="1"/>
  <c r="H482" i="1" s="1"/>
  <c r="I482" i="1" s="1"/>
  <c r="F483" i="1"/>
  <c r="G483" i="1" s="1"/>
  <c r="H483" i="1" s="1"/>
  <c r="I483" i="1" s="1"/>
  <c r="F484" i="1"/>
  <c r="G484" i="1" s="1"/>
  <c r="H484" i="1" s="1"/>
  <c r="I484" i="1" s="1"/>
  <c r="F485" i="1"/>
  <c r="G485" i="1" s="1"/>
  <c r="H485" i="1" s="1"/>
  <c r="I485" i="1" s="1"/>
  <c r="F486" i="1"/>
  <c r="G486" i="1" s="1"/>
  <c r="H486" i="1" s="1"/>
  <c r="I486" i="1" s="1"/>
  <c r="F487" i="1"/>
  <c r="G487" i="1" s="1"/>
  <c r="H487" i="1" s="1"/>
  <c r="I487" i="1" s="1"/>
  <c r="F488" i="1"/>
  <c r="G488" i="1" s="1"/>
  <c r="H488" i="1" s="1"/>
  <c r="I488" i="1" s="1"/>
  <c r="F489" i="1"/>
  <c r="G489" i="1" s="1"/>
  <c r="H489" i="1" s="1"/>
  <c r="I489" i="1" s="1"/>
  <c r="F490" i="1"/>
  <c r="G490" i="1" s="1"/>
  <c r="H490" i="1" s="1"/>
  <c r="I490" i="1" s="1"/>
  <c r="F491" i="1"/>
  <c r="G491" i="1" s="1"/>
  <c r="H491" i="1" s="1"/>
  <c r="I491" i="1" s="1"/>
  <c r="F492" i="1"/>
  <c r="G492" i="1" s="1"/>
  <c r="H492" i="1" s="1"/>
  <c r="I492" i="1" s="1"/>
  <c r="F493" i="1"/>
  <c r="G493" i="1" s="1"/>
  <c r="H493" i="1" s="1"/>
  <c r="I493" i="1" s="1"/>
  <c r="F494" i="1"/>
  <c r="G494" i="1" s="1"/>
  <c r="H494" i="1" s="1"/>
  <c r="I494" i="1" s="1"/>
  <c r="F495" i="1"/>
  <c r="G495" i="1" s="1"/>
  <c r="H495" i="1" s="1"/>
  <c r="I495" i="1" s="1"/>
  <c r="F496" i="1"/>
  <c r="G496" i="1" s="1"/>
  <c r="H496" i="1" s="1"/>
  <c r="I496" i="1" s="1"/>
  <c r="F497" i="1"/>
  <c r="G497" i="1" s="1"/>
  <c r="H497" i="1" s="1"/>
  <c r="I497" i="1" s="1"/>
  <c r="F498" i="1"/>
  <c r="G498" i="1" s="1"/>
  <c r="H498" i="1" s="1"/>
  <c r="I498" i="1" s="1"/>
  <c r="F499" i="1"/>
  <c r="G499" i="1" s="1"/>
  <c r="H499" i="1" s="1"/>
  <c r="I499" i="1" s="1"/>
  <c r="F500" i="1"/>
  <c r="G500" i="1" s="1"/>
  <c r="H500" i="1" s="1"/>
  <c r="I500" i="1" s="1"/>
  <c r="F501" i="1"/>
  <c r="G501" i="1" s="1"/>
  <c r="H501" i="1" s="1"/>
  <c r="I501" i="1" s="1"/>
  <c r="F502" i="1"/>
  <c r="G502" i="1" s="1"/>
  <c r="H502" i="1" s="1"/>
  <c r="I502" i="1" s="1"/>
  <c r="F503" i="1"/>
  <c r="G503" i="1" s="1"/>
  <c r="H503" i="1" s="1"/>
  <c r="I503" i="1" s="1"/>
  <c r="F504" i="1"/>
  <c r="G504" i="1" s="1"/>
  <c r="H504" i="1" s="1"/>
  <c r="I504" i="1" s="1"/>
  <c r="F505" i="1"/>
  <c r="G505" i="1" s="1"/>
  <c r="H505" i="1" s="1"/>
  <c r="I505" i="1" s="1"/>
  <c r="F506" i="1"/>
  <c r="G506" i="1" s="1"/>
  <c r="H506" i="1" s="1"/>
  <c r="I506" i="1" s="1"/>
  <c r="F507" i="1"/>
  <c r="G507" i="1" s="1"/>
  <c r="H507" i="1" s="1"/>
  <c r="I507" i="1" s="1"/>
  <c r="F508" i="1"/>
  <c r="G508" i="1" s="1"/>
  <c r="H508" i="1" s="1"/>
  <c r="I508" i="1" s="1"/>
  <c r="F509" i="1"/>
  <c r="G509" i="1" s="1"/>
  <c r="H509" i="1" s="1"/>
  <c r="I509" i="1" s="1"/>
  <c r="F510" i="1"/>
  <c r="G510" i="1" s="1"/>
  <c r="H510" i="1" s="1"/>
  <c r="I510" i="1" s="1"/>
  <c r="F511" i="1"/>
  <c r="G511" i="1" s="1"/>
  <c r="H511" i="1" s="1"/>
  <c r="I511" i="1" s="1"/>
  <c r="F512" i="1"/>
  <c r="G512" i="1" s="1"/>
  <c r="H512" i="1" s="1"/>
  <c r="I512" i="1" s="1"/>
  <c r="F513" i="1"/>
  <c r="G513" i="1" s="1"/>
  <c r="H513" i="1" s="1"/>
  <c r="I513" i="1" s="1"/>
  <c r="F514" i="1"/>
  <c r="G514" i="1" s="1"/>
  <c r="H514" i="1" s="1"/>
  <c r="I514" i="1" s="1"/>
  <c r="F515" i="1"/>
  <c r="G515" i="1" s="1"/>
  <c r="H515" i="1" s="1"/>
  <c r="I515" i="1" s="1"/>
  <c r="F516" i="1"/>
  <c r="G516" i="1" s="1"/>
  <c r="H516" i="1" s="1"/>
  <c r="I516" i="1" s="1"/>
  <c r="F517" i="1"/>
  <c r="G517" i="1" s="1"/>
  <c r="H517" i="1" s="1"/>
  <c r="I517" i="1" s="1"/>
  <c r="F518" i="1"/>
  <c r="G518" i="1" s="1"/>
  <c r="H518" i="1" s="1"/>
  <c r="I518" i="1" s="1"/>
  <c r="F519" i="1"/>
  <c r="G519" i="1" s="1"/>
  <c r="H519" i="1" s="1"/>
  <c r="I519" i="1" s="1"/>
  <c r="F520" i="1"/>
  <c r="G520" i="1" s="1"/>
  <c r="H520" i="1" s="1"/>
  <c r="I520" i="1" s="1"/>
  <c r="F521" i="1"/>
  <c r="G521" i="1" s="1"/>
  <c r="H521" i="1" s="1"/>
  <c r="I521" i="1" s="1"/>
  <c r="F522" i="1"/>
  <c r="G522" i="1" s="1"/>
  <c r="H522" i="1" s="1"/>
  <c r="I522" i="1" s="1"/>
  <c r="F523" i="1"/>
  <c r="G523" i="1" s="1"/>
  <c r="H523" i="1" s="1"/>
  <c r="I523" i="1" s="1"/>
  <c r="F524" i="1"/>
  <c r="G524" i="1" s="1"/>
  <c r="H524" i="1" s="1"/>
  <c r="I524" i="1" s="1"/>
  <c r="F525" i="1"/>
  <c r="G525" i="1" s="1"/>
  <c r="H525" i="1" s="1"/>
  <c r="I525" i="1" s="1"/>
  <c r="F526" i="1"/>
  <c r="G526" i="1" s="1"/>
  <c r="H526" i="1" s="1"/>
  <c r="I526" i="1" s="1"/>
  <c r="F527" i="1"/>
  <c r="G527" i="1" s="1"/>
  <c r="H527" i="1" s="1"/>
  <c r="I527" i="1" s="1"/>
  <c r="F528" i="1"/>
  <c r="G528" i="1" s="1"/>
  <c r="H528" i="1" s="1"/>
  <c r="I528" i="1" s="1"/>
  <c r="F529" i="1"/>
  <c r="G529" i="1" s="1"/>
  <c r="H529" i="1" s="1"/>
  <c r="I529" i="1" s="1"/>
  <c r="F530" i="1"/>
  <c r="G530" i="1" s="1"/>
  <c r="H530" i="1" s="1"/>
  <c r="I530" i="1" s="1"/>
  <c r="F531" i="1"/>
  <c r="G531" i="1" s="1"/>
  <c r="H531" i="1" s="1"/>
  <c r="I531" i="1" s="1"/>
  <c r="F532" i="1"/>
  <c r="G532" i="1" s="1"/>
  <c r="H532" i="1" s="1"/>
  <c r="I532" i="1" s="1"/>
  <c r="F533" i="1"/>
  <c r="G533" i="1" s="1"/>
  <c r="H533" i="1" s="1"/>
  <c r="I533" i="1" s="1"/>
  <c r="F534" i="1"/>
  <c r="G534" i="1" s="1"/>
  <c r="H534" i="1" s="1"/>
  <c r="I534" i="1" s="1"/>
  <c r="F535" i="1"/>
  <c r="G535" i="1" s="1"/>
  <c r="H535" i="1" s="1"/>
  <c r="I535" i="1" s="1"/>
  <c r="F536" i="1"/>
  <c r="G536" i="1" s="1"/>
  <c r="H536" i="1" s="1"/>
  <c r="I536" i="1" s="1"/>
  <c r="F537" i="1"/>
  <c r="G537" i="1" s="1"/>
  <c r="H537" i="1" s="1"/>
  <c r="I537" i="1" s="1"/>
  <c r="F538" i="1"/>
  <c r="G538" i="1" s="1"/>
  <c r="H538" i="1" s="1"/>
  <c r="I538" i="1" s="1"/>
  <c r="F539" i="1"/>
  <c r="G539" i="1" s="1"/>
  <c r="H539" i="1" s="1"/>
  <c r="I539" i="1" s="1"/>
  <c r="F540" i="1"/>
  <c r="G540" i="1" s="1"/>
  <c r="H540" i="1" s="1"/>
  <c r="I540" i="1" s="1"/>
  <c r="F541" i="1"/>
  <c r="G541" i="1" s="1"/>
  <c r="H541" i="1" s="1"/>
  <c r="I541" i="1" s="1"/>
  <c r="F542" i="1"/>
  <c r="G542" i="1" s="1"/>
  <c r="H542" i="1" s="1"/>
  <c r="I542" i="1" s="1"/>
  <c r="F543" i="1"/>
  <c r="G543" i="1" s="1"/>
  <c r="H543" i="1" s="1"/>
  <c r="I543" i="1" s="1"/>
  <c r="F544" i="1"/>
  <c r="G544" i="1" s="1"/>
  <c r="H544" i="1" s="1"/>
  <c r="I544" i="1" s="1"/>
  <c r="F545" i="1"/>
  <c r="G545" i="1" s="1"/>
  <c r="H545" i="1" s="1"/>
  <c r="I545" i="1" s="1"/>
  <c r="F546" i="1"/>
  <c r="G546" i="1" s="1"/>
  <c r="H546" i="1" s="1"/>
  <c r="I546" i="1" s="1"/>
  <c r="F547" i="1"/>
  <c r="G547" i="1" s="1"/>
  <c r="H547" i="1" s="1"/>
  <c r="I547" i="1" s="1"/>
  <c r="F548" i="1"/>
  <c r="G548" i="1" s="1"/>
  <c r="H548" i="1" s="1"/>
  <c r="I548" i="1" s="1"/>
  <c r="F549" i="1"/>
  <c r="G549" i="1" s="1"/>
  <c r="H549" i="1" s="1"/>
  <c r="I549" i="1" s="1"/>
  <c r="F550" i="1"/>
  <c r="G550" i="1" s="1"/>
  <c r="H550" i="1" s="1"/>
  <c r="I550" i="1" s="1"/>
  <c r="F551" i="1"/>
  <c r="G551" i="1" s="1"/>
  <c r="H551" i="1" s="1"/>
  <c r="I551" i="1" s="1"/>
  <c r="F552" i="1"/>
  <c r="G552" i="1" s="1"/>
  <c r="H552" i="1" s="1"/>
  <c r="I552" i="1" s="1"/>
  <c r="F553" i="1"/>
  <c r="G553" i="1" s="1"/>
  <c r="H553" i="1" s="1"/>
  <c r="I553" i="1" s="1"/>
  <c r="F554" i="1"/>
  <c r="G554" i="1" s="1"/>
  <c r="H554" i="1" s="1"/>
  <c r="I554" i="1" s="1"/>
  <c r="F555" i="1"/>
  <c r="G555" i="1" s="1"/>
  <c r="H555" i="1" s="1"/>
  <c r="I555" i="1" s="1"/>
  <c r="F556" i="1"/>
  <c r="G556" i="1" s="1"/>
  <c r="H556" i="1" s="1"/>
  <c r="I556" i="1" s="1"/>
  <c r="F557" i="1"/>
  <c r="G557" i="1" s="1"/>
  <c r="H557" i="1" s="1"/>
  <c r="I557" i="1" s="1"/>
  <c r="F558" i="1"/>
  <c r="G558" i="1" s="1"/>
  <c r="H558" i="1" s="1"/>
  <c r="I558" i="1" s="1"/>
  <c r="F559" i="1"/>
  <c r="G559" i="1" s="1"/>
  <c r="H559" i="1" s="1"/>
  <c r="I559" i="1" s="1"/>
  <c r="F560" i="1"/>
  <c r="G560" i="1" s="1"/>
  <c r="H560" i="1" s="1"/>
  <c r="I560" i="1" s="1"/>
  <c r="F561" i="1"/>
  <c r="G561" i="1" s="1"/>
  <c r="H561" i="1" s="1"/>
  <c r="I561" i="1" s="1"/>
  <c r="F562" i="1"/>
  <c r="G562" i="1" s="1"/>
  <c r="H562" i="1" s="1"/>
  <c r="I562" i="1" s="1"/>
  <c r="F563" i="1"/>
  <c r="G563" i="1" s="1"/>
  <c r="H563" i="1" s="1"/>
  <c r="I563" i="1" s="1"/>
  <c r="F564" i="1"/>
  <c r="G564" i="1" s="1"/>
  <c r="H564" i="1" s="1"/>
  <c r="I564" i="1" s="1"/>
  <c r="F565" i="1"/>
  <c r="G565" i="1" s="1"/>
  <c r="H565" i="1" s="1"/>
  <c r="I565" i="1" s="1"/>
  <c r="F566" i="1"/>
  <c r="G566" i="1" s="1"/>
  <c r="H566" i="1" s="1"/>
  <c r="I566" i="1" s="1"/>
  <c r="F567" i="1"/>
  <c r="G567" i="1" s="1"/>
  <c r="H567" i="1" s="1"/>
  <c r="I567" i="1" s="1"/>
  <c r="F568" i="1"/>
  <c r="G568" i="1" s="1"/>
  <c r="H568" i="1" s="1"/>
  <c r="I568" i="1" s="1"/>
  <c r="F569" i="1"/>
  <c r="G569" i="1" s="1"/>
  <c r="H569" i="1" s="1"/>
  <c r="I569" i="1" s="1"/>
  <c r="F570" i="1"/>
  <c r="G570" i="1" s="1"/>
  <c r="H570" i="1" s="1"/>
  <c r="I570" i="1" s="1"/>
  <c r="F571" i="1"/>
  <c r="G571" i="1" s="1"/>
  <c r="H571" i="1" s="1"/>
  <c r="I571" i="1" s="1"/>
  <c r="F572" i="1"/>
  <c r="G572" i="1" s="1"/>
  <c r="H572" i="1" s="1"/>
  <c r="I572" i="1" s="1"/>
  <c r="F573" i="1"/>
  <c r="G573" i="1" s="1"/>
  <c r="H573" i="1" s="1"/>
  <c r="I573" i="1" s="1"/>
  <c r="F574" i="1"/>
  <c r="G574" i="1" s="1"/>
  <c r="H574" i="1" s="1"/>
  <c r="I574" i="1" s="1"/>
  <c r="F575" i="1"/>
  <c r="G575" i="1" s="1"/>
  <c r="H575" i="1" s="1"/>
  <c r="I575" i="1" s="1"/>
  <c r="F576" i="1"/>
  <c r="G576" i="1" s="1"/>
  <c r="H576" i="1" s="1"/>
  <c r="I576" i="1" s="1"/>
  <c r="F577" i="1"/>
  <c r="G577" i="1" s="1"/>
  <c r="H577" i="1" s="1"/>
  <c r="I577" i="1" s="1"/>
  <c r="F578" i="1"/>
  <c r="G578" i="1" s="1"/>
  <c r="H578" i="1" s="1"/>
  <c r="I578" i="1" s="1"/>
  <c r="F579" i="1"/>
  <c r="G579" i="1" s="1"/>
  <c r="H579" i="1" s="1"/>
  <c r="I579" i="1" s="1"/>
  <c r="F580" i="1"/>
  <c r="G580" i="1" s="1"/>
  <c r="H580" i="1" s="1"/>
  <c r="I580" i="1" s="1"/>
  <c r="F581" i="1"/>
  <c r="G581" i="1" s="1"/>
  <c r="H581" i="1" s="1"/>
  <c r="I581" i="1" s="1"/>
  <c r="F582" i="1"/>
  <c r="G582" i="1" s="1"/>
  <c r="H582" i="1" s="1"/>
  <c r="I582" i="1" s="1"/>
  <c r="F583" i="1"/>
  <c r="G583" i="1" s="1"/>
  <c r="H583" i="1" s="1"/>
  <c r="I583" i="1" s="1"/>
  <c r="F584" i="1"/>
  <c r="G584" i="1" s="1"/>
  <c r="H584" i="1" s="1"/>
  <c r="I584" i="1" s="1"/>
  <c r="F585" i="1"/>
  <c r="G585" i="1" s="1"/>
  <c r="H585" i="1" s="1"/>
  <c r="I585" i="1" s="1"/>
  <c r="F586" i="1"/>
  <c r="G586" i="1" s="1"/>
  <c r="H586" i="1" s="1"/>
  <c r="I586" i="1" s="1"/>
  <c r="F587" i="1"/>
  <c r="G587" i="1" s="1"/>
  <c r="H587" i="1" s="1"/>
  <c r="I587" i="1" s="1"/>
  <c r="F588" i="1"/>
  <c r="G588" i="1" s="1"/>
  <c r="H588" i="1" s="1"/>
  <c r="I588" i="1" s="1"/>
  <c r="F589" i="1"/>
  <c r="G589" i="1" s="1"/>
  <c r="H589" i="1" s="1"/>
  <c r="I589" i="1" s="1"/>
  <c r="F590" i="1"/>
  <c r="G590" i="1" s="1"/>
  <c r="H590" i="1" s="1"/>
  <c r="I590" i="1" s="1"/>
  <c r="F591" i="1"/>
  <c r="G591" i="1" s="1"/>
  <c r="H591" i="1" s="1"/>
  <c r="I591" i="1" s="1"/>
  <c r="F592" i="1"/>
  <c r="G592" i="1" s="1"/>
  <c r="H592" i="1" s="1"/>
  <c r="I592" i="1" s="1"/>
  <c r="F593" i="1"/>
  <c r="G593" i="1" s="1"/>
  <c r="H593" i="1" s="1"/>
  <c r="I593" i="1" s="1"/>
  <c r="F594" i="1"/>
  <c r="G594" i="1" s="1"/>
  <c r="H594" i="1" s="1"/>
  <c r="I594" i="1" s="1"/>
  <c r="F595" i="1"/>
  <c r="G595" i="1" s="1"/>
  <c r="H595" i="1" s="1"/>
  <c r="I595" i="1" s="1"/>
  <c r="F596" i="1"/>
  <c r="G596" i="1" s="1"/>
  <c r="H596" i="1" s="1"/>
  <c r="I596" i="1" s="1"/>
  <c r="F597" i="1"/>
  <c r="G597" i="1" s="1"/>
  <c r="H597" i="1" s="1"/>
  <c r="I597" i="1" s="1"/>
  <c r="F598" i="1"/>
  <c r="G598" i="1" s="1"/>
  <c r="H598" i="1" s="1"/>
  <c r="I598" i="1" s="1"/>
  <c r="F599" i="1"/>
  <c r="G599" i="1" s="1"/>
  <c r="H599" i="1" s="1"/>
  <c r="I599" i="1" s="1"/>
  <c r="F600" i="1"/>
  <c r="G600" i="1" s="1"/>
  <c r="H600" i="1" s="1"/>
  <c r="I600" i="1" s="1"/>
  <c r="F601" i="1"/>
  <c r="G601" i="1" s="1"/>
  <c r="H601" i="1" s="1"/>
  <c r="I601" i="1" s="1"/>
  <c r="F602" i="1"/>
  <c r="G602" i="1" s="1"/>
  <c r="H602" i="1" s="1"/>
  <c r="I602" i="1" s="1"/>
  <c r="F603" i="1"/>
  <c r="G603" i="1" s="1"/>
  <c r="H603" i="1" s="1"/>
  <c r="I603" i="1" s="1"/>
  <c r="F604" i="1"/>
  <c r="G604" i="1" s="1"/>
  <c r="H604" i="1" s="1"/>
  <c r="I604" i="1" s="1"/>
  <c r="F605" i="1"/>
  <c r="G605" i="1" s="1"/>
  <c r="H605" i="1" s="1"/>
  <c r="I605" i="1" s="1"/>
  <c r="F606" i="1"/>
  <c r="G606" i="1" s="1"/>
  <c r="H606" i="1" s="1"/>
  <c r="I606" i="1" s="1"/>
  <c r="F607" i="1"/>
  <c r="G607" i="1" s="1"/>
  <c r="H607" i="1" s="1"/>
  <c r="I607" i="1" s="1"/>
  <c r="F608" i="1"/>
  <c r="G608" i="1" s="1"/>
  <c r="H608" i="1" s="1"/>
  <c r="I608" i="1" s="1"/>
  <c r="F609" i="1"/>
  <c r="G609" i="1" s="1"/>
  <c r="H609" i="1" s="1"/>
  <c r="I609" i="1" s="1"/>
  <c r="F610" i="1"/>
  <c r="G610" i="1" s="1"/>
  <c r="H610" i="1" s="1"/>
  <c r="I610" i="1" s="1"/>
  <c r="F611" i="1"/>
  <c r="G611" i="1" s="1"/>
  <c r="H611" i="1" s="1"/>
  <c r="I611" i="1" s="1"/>
  <c r="F612" i="1"/>
  <c r="G612" i="1" s="1"/>
  <c r="H612" i="1" s="1"/>
  <c r="I612" i="1" s="1"/>
  <c r="F613" i="1"/>
  <c r="G613" i="1" s="1"/>
  <c r="H613" i="1" s="1"/>
  <c r="I613" i="1" s="1"/>
  <c r="F614" i="1"/>
  <c r="G614" i="1" s="1"/>
  <c r="H614" i="1" s="1"/>
  <c r="I614" i="1" s="1"/>
  <c r="F615" i="1"/>
  <c r="G615" i="1" s="1"/>
  <c r="H615" i="1" s="1"/>
  <c r="I615" i="1" s="1"/>
  <c r="F616" i="1"/>
  <c r="G616" i="1" s="1"/>
  <c r="H616" i="1" s="1"/>
  <c r="I616" i="1" s="1"/>
  <c r="F617" i="1"/>
  <c r="G617" i="1" s="1"/>
  <c r="H617" i="1" s="1"/>
  <c r="I617" i="1" s="1"/>
  <c r="F618" i="1"/>
  <c r="G618" i="1" s="1"/>
  <c r="H618" i="1" s="1"/>
  <c r="I618" i="1" s="1"/>
  <c r="F619" i="1"/>
  <c r="G619" i="1" s="1"/>
  <c r="H619" i="1" s="1"/>
  <c r="I619" i="1" s="1"/>
  <c r="F620" i="1"/>
  <c r="G620" i="1" s="1"/>
  <c r="H620" i="1" s="1"/>
  <c r="I620" i="1" s="1"/>
  <c r="F621" i="1"/>
  <c r="G621" i="1" s="1"/>
  <c r="H621" i="1" s="1"/>
  <c r="I621" i="1" s="1"/>
  <c r="F622" i="1"/>
  <c r="G622" i="1" s="1"/>
  <c r="H622" i="1" s="1"/>
  <c r="I622" i="1" s="1"/>
  <c r="F623" i="1"/>
  <c r="G623" i="1" s="1"/>
  <c r="H623" i="1" s="1"/>
  <c r="I623" i="1" s="1"/>
  <c r="F624" i="1"/>
  <c r="G624" i="1" s="1"/>
  <c r="H624" i="1" s="1"/>
  <c r="I624" i="1" s="1"/>
  <c r="F625" i="1"/>
  <c r="G625" i="1" s="1"/>
  <c r="H625" i="1" s="1"/>
  <c r="I625" i="1" s="1"/>
  <c r="F626" i="1"/>
  <c r="G626" i="1" s="1"/>
  <c r="H626" i="1" s="1"/>
  <c r="I626" i="1" s="1"/>
  <c r="F627" i="1"/>
  <c r="G627" i="1" s="1"/>
  <c r="H627" i="1" s="1"/>
  <c r="I627" i="1" s="1"/>
  <c r="F628" i="1"/>
  <c r="G628" i="1" s="1"/>
  <c r="H628" i="1" s="1"/>
  <c r="I628" i="1" s="1"/>
  <c r="F629" i="1"/>
  <c r="G629" i="1" s="1"/>
  <c r="H629" i="1" s="1"/>
  <c r="I629" i="1" s="1"/>
  <c r="F630" i="1"/>
  <c r="G630" i="1" s="1"/>
  <c r="H630" i="1" s="1"/>
  <c r="I630" i="1" s="1"/>
  <c r="F631" i="1"/>
  <c r="G631" i="1" s="1"/>
  <c r="H631" i="1" s="1"/>
  <c r="I631" i="1" s="1"/>
  <c r="F632" i="1"/>
  <c r="G632" i="1" s="1"/>
  <c r="H632" i="1" s="1"/>
  <c r="I632" i="1" s="1"/>
  <c r="F633" i="1"/>
  <c r="G633" i="1" s="1"/>
  <c r="H633" i="1" s="1"/>
  <c r="I633" i="1" s="1"/>
  <c r="F634" i="1"/>
  <c r="G634" i="1" s="1"/>
  <c r="H634" i="1" s="1"/>
  <c r="I634" i="1" s="1"/>
  <c r="F635" i="1"/>
  <c r="G635" i="1" s="1"/>
  <c r="H635" i="1" s="1"/>
  <c r="I635" i="1" s="1"/>
  <c r="F636" i="1"/>
  <c r="G636" i="1" s="1"/>
  <c r="H636" i="1" s="1"/>
  <c r="I636" i="1" s="1"/>
  <c r="F637" i="1"/>
  <c r="G637" i="1" s="1"/>
  <c r="H637" i="1" s="1"/>
  <c r="I637" i="1" s="1"/>
  <c r="F638" i="1"/>
  <c r="G638" i="1" s="1"/>
  <c r="H638" i="1" s="1"/>
  <c r="I638" i="1" s="1"/>
  <c r="F639" i="1"/>
  <c r="G639" i="1" s="1"/>
  <c r="H639" i="1" s="1"/>
  <c r="I639" i="1" s="1"/>
  <c r="F640" i="1"/>
  <c r="G640" i="1" s="1"/>
  <c r="H640" i="1" s="1"/>
  <c r="I640" i="1" s="1"/>
  <c r="F641" i="1"/>
  <c r="G641" i="1" s="1"/>
  <c r="H641" i="1" s="1"/>
  <c r="I641" i="1" s="1"/>
  <c r="F642" i="1"/>
  <c r="G642" i="1" s="1"/>
  <c r="H642" i="1" s="1"/>
  <c r="I642" i="1" s="1"/>
  <c r="F643" i="1"/>
  <c r="G643" i="1" s="1"/>
  <c r="H643" i="1" s="1"/>
  <c r="I643" i="1" s="1"/>
  <c r="F644" i="1"/>
  <c r="G644" i="1" s="1"/>
  <c r="H644" i="1" s="1"/>
  <c r="I644" i="1" s="1"/>
  <c r="F645" i="1"/>
  <c r="G645" i="1" s="1"/>
  <c r="H645" i="1" s="1"/>
  <c r="I645" i="1" s="1"/>
  <c r="F646" i="1"/>
  <c r="G646" i="1" s="1"/>
  <c r="H646" i="1" s="1"/>
  <c r="I646" i="1" s="1"/>
  <c r="F647" i="1"/>
  <c r="G647" i="1" s="1"/>
  <c r="H647" i="1" s="1"/>
  <c r="I647" i="1" s="1"/>
  <c r="F648" i="1"/>
  <c r="G648" i="1" s="1"/>
  <c r="H648" i="1" s="1"/>
  <c r="I648" i="1" s="1"/>
  <c r="F649" i="1"/>
  <c r="G649" i="1" s="1"/>
  <c r="H649" i="1" s="1"/>
  <c r="I649" i="1" s="1"/>
  <c r="F650" i="1"/>
  <c r="G650" i="1" s="1"/>
  <c r="H650" i="1" s="1"/>
  <c r="I650" i="1" s="1"/>
  <c r="F651" i="1"/>
  <c r="G651" i="1" s="1"/>
  <c r="H651" i="1" s="1"/>
  <c r="I651" i="1" s="1"/>
  <c r="F652" i="1"/>
  <c r="G652" i="1" s="1"/>
  <c r="H652" i="1" s="1"/>
  <c r="I652" i="1" s="1"/>
  <c r="F653" i="1"/>
  <c r="G653" i="1" s="1"/>
  <c r="H653" i="1" s="1"/>
  <c r="I653" i="1" s="1"/>
  <c r="F654" i="1"/>
  <c r="G654" i="1" s="1"/>
  <c r="H654" i="1" s="1"/>
  <c r="I654" i="1" s="1"/>
  <c r="F655" i="1"/>
  <c r="G655" i="1" s="1"/>
  <c r="H655" i="1" s="1"/>
  <c r="I655" i="1" s="1"/>
  <c r="F656" i="1"/>
  <c r="G656" i="1" s="1"/>
  <c r="H656" i="1" s="1"/>
  <c r="I656" i="1" s="1"/>
  <c r="F657" i="1"/>
  <c r="G657" i="1" s="1"/>
  <c r="H657" i="1" s="1"/>
  <c r="I657" i="1" s="1"/>
  <c r="F658" i="1"/>
  <c r="G658" i="1" s="1"/>
  <c r="H658" i="1" s="1"/>
  <c r="I658" i="1" s="1"/>
  <c r="F659" i="1"/>
  <c r="G659" i="1" s="1"/>
  <c r="H659" i="1" s="1"/>
  <c r="I659" i="1" s="1"/>
  <c r="F660" i="1"/>
  <c r="G660" i="1" s="1"/>
  <c r="H660" i="1" s="1"/>
  <c r="I660" i="1" s="1"/>
  <c r="F661" i="1"/>
  <c r="G661" i="1" s="1"/>
  <c r="H661" i="1" s="1"/>
  <c r="I661" i="1" s="1"/>
  <c r="F662" i="1"/>
  <c r="G662" i="1" s="1"/>
  <c r="H662" i="1" s="1"/>
  <c r="I662" i="1" s="1"/>
  <c r="F663" i="1"/>
  <c r="G663" i="1" s="1"/>
  <c r="H663" i="1" s="1"/>
  <c r="I663" i="1" s="1"/>
  <c r="F664" i="1"/>
  <c r="G664" i="1" s="1"/>
  <c r="H664" i="1" s="1"/>
  <c r="I664" i="1" s="1"/>
  <c r="F665" i="1"/>
  <c r="G665" i="1" s="1"/>
  <c r="H665" i="1" s="1"/>
  <c r="I665" i="1" s="1"/>
  <c r="F666" i="1"/>
  <c r="G666" i="1" s="1"/>
  <c r="H666" i="1" s="1"/>
  <c r="I666" i="1" s="1"/>
  <c r="F667" i="1"/>
  <c r="G667" i="1" s="1"/>
  <c r="H667" i="1" s="1"/>
  <c r="I667" i="1" s="1"/>
  <c r="F668" i="1"/>
  <c r="G668" i="1" s="1"/>
  <c r="H668" i="1" s="1"/>
  <c r="I668" i="1" s="1"/>
  <c r="F669" i="1"/>
  <c r="G669" i="1" s="1"/>
  <c r="H669" i="1" s="1"/>
  <c r="I669" i="1" s="1"/>
  <c r="F670" i="1"/>
  <c r="G670" i="1" s="1"/>
  <c r="H670" i="1" s="1"/>
  <c r="I670" i="1" s="1"/>
  <c r="F671" i="1"/>
  <c r="G671" i="1" s="1"/>
  <c r="H671" i="1" s="1"/>
  <c r="I671" i="1" s="1"/>
  <c r="F672" i="1"/>
  <c r="G672" i="1" s="1"/>
  <c r="H672" i="1" s="1"/>
  <c r="I672" i="1" s="1"/>
  <c r="F673" i="1"/>
  <c r="G673" i="1" s="1"/>
  <c r="H673" i="1" s="1"/>
  <c r="I673" i="1" s="1"/>
  <c r="F674" i="1"/>
  <c r="G674" i="1" s="1"/>
  <c r="H674" i="1" s="1"/>
  <c r="I674" i="1" s="1"/>
  <c r="F675" i="1"/>
  <c r="G675" i="1" s="1"/>
  <c r="H675" i="1" s="1"/>
  <c r="I675" i="1" s="1"/>
  <c r="F676" i="1"/>
  <c r="G676" i="1" s="1"/>
  <c r="H676" i="1" s="1"/>
  <c r="I676" i="1" s="1"/>
  <c r="F677" i="1"/>
  <c r="G677" i="1" s="1"/>
  <c r="H677" i="1" s="1"/>
  <c r="I677" i="1" s="1"/>
  <c r="F678" i="1"/>
  <c r="G678" i="1" s="1"/>
  <c r="H678" i="1" s="1"/>
  <c r="I678" i="1" s="1"/>
  <c r="F679" i="1"/>
  <c r="G679" i="1" s="1"/>
  <c r="H679" i="1" s="1"/>
  <c r="I679" i="1" s="1"/>
  <c r="F680" i="1"/>
  <c r="G680" i="1" s="1"/>
  <c r="H680" i="1" s="1"/>
  <c r="I680" i="1" s="1"/>
  <c r="F681" i="1"/>
  <c r="G681" i="1" s="1"/>
  <c r="H681" i="1" s="1"/>
  <c r="I681" i="1" s="1"/>
  <c r="F682" i="1"/>
  <c r="G682" i="1" s="1"/>
  <c r="H682" i="1" s="1"/>
  <c r="I682" i="1" s="1"/>
  <c r="F683" i="1"/>
  <c r="G683" i="1" s="1"/>
  <c r="H683" i="1" s="1"/>
  <c r="I683" i="1" s="1"/>
  <c r="F684" i="1"/>
  <c r="G684" i="1" s="1"/>
  <c r="H684" i="1" s="1"/>
  <c r="I684" i="1" s="1"/>
  <c r="F685" i="1"/>
  <c r="G685" i="1" s="1"/>
  <c r="H685" i="1" s="1"/>
  <c r="I685" i="1" s="1"/>
  <c r="F686" i="1"/>
  <c r="G686" i="1" s="1"/>
  <c r="H686" i="1" s="1"/>
  <c r="I686" i="1" s="1"/>
  <c r="F687" i="1"/>
  <c r="G687" i="1" s="1"/>
  <c r="H687" i="1" s="1"/>
  <c r="I687" i="1" s="1"/>
  <c r="F688" i="1"/>
  <c r="G688" i="1" s="1"/>
  <c r="H688" i="1" s="1"/>
  <c r="I688" i="1" s="1"/>
  <c r="F689" i="1"/>
  <c r="G689" i="1" s="1"/>
  <c r="H689" i="1" s="1"/>
  <c r="I689" i="1" s="1"/>
  <c r="F690" i="1"/>
  <c r="G690" i="1" s="1"/>
  <c r="H690" i="1" s="1"/>
  <c r="I690" i="1" s="1"/>
  <c r="F691" i="1"/>
  <c r="G691" i="1" s="1"/>
  <c r="H691" i="1" s="1"/>
  <c r="I691" i="1" s="1"/>
  <c r="F692" i="1"/>
  <c r="G692" i="1" s="1"/>
  <c r="H692" i="1" s="1"/>
  <c r="I692" i="1" s="1"/>
  <c r="F693" i="1"/>
  <c r="G693" i="1" s="1"/>
  <c r="H693" i="1" s="1"/>
  <c r="I693" i="1" s="1"/>
  <c r="F694" i="1"/>
  <c r="G694" i="1" s="1"/>
  <c r="H694" i="1" s="1"/>
  <c r="I694" i="1" s="1"/>
  <c r="F695" i="1"/>
  <c r="G695" i="1" s="1"/>
  <c r="H695" i="1" s="1"/>
  <c r="I695" i="1" s="1"/>
  <c r="F696" i="1"/>
  <c r="G696" i="1" s="1"/>
  <c r="H696" i="1" s="1"/>
  <c r="I696" i="1" s="1"/>
  <c r="F697" i="1"/>
  <c r="G697" i="1" s="1"/>
  <c r="H697" i="1" s="1"/>
  <c r="I697" i="1" s="1"/>
  <c r="F698" i="1"/>
  <c r="G698" i="1" s="1"/>
  <c r="H698" i="1" s="1"/>
  <c r="I698" i="1" s="1"/>
  <c r="F699" i="1"/>
  <c r="G699" i="1" s="1"/>
  <c r="H699" i="1" s="1"/>
  <c r="I699" i="1" s="1"/>
  <c r="F700" i="1"/>
  <c r="G700" i="1" s="1"/>
  <c r="H700" i="1" s="1"/>
  <c r="I700" i="1" s="1"/>
  <c r="F701" i="1"/>
  <c r="G701" i="1" s="1"/>
  <c r="H701" i="1" s="1"/>
  <c r="I701" i="1" s="1"/>
  <c r="F702" i="1"/>
  <c r="G702" i="1" s="1"/>
  <c r="H702" i="1" s="1"/>
  <c r="I702" i="1" s="1"/>
  <c r="F703" i="1"/>
  <c r="G703" i="1" s="1"/>
  <c r="H703" i="1" s="1"/>
  <c r="I703" i="1" s="1"/>
  <c r="F704" i="1"/>
  <c r="G704" i="1" s="1"/>
  <c r="H704" i="1" s="1"/>
  <c r="I704" i="1" s="1"/>
  <c r="F705" i="1"/>
  <c r="G705" i="1" s="1"/>
  <c r="H705" i="1" s="1"/>
  <c r="I705" i="1" s="1"/>
  <c r="F706" i="1"/>
  <c r="G706" i="1" s="1"/>
  <c r="H706" i="1" s="1"/>
  <c r="I706" i="1" s="1"/>
  <c r="F707" i="1"/>
  <c r="G707" i="1" s="1"/>
  <c r="H707" i="1" s="1"/>
  <c r="I707" i="1" s="1"/>
  <c r="F708" i="1"/>
  <c r="G708" i="1" s="1"/>
  <c r="H708" i="1" s="1"/>
  <c r="I708" i="1" s="1"/>
  <c r="F709" i="1"/>
  <c r="G709" i="1" s="1"/>
  <c r="H709" i="1" s="1"/>
  <c r="I709" i="1" s="1"/>
  <c r="F710" i="1"/>
  <c r="G710" i="1" s="1"/>
  <c r="H710" i="1" s="1"/>
  <c r="I710" i="1" s="1"/>
  <c r="F711" i="1"/>
  <c r="G711" i="1" s="1"/>
  <c r="H711" i="1" s="1"/>
  <c r="I711" i="1" s="1"/>
  <c r="F712" i="1"/>
  <c r="G712" i="1" s="1"/>
  <c r="H712" i="1" s="1"/>
  <c r="I712" i="1" s="1"/>
  <c r="F713" i="1"/>
  <c r="G713" i="1" s="1"/>
  <c r="H713" i="1" s="1"/>
  <c r="I713" i="1" s="1"/>
  <c r="F714" i="1"/>
  <c r="G714" i="1" s="1"/>
  <c r="H714" i="1" s="1"/>
  <c r="I714" i="1" s="1"/>
  <c r="F715" i="1"/>
  <c r="G715" i="1" s="1"/>
  <c r="H715" i="1" s="1"/>
  <c r="I715" i="1" s="1"/>
  <c r="F716" i="1"/>
  <c r="G716" i="1" s="1"/>
  <c r="H716" i="1" s="1"/>
  <c r="I716" i="1" s="1"/>
  <c r="F717" i="1"/>
  <c r="G717" i="1" s="1"/>
  <c r="H717" i="1" s="1"/>
  <c r="I717" i="1" s="1"/>
  <c r="F718" i="1"/>
  <c r="G718" i="1" s="1"/>
  <c r="H718" i="1" s="1"/>
  <c r="I718" i="1" s="1"/>
  <c r="F719" i="1"/>
  <c r="G719" i="1" s="1"/>
  <c r="H719" i="1" s="1"/>
  <c r="I719" i="1" s="1"/>
  <c r="F720" i="1"/>
  <c r="G720" i="1" s="1"/>
  <c r="H720" i="1" s="1"/>
  <c r="I720" i="1" s="1"/>
  <c r="F721" i="1"/>
  <c r="G721" i="1" s="1"/>
  <c r="H721" i="1" s="1"/>
  <c r="I721" i="1" s="1"/>
  <c r="F722" i="1"/>
  <c r="G722" i="1" s="1"/>
  <c r="H722" i="1" s="1"/>
  <c r="I722" i="1" s="1"/>
  <c r="F723" i="1"/>
  <c r="G723" i="1" s="1"/>
  <c r="H723" i="1" s="1"/>
  <c r="I723" i="1" s="1"/>
  <c r="F724" i="1"/>
  <c r="G724" i="1" s="1"/>
  <c r="H724" i="1" s="1"/>
  <c r="I724" i="1" s="1"/>
  <c r="F725" i="1"/>
  <c r="G725" i="1" s="1"/>
  <c r="H725" i="1" s="1"/>
  <c r="I725" i="1" s="1"/>
  <c r="F726" i="1"/>
  <c r="G726" i="1" s="1"/>
  <c r="H726" i="1" s="1"/>
  <c r="I726" i="1" s="1"/>
  <c r="F727" i="1"/>
  <c r="G727" i="1" s="1"/>
  <c r="H727" i="1" s="1"/>
  <c r="I727" i="1" s="1"/>
  <c r="F728" i="1"/>
  <c r="G728" i="1" s="1"/>
  <c r="H728" i="1" s="1"/>
  <c r="I728" i="1" s="1"/>
  <c r="F729" i="1"/>
  <c r="G729" i="1" s="1"/>
  <c r="H729" i="1" s="1"/>
  <c r="I729" i="1" s="1"/>
  <c r="F730" i="1"/>
  <c r="G730" i="1" s="1"/>
  <c r="H730" i="1" s="1"/>
  <c r="I730" i="1" s="1"/>
  <c r="F731" i="1"/>
  <c r="G731" i="1" s="1"/>
  <c r="H731" i="1" s="1"/>
  <c r="I731" i="1" s="1"/>
  <c r="F732" i="1"/>
  <c r="G732" i="1" s="1"/>
  <c r="H732" i="1" s="1"/>
  <c r="I732" i="1" s="1"/>
  <c r="F733" i="1"/>
  <c r="G733" i="1" s="1"/>
  <c r="H733" i="1" s="1"/>
  <c r="I733" i="1" s="1"/>
  <c r="F734" i="1"/>
  <c r="G734" i="1" s="1"/>
  <c r="H734" i="1" s="1"/>
  <c r="I734" i="1" s="1"/>
  <c r="F735" i="1"/>
  <c r="G735" i="1" s="1"/>
  <c r="H735" i="1" s="1"/>
  <c r="I735" i="1" s="1"/>
  <c r="F736" i="1"/>
  <c r="G736" i="1" s="1"/>
  <c r="H736" i="1" s="1"/>
  <c r="I736" i="1" s="1"/>
  <c r="F737" i="1"/>
  <c r="G737" i="1" s="1"/>
  <c r="H737" i="1" s="1"/>
  <c r="I737" i="1" s="1"/>
  <c r="F738" i="1"/>
  <c r="G738" i="1" s="1"/>
  <c r="H738" i="1" s="1"/>
  <c r="I738" i="1" s="1"/>
  <c r="F739" i="1"/>
  <c r="G739" i="1" s="1"/>
  <c r="H739" i="1" s="1"/>
  <c r="I739" i="1" s="1"/>
  <c r="F740" i="1"/>
  <c r="G740" i="1" s="1"/>
  <c r="H740" i="1" s="1"/>
  <c r="I740" i="1" s="1"/>
  <c r="F741" i="1"/>
  <c r="G741" i="1" s="1"/>
  <c r="H741" i="1" s="1"/>
  <c r="I741" i="1" s="1"/>
  <c r="F742" i="1"/>
  <c r="G742" i="1" s="1"/>
  <c r="H742" i="1" s="1"/>
  <c r="I742" i="1" s="1"/>
  <c r="F743" i="1"/>
  <c r="G743" i="1" s="1"/>
  <c r="H743" i="1" s="1"/>
  <c r="I743" i="1" s="1"/>
  <c r="F744" i="1"/>
  <c r="G744" i="1" s="1"/>
  <c r="H744" i="1" s="1"/>
  <c r="I744" i="1" s="1"/>
  <c r="F745" i="1"/>
  <c r="G745" i="1" s="1"/>
  <c r="H745" i="1" s="1"/>
  <c r="I745" i="1" s="1"/>
  <c r="F746" i="1"/>
  <c r="G746" i="1" s="1"/>
  <c r="H746" i="1" s="1"/>
  <c r="I746" i="1" s="1"/>
  <c r="F747" i="1"/>
  <c r="G747" i="1" s="1"/>
  <c r="H747" i="1" s="1"/>
  <c r="I747" i="1" s="1"/>
  <c r="F748" i="1"/>
  <c r="G748" i="1" s="1"/>
  <c r="H748" i="1" s="1"/>
  <c r="I748" i="1" s="1"/>
  <c r="F749" i="1"/>
  <c r="G749" i="1" s="1"/>
  <c r="H749" i="1" s="1"/>
  <c r="I749" i="1" s="1"/>
  <c r="F750" i="1"/>
  <c r="G750" i="1" s="1"/>
  <c r="H750" i="1" s="1"/>
  <c r="I750" i="1" s="1"/>
  <c r="F751" i="1"/>
  <c r="G751" i="1" s="1"/>
  <c r="H751" i="1" s="1"/>
  <c r="I751" i="1" s="1"/>
  <c r="F752" i="1"/>
  <c r="G752" i="1" s="1"/>
  <c r="H752" i="1" s="1"/>
  <c r="I752" i="1" s="1"/>
  <c r="F753" i="1"/>
  <c r="G753" i="1" s="1"/>
  <c r="H753" i="1" s="1"/>
  <c r="I753" i="1" s="1"/>
  <c r="F754" i="1"/>
  <c r="G754" i="1" s="1"/>
  <c r="H754" i="1" s="1"/>
  <c r="I754" i="1" s="1"/>
  <c r="F755" i="1"/>
  <c r="G755" i="1" s="1"/>
  <c r="H755" i="1" s="1"/>
  <c r="I755" i="1" s="1"/>
  <c r="F756" i="1"/>
  <c r="G756" i="1" s="1"/>
  <c r="H756" i="1" s="1"/>
  <c r="I756" i="1" s="1"/>
  <c r="F757" i="1"/>
  <c r="G757" i="1" s="1"/>
  <c r="H757" i="1" s="1"/>
  <c r="I757" i="1" s="1"/>
  <c r="F758" i="1"/>
  <c r="G758" i="1" s="1"/>
  <c r="H758" i="1" s="1"/>
  <c r="I758" i="1" s="1"/>
  <c r="F759" i="1"/>
  <c r="G759" i="1" s="1"/>
  <c r="H759" i="1" s="1"/>
  <c r="I759" i="1" s="1"/>
  <c r="F760" i="1"/>
  <c r="G760" i="1" s="1"/>
  <c r="H760" i="1" s="1"/>
  <c r="I760" i="1" s="1"/>
  <c r="F761" i="1"/>
  <c r="G761" i="1" s="1"/>
  <c r="H761" i="1" s="1"/>
  <c r="I761" i="1" s="1"/>
  <c r="F762" i="1"/>
  <c r="G762" i="1" s="1"/>
  <c r="H762" i="1" s="1"/>
  <c r="I762" i="1" s="1"/>
  <c r="F763" i="1"/>
  <c r="G763" i="1" s="1"/>
  <c r="H763" i="1" s="1"/>
  <c r="I763" i="1" s="1"/>
  <c r="F764" i="1"/>
  <c r="G764" i="1" s="1"/>
  <c r="H764" i="1" s="1"/>
  <c r="I764" i="1" s="1"/>
  <c r="F765" i="1"/>
  <c r="G765" i="1" s="1"/>
  <c r="H765" i="1" s="1"/>
  <c r="I765" i="1" s="1"/>
  <c r="F766" i="1"/>
  <c r="G766" i="1" s="1"/>
  <c r="H766" i="1" s="1"/>
  <c r="I766" i="1" s="1"/>
  <c r="F767" i="1"/>
  <c r="G767" i="1" s="1"/>
  <c r="H767" i="1" s="1"/>
  <c r="I767" i="1" s="1"/>
  <c r="F768" i="1"/>
  <c r="G768" i="1" s="1"/>
  <c r="H768" i="1" s="1"/>
  <c r="I768" i="1" s="1"/>
  <c r="F769" i="1"/>
  <c r="G769" i="1" s="1"/>
  <c r="H769" i="1" s="1"/>
  <c r="I769" i="1" s="1"/>
  <c r="F770" i="1"/>
  <c r="G770" i="1" s="1"/>
  <c r="H770" i="1" s="1"/>
  <c r="I770" i="1" s="1"/>
  <c r="F771" i="1"/>
  <c r="G771" i="1" s="1"/>
  <c r="H771" i="1" s="1"/>
  <c r="I771" i="1" s="1"/>
  <c r="F772" i="1"/>
  <c r="G772" i="1" s="1"/>
  <c r="H772" i="1" s="1"/>
  <c r="I772" i="1" s="1"/>
  <c r="F773" i="1"/>
  <c r="G773" i="1" s="1"/>
  <c r="H773" i="1" s="1"/>
  <c r="I773" i="1" s="1"/>
  <c r="F774" i="1"/>
  <c r="G774" i="1" s="1"/>
  <c r="H774" i="1" s="1"/>
  <c r="I774" i="1" s="1"/>
  <c r="F775" i="1"/>
  <c r="G775" i="1" s="1"/>
  <c r="H775" i="1" s="1"/>
  <c r="I775" i="1" s="1"/>
  <c r="F776" i="1"/>
  <c r="G776" i="1" s="1"/>
  <c r="H776" i="1" s="1"/>
  <c r="I776" i="1" s="1"/>
  <c r="F777" i="1"/>
  <c r="G777" i="1" s="1"/>
  <c r="H777" i="1" s="1"/>
  <c r="I777" i="1" s="1"/>
  <c r="F778" i="1"/>
  <c r="G778" i="1" s="1"/>
  <c r="H778" i="1" s="1"/>
  <c r="I778" i="1" s="1"/>
  <c r="F779" i="1"/>
  <c r="G779" i="1" s="1"/>
  <c r="H779" i="1" s="1"/>
  <c r="I779" i="1" s="1"/>
  <c r="F780" i="1"/>
  <c r="G780" i="1" s="1"/>
  <c r="H780" i="1" s="1"/>
  <c r="I780" i="1" s="1"/>
  <c r="F781" i="1"/>
  <c r="G781" i="1" s="1"/>
  <c r="H781" i="1" s="1"/>
  <c r="I781" i="1" s="1"/>
  <c r="F782" i="1"/>
  <c r="G782" i="1" s="1"/>
  <c r="H782" i="1" s="1"/>
  <c r="I782" i="1" s="1"/>
  <c r="F783" i="1"/>
  <c r="G783" i="1" s="1"/>
  <c r="H783" i="1" s="1"/>
  <c r="I783" i="1" s="1"/>
  <c r="F784" i="1"/>
  <c r="G784" i="1" s="1"/>
  <c r="H784" i="1" s="1"/>
  <c r="I784" i="1" s="1"/>
  <c r="F785" i="1"/>
  <c r="G785" i="1" s="1"/>
  <c r="H785" i="1" s="1"/>
  <c r="I785" i="1" s="1"/>
  <c r="F786" i="1"/>
  <c r="G786" i="1" s="1"/>
  <c r="H786" i="1" s="1"/>
  <c r="I786" i="1" s="1"/>
  <c r="F787" i="1"/>
  <c r="G787" i="1" s="1"/>
  <c r="H787" i="1" s="1"/>
  <c r="I787" i="1" s="1"/>
  <c r="F788" i="1"/>
  <c r="G788" i="1" s="1"/>
  <c r="H788" i="1" s="1"/>
  <c r="I788" i="1" s="1"/>
  <c r="F789" i="1"/>
  <c r="G789" i="1" s="1"/>
  <c r="H789" i="1" s="1"/>
  <c r="I789" i="1" s="1"/>
  <c r="F790" i="1"/>
  <c r="G790" i="1" s="1"/>
  <c r="H790" i="1" s="1"/>
  <c r="I790" i="1" s="1"/>
  <c r="F791" i="1"/>
  <c r="G791" i="1" s="1"/>
  <c r="H791" i="1" s="1"/>
  <c r="I791" i="1" s="1"/>
  <c r="F792" i="1"/>
  <c r="G792" i="1" s="1"/>
  <c r="H792" i="1" s="1"/>
  <c r="I792" i="1" s="1"/>
  <c r="F793" i="1"/>
  <c r="G793" i="1" s="1"/>
  <c r="H793" i="1" s="1"/>
  <c r="I793" i="1" s="1"/>
  <c r="F794" i="1"/>
  <c r="G794" i="1" s="1"/>
  <c r="H794" i="1" s="1"/>
  <c r="I794" i="1" s="1"/>
  <c r="F795" i="1"/>
  <c r="G795" i="1" s="1"/>
  <c r="H795" i="1" s="1"/>
  <c r="I795" i="1" s="1"/>
  <c r="F796" i="1"/>
  <c r="G796" i="1" s="1"/>
  <c r="H796" i="1" s="1"/>
  <c r="I796" i="1" s="1"/>
  <c r="F797" i="1"/>
  <c r="G797" i="1" s="1"/>
  <c r="H797" i="1" s="1"/>
  <c r="I797" i="1" s="1"/>
  <c r="F798" i="1"/>
  <c r="G798" i="1" s="1"/>
  <c r="H798" i="1" s="1"/>
  <c r="I798" i="1" s="1"/>
  <c r="F799" i="1"/>
  <c r="G799" i="1" s="1"/>
  <c r="H799" i="1" s="1"/>
  <c r="I799" i="1" s="1"/>
  <c r="F800" i="1"/>
  <c r="G800" i="1" s="1"/>
  <c r="H800" i="1" s="1"/>
  <c r="I800" i="1" s="1"/>
  <c r="F801" i="1"/>
  <c r="G801" i="1" s="1"/>
  <c r="H801" i="1" s="1"/>
  <c r="I801" i="1" s="1"/>
  <c r="F802" i="1"/>
  <c r="G802" i="1" s="1"/>
  <c r="H802" i="1" s="1"/>
  <c r="I802" i="1" s="1"/>
  <c r="F803" i="1"/>
  <c r="G803" i="1" s="1"/>
  <c r="H803" i="1" s="1"/>
  <c r="I803" i="1" s="1"/>
  <c r="F804" i="1"/>
  <c r="G804" i="1" s="1"/>
  <c r="H804" i="1" s="1"/>
  <c r="I804" i="1" s="1"/>
  <c r="F805" i="1"/>
  <c r="G805" i="1" s="1"/>
  <c r="H805" i="1" s="1"/>
  <c r="I805" i="1" s="1"/>
  <c r="F806" i="1"/>
  <c r="G806" i="1" s="1"/>
  <c r="H806" i="1" s="1"/>
  <c r="I806" i="1" s="1"/>
  <c r="F807" i="1"/>
  <c r="G807" i="1" s="1"/>
  <c r="H807" i="1" s="1"/>
  <c r="I807" i="1" s="1"/>
  <c r="F808" i="1"/>
  <c r="G808" i="1" s="1"/>
  <c r="H808" i="1" s="1"/>
  <c r="I808" i="1" s="1"/>
  <c r="F809" i="1"/>
  <c r="G809" i="1" s="1"/>
  <c r="H809" i="1" s="1"/>
  <c r="I809" i="1" s="1"/>
  <c r="F810" i="1"/>
  <c r="G810" i="1" s="1"/>
  <c r="H810" i="1" s="1"/>
  <c r="I810" i="1" s="1"/>
  <c r="F811" i="1"/>
  <c r="G811" i="1" s="1"/>
  <c r="H811" i="1" s="1"/>
  <c r="I811" i="1" s="1"/>
  <c r="F812" i="1"/>
  <c r="G812" i="1" s="1"/>
  <c r="H812" i="1" s="1"/>
  <c r="I812" i="1" s="1"/>
  <c r="F813" i="1"/>
  <c r="G813" i="1" s="1"/>
  <c r="H813" i="1" s="1"/>
  <c r="I813" i="1" s="1"/>
  <c r="F814" i="1"/>
  <c r="G814" i="1" s="1"/>
  <c r="H814" i="1" s="1"/>
  <c r="I814" i="1" s="1"/>
  <c r="F815" i="1"/>
  <c r="G815" i="1" s="1"/>
  <c r="H815" i="1" s="1"/>
  <c r="I815" i="1" s="1"/>
  <c r="F816" i="1"/>
  <c r="G816" i="1" s="1"/>
  <c r="H816" i="1" s="1"/>
  <c r="I816" i="1" s="1"/>
  <c r="F817" i="1"/>
  <c r="G817" i="1" s="1"/>
  <c r="H817" i="1" s="1"/>
  <c r="I817" i="1" s="1"/>
  <c r="F818" i="1"/>
  <c r="G818" i="1" s="1"/>
  <c r="H818" i="1" s="1"/>
  <c r="I818" i="1" s="1"/>
  <c r="F819" i="1"/>
  <c r="G819" i="1" s="1"/>
  <c r="H819" i="1" s="1"/>
  <c r="I819" i="1" s="1"/>
  <c r="F820" i="1"/>
  <c r="G820" i="1" s="1"/>
  <c r="H820" i="1" s="1"/>
  <c r="I820" i="1" s="1"/>
  <c r="F821" i="1"/>
  <c r="G821" i="1" s="1"/>
  <c r="H821" i="1" s="1"/>
  <c r="I821" i="1" s="1"/>
  <c r="F822" i="1"/>
  <c r="G822" i="1" s="1"/>
  <c r="H822" i="1" s="1"/>
  <c r="I822" i="1" s="1"/>
  <c r="F823" i="1"/>
  <c r="G823" i="1" s="1"/>
  <c r="H823" i="1" s="1"/>
  <c r="I823" i="1" s="1"/>
  <c r="F824" i="1"/>
  <c r="G824" i="1" s="1"/>
  <c r="H824" i="1" s="1"/>
  <c r="I824" i="1" s="1"/>
  <c r="F825" i="1"/>
  <c r="G825" i="1" s="1"/>
  <c r="H825" i="1" s="1"/>
  <c r="I825" i="1" s="1"/>
  <c r="F826" i="1"/>
  <c r="G826" i="1" s="1"/>
  <c r="H826" i="1" s="1"/>
  <c r="I826" i="1" s="1"/>
  <c r="F827" i="1"/>
  <c r="G827" i="1" s="1"/>
  <c r="H827" i="1" s="1"/>
  <c r="I827" i="1" s="1"/>
  <c r="F828" i="1"/>
  <c r="G828" i="1" s="1"/>
  <c r="H828" i="1" s="1"/>
  <c r="I828" i="1" s="1"/>
  <c r="F829" i="1"/>
  <c r="G829" i="1" s="1"/>
  <c r="H829" i="1" s="1"/>
  <c r="I829" i="1" s="1"/>
  <c r="F830" i="1"/>
  <c r="G830" i="1" s="1"/>
  <c r="H830" i="1" s="1"/>
  <c r="I830" i="1" s="1"/>
  <c r="F831" i="1"/>
  <c r="G831" i="1" s="1"/>
  <c r="H831" i="1" s="1"/>
  <c r="I831" i="1" s="1"/>
  <c r="F832" i="1"/>
  <c r="G832" i="1" s="1"/>
  <c r="H832" i="1" s="1"/>
  <c r="I832" i="1" s="1"/>
  <c r="F833" i="1"/>
  <c r="G833" i="1" s="1"/>
  <c r="H833" i="1" s="1"/>
  <c r="I833" i="1" s="1"/>
  <c r="F834" i="1"/>
  <c r="G834" i="1" s="1"/>
  <c r="H834" i="1" s="1"/>
  <c r="I834" i="1" s="1"/>
  <c r="F835" i="1"/>
  <c r="G835" i="1" s="1"/>
  <c r="H835" i="1" s="1"/>
  <c r="I835" i="1" s="1"/>
  <c r="F836" i="1"/>
  <c r="G836" i="1" s="1"/>
  <c r="H836" i="1" s="1"/>
  <c r="I836" i="1" s="1"/>
  <c r="F837" i="1"/>
  <c r="G837" i="1" s="1"/>
  <c r="H837" i="1" s="1"/>
  <c r="I837" i="1" s="1"/>
  <c r="F838" i="1"/>
  <c r="G838" i="1" s="1"/>
  <c r="H838" i="1" s="1"/>
  <c r="I838" i="1" s="1"/>
  <c r="F839" i="1"/>
  <c r="G839" i="1" s="1"/>
  <c r="H839" i="1" s="1"/>
  <c r="I839" i="1" s="1"/>
  <c r="F840" i="1"/>
  <c r="G840" i="1" s="1"/>
  <c r="H840" i="1" s="1"/>
  <c r="I840" i="1" s="1"/>
  <c r="F841" i="1"/>
  <c r="G841" i="1" s="1"/>
  <c r="H841" i="1" s="1"/>
  <c r="I841" i="1" s="1"/>
  <c r="F842" i="1"/>
  <c r="G842" i="1" s="1"/>
  <c r="H842" i="1" s="1"/>
  <c r="I842" i="1" s="1"/>
  <c r="F843" i="1"/>
  <c r="G843" i="1" s="1"/>
  <c r="H843" i="1" s="1"/>
  <c r="I843" i="1" s="1"/>
  <c r="F844" i="1"/>
  <c r="G844" i="1" s="1"/>
  <c r="H844" i="1" s="1"/>
  <c r="I844" i="1" s="1"/>
  <c r="F845" i="1"/>
  <c r="G845" i="1" s="1"/>
  <c r="H845" i="1" s="1"/>
  <c r="I845" i="1" s="1"/>
  <c r="F846" i="1"/>
  <c r="G846" i="1" s="1"/>
  <c r="H846" i="1" s="1"/>
  <c r="I846" i="1" s="1"/>
  <c r="F847" i="1"/>
  <c r="G847" i="1" s="1"/>
  <c r="H847" i="1" s="1"/>
  <c r="I847" i="1" s="1"/>
  <c r="F848" i="1"/>
  <c r="G848" i="1" s="1"/>
  <c r="H848" i="1" s="1"/>
  <c r="I848" i="1" s="1"/>
  <c r="F849" i="1"/>
  <c r="G849" i="1" s="1"/>
  <c r="H849" i="1" s="1"/>
  <c r="I849" i="1" s="1"/>
  <c r="F850" i="1"/>
  <c r="G850" i="1" s="1"/>
  <c r="H850" i="1" s="1"/>
  <c r="I850" i="1" s="1"/>
  <c r="F851" i="1"/>
  <c r="G851" i="1" s="1"/>
  <c r="H851" i="1" s="1"/>
  <c r="I851" i="1" s="1"/>
  <c r="F852" i="1"/>
  <c r="G852" i="1" s="1"/>
  <c r="H852" i="1" s="1"/>
  <c r="I852" i="1" s="1"/>
  <c r="F853" i="1"/>
  <c r="G853" i="1" s="1"/>
  <c r="H853" i="1" s="1"/>
  <c r="I853" i="1" s="1"/>
  <c r="F854" i="1"/>
  <c r="G854" i="1" s="1"/>
  <c r="H854" i="1" s="1"/>
  <c r="I854" i="1" s="1"/>
  <c r="F855" i="1"/>
  <c r="G855" i="1" s="1"/>
  <c r="H855" i="1" s="1"/>
  <c r="I855" i="1" s="1"/>
  <c r="F856" i="1"/>
  <c r="G856" i="1" s="1"/>
  <c r="H856" i="1" s="1"/>
  <c r="I856" i="1" s="1"/>
  <c r="F857" i="1"/>
  <c r="G857" i="1" s="1"/>
  <c r="H857" i="1" s="1"/>
  <c r="I857" i="1" s="1"/>
  <c r="F858" i="1"/>
  <c r="G858" i="1" s="1"/>
  <c r="H858" i="1" s="1"/>
  <c r="I858" i="1" s="1"/>
  <c r="F859" i="1"/>
  <c r="G859" i="1" s="1"/>
  <c r="H859" i="1" s="1"/>
  <c r="I859" i="1" s="1"/>
  <c r="F860" i="1"/>
  <c r="G860" i="1" s="1"/>
  <c r="H860" i="1" s="1"/>
  <c r="I860" i="1" s="1"/>
  <c r="F861" i="1"/>
  <c r="G861" i="1" s="1"/>
  <c r="H861" i="1" s="1"/>
  <c r="I861" i="1" s="1"/>
  <c r="F862" i="1"/>
  <c r="G862" i="1" s="1"/>
  <c r="H862" i="1" s="1"/>
  <c r="I862" i="1" s="1"/>
  <c r="F863" i="1"/>
  <c r="G863" i="1" s="1"/>
  <c r="H863" i="1" s="1"/>
  <c r="I863" i="1" s="1"/>
  <c r="F864" i="1"/>
  <c r="G864" i="1" s="1"/>
  <c r="H864" i="1" s="1"/>
  <c r="I864" i="1" s="1"/>
  <c r="F865" i="1"/>
  <c r="G865" i="1" s="1"/>
  <c r="H865" i="1" s="1"/>
  <c r="I865" i="1" s="1"/>
  <c r="F866" i="1"/>
  <c r="G866" i="1" s="1"/>
  <c r="H866" i="1" s="1"/>
  <c r="I866" i="1" s="1"/>
  <c r="F867" i="1"/>
  <c r="G867" i="1" s="1"/>
  <c r="H867" i="1" s="1"/>
  <c r="I867" i="1" s="1"/>
  <c r="F868" i="1"/>
  <c r="G868" i="1" s="1"/>
  <c r="H868" i="1" s="1"/>
  <c r="I868" i="1" s="1"/>
  <c r="F869" i="1"/>
  <c r="G869" i="1" s="1"/>
  <c r="H869" i="1" s="1"/>
  <c r="I869" i="1" s="1"/>
  <c r="F870" i="1"/>
  <c r="G870" i="1" s="1"/>
  <c r="H870" i="1" s="1"/>
  <c r="I870" i="1" s="1"/>
  <c r="F871" i="1"/>
  <c r="G871" i="1" s="1"/>
  <c r="H871" i="1" s="1"/>
  <c r="I871" i="1" s="1"/>
  <c r="F872" i="1"/>
  <c r="G872" i="1" s="1"/>
  <c r="H872" i="1" s="1"/>
  <c r="I872" i="1" s="1"/>
  <c r="F873" i="1"/>
  <c r="G873" i="1" s="1"/>
  <c r="H873" i="1" s="1"/>
  <c r="I873" i="1" s="1"/>
  <c r="F874" i="1"/>
  <c r="G874" i="1" s="1"/>
  <c r="H874" i="1" s="1"/>
  <c r="I874" i="1" s="1"/>
  <c r="F875" i="1"/>
  <c r="G875" i="1" s="1"/>
  <c r="H875" i="1" s="1"/>
  <c r="I875" i="1" s="1"/>
  <c r="F876" i="1"/>
  <c r="G876" i="1" s="1"/>
  <c r="H876" i="1" s="1"/>
  <c r="I876" i="1" s="1"/>
  <c r="F877" i="1"/>
  <c r="G877" i="1" s="1"/>
  <c r="H877" i="1" s="1"/>
  <c r="I877" i="1" s="1"/>
  <c r="F878" i="1"/>
  <c r="G878" i="1" s="1"/>
  <c r="H878" i="1" s="1"/>
  <c r="I878" i="1" s="1"/>
  <c r="F879" i="1"/>
  <c r="G879" i="1" s="1"/>
  <c r="H879" i="1" s="1"/>
  <c r="I879" i="1" s="1"/>
  <c r="F880" i="1"/>
  <c r="G880" i="1" s="1"/>
  <c r="H880" i="1" s="1"/>
  <c r="I880" i="1" s="1"/>
  <c r="F881" i="1"/>
  <c r="G881" i="1" s="1"/>
  <c r="H881" i="1" s="1"/>
  <c r="I881" i="1" s="1"/>
  <c r="F882" i="1"/>
  <c r="G882" i="1" s="1"/>
  <c r="H882" i="1" s="1"/>
  <c r="I882" i="1" s="1"/>
  <c r="F883" i="1"/>
  <c r="G883" i="1" s="1"/>
  <c r="H883" i="1" s="1"/>
  <c r="I883" i="1" s="1"/>
  <c r="F884" i="1"/>
  <c r="G884" i="1" s="1"/>
  <c r="H884" i="1" s="1"/>
  <c r="I884" i="1" s="1"/>
  <c r="F885" i="1"/>
  <c r="G885" i="1" s="1"/>
  <c r="H885" i="1" s="1"/>
  <c r="I885" i="1" s="1"/>
  <c r="F886" i="1"/>
  <c r="G886" i="1" s="1"/>
  <c r="H886" i="1" s="1"/>
  <c r="I886" i="1" s="1"/>
  <c r="F887" i="1"/>
  <c r="G887" i="1" s="1"/>
  <c r="H887" i="1" s="1"/>
  <c r="I887" i="1" s="1"/>
  <c r="F888" i="1"/>
  <c r="G888" i="1" s="1"/>
  <c r="H888" i="1" s="1"/>
  <c r="I888" i="1" s="1"/>
  <c r="F889" i="1"/>
  <c r="G889" i="1" s="1"/>
  <c r="H889" i="1" s="1"/>
  <c r="I889" i="1" s="1"/>
  <c r="F890" i="1"/>
  <c r="G890" i="1" s="1"/>
  <c r="H890" i="1" s="1"/>
  <c r="I890" i="1" s="1"/>
  <c r="F891" i="1"/>
  <c r="G891" i="1" s="1"/>
  <c r="H891" i="1" s="1"/>
  <c r="I891" i="1" s="1"/>
  <c r="F892" i="1"/>
  <c r="G892" i="1" s="1"/>
  <c r="H892" i="1" s="1"/>
  <c r="I892" i="1" s="1"/>
  <c r="F893" i="1"/>
  <c r="G893" i="1" s="1"/>
  <c r="H893" i="1" s="1"/>
  <c r="I893" i="1" s="1"/>
  <c r="F894" i="1"/>
  <c r="G894" i="1" s="1"/>
  <c r="H894" i="1" s="1"/>
  <c r="I894" i="1" s="1"/>
  <c r="F895" i="1"/>
  <c r="G895" i="1" s="1"/>
  <c r="H895" i="1" s="1"/>
  <c r="I895" i="1" s="1"/>
  <c r="F896" i="1"/>
  <c r="G896" i="1" s="1"/>
  <c r="H896" i="1" s="1"/>
  <c r="I896" i="1" s="1"/>
  <c r="F897" i="1"/>
  <c r="G897" i="1" s="1"/>
  <c r="H897" i="1" s="1"/>
  <c r="I897" i="1" s="1"/>
  <c r="F898" i="1"/>
  <c r="G898" i="1" s="1"/>
  <c r="H898" i="1" s="1"/>
  <c r="I898" i="1" s="1"/>
  <c r="F899" i="1"/>
  <c r="G899" i="1" s="1"/>
  <c r="H899" i="1" s="1"/>
  <c r="I899" i="1" s="1"/>
  <c r="F900" i="1"/>
  <c r="G900" i="1" s="1"/>
  <c r="H900" i="1" s="1"/>
  <c r="I900" i="1" s="1"/>
  <c r="F901" i="1"/>
  <c r="G901" i="1" s="1"/>
  <c r="H901" i="1" s="1"/>
  <c r="I901" i="1" s="1"/>
  <c r="F902" i="1"/>
  <c r="G902" i="1" s="1"/>
  <c r="H902" i="1" s="1"/>
  <c r="I902" i="1" s="1"/>
  <c r="F903" i="1"/>
  <c r="G903" i="1" s="1"/>
  <c r="H903" i="1" s="1"/>
  <c r="I903" i="1" s="1"/>
  <c r="F904" i="1"/>
  <c r="G904" i="1" s="1"/>
  <c r="H904" i="1" s="1"/>
  <c r="I904" i="1" s="1"/>
  <c r="F905" i="1"/>
  <c r="G905" i="1" s="1"/>
  <c r="H905" i="1" s="1"/>
  <c r="I905" i="1" s="1"/>
  <c r="F906" i="1"/>
  <c r="G906" i="1" s="1"/>
  <c r="H906" i="1" s="1"/>
  <c r="I906" i="1" s="1"/>
  <c r="F907" i="1"/>
  <c r="G907" i="1" s="1"/>
  <c r="H907" i="1" s="1"/>
  <c r="I907" i="1" s="1"/>
  <c r="F908" i="1"/>
  <c r="G908" i="1" s="1"/>
  <c r="H908" i="1" s="1"/>
  <c r="I908" i="1" s="1"/>
  <c r="F909" i="1"/>
  <c r="G909" i="1" s="1"/>
  <c r="H909" i="1" s="1"/>
  <c r="I909" i="1" s="1"/>
  <c r="F910" i="1"/>
  <c r="G910" i="1" s="1"/>
  <c r="H910" i="1" s="1"/>
  <c r="I910" i="1" s="1"/>
  <c r="F911" i="1"/>
  <c r="G911" i="1" s="1"/>
  <c r="H911" i="1" s="1"/>
  <c r="I911" i="1" s="1"/>
  <c r="F912" i="1"/>
  <c r="G912" i="1" s="1"/>
  <c r="H912" i="1" s="1"/>
  <c r="I912" i="1" s="1"/>
  <c r="F913" i="1"/>
  <c r="G913" i="1" s="1"/>
  <c r="H913" i="1" s="1"/>
  <c r="I913" i="1" s="1"/>
  <c r="F914" i="1"/>
  <c r="G914" i="1" s="1"/>
  <c r="H914" i="1" s="1"/>
  <c r="I914" i="1" s="1"/>
  <c r="F915" i="1"/>
  <c r="G915" i="1" s="1"/>
  <c r="H915" i="1" s="1"/>
  <c r="I915" i="1" s="1"/>
  <c r="F916" i="1"/>
  <c r="G916" i="1" s="1"/>
  <c r="H916" i="1" s="1"/>
  <c r="I916" i="1" s="1"/>
  <c r="F917" i="1"/>
  <c r="G917" i="1" s="1"/>
  <c r="H917" i="1" s="1"/>
  <c r="I917" i="1" s="1"/>
  <c r="F918" i="1"/>
  <c r="G918" i="1" s="1"/>
  <c r="H918" i="1" s="1"/>
  <c r="I918" i="1" s="1"/>
  <c r="F919" i="1"/>
  <c r="G919" i="1" s="1"/>
  <c r="H919" i="1" s="1"/>
  <c r="I919" i="1" s="1"/>
  <c r="F920" i="1"/>
  <c r="G920" i="1" s="1"/>
  <c r="H920" i="1" s="1"/>
  <c r="I920" i="1" s="1"/>
  <c r="F921" i="1"/>
  <c r="G921" i="1" s="1"/>
  <c r="H921" i="1" s="1"/>
  <c r="I921" i="1" s="1"/>
  <c r="F922" i="1"/>
  <c r="G922" i="1" s="1"/>
  <c r="H922" i="1" s="1"/>
  <c r="I922" i="1" s="1"/>
  <c r="F923" i="1"/>
  <c r="G923" i="1" s="1"/>
  <c r="H923" i="1" s="1"/>
  <c r="I923" i="1" s="1"/>
  <c r="F924" i="1"/>
  <c r="G924" i="1" s="1"/>
  <c r="H924" i="1" s="1"/>
  <c r="I924" i="1" s="1"/>
  <c r="F925" i="1"/>
  <c r="G925" i="1" s="1"/>
  <c r="H925" i="1" s="1"/>
  <c r="I925" i="1" s="1"/>
  <c r="F926" i="1"/>
  <c r="G926" i="1" s="1"/>
  <c r="H926" i="1" s="1"/>
  <c r="I926" i="1" s="1"/>
  <c r="F927" i="1"/>
  <c r="G927" i="1" s="1"/>
  <c r="H927" i="1" s="1"/>
  <c r="I927" i="1" s="1"/>
  <c r="F928" i="1"/>
  <c r="G928" i="1" s="1"/>
  <c r="H928" i="1" s="1"/>
  <c r="I928" i="1" s="1"/>
  <c r="F929" i="1"/>
  <c r="G929" i="1" s="1"/>
  <c r="H929" i="1" s="1"/>
  <c r="I929" i="1" s="1"/>
  <c r="F930" i="1"/>
  <c r="G930" i="1" s="1"/>
  <c r="H930" i="1" s="1"/>
  <c r="I930" i="1" s="1"/>
  <c r="F931" i="1"/>
  <c r="G931" i="1" s="1"/>
  <c r="H931" i="1" s="1"/>
  <c r="I931" i="1" s="1"/>
  <c r="F932" i="1"/>
  <c r="G932" i="1" s="1"/>
  <c r="H932" i="1" s="1"/>
  <c r="I932" i="1" s="1"/>
  <c r="F933" i="1"/>
  <c r="G933" i="1" s="1"/>
  <c r="H933" i="1" s="1"/>
  <c r="I933" i="1" s="1"/>
  <c r="F934" i="1"/>
  <c r="G934" i="1" s="1"/>
  <c r="H934" i="1" s="1"/>
  <c r="I934" i="1" s="1"/>
  <c r="F935" i="1"/>
  <c r="G935" i="1" s="1"/>
  <c r="H935" i="1" s="1"/>
  <c r="I935" i="1" s="1"/>
  <c r="F936" i="1"/>
  <c r="G936" i="1" s="1"/>
  <c r="H936" i="1" s="1"/>
  <c r="I936" i="1" s="1"/>
  <c r="F937" i="1"/>
  <c r="G937" i="1" s="1"/>
  <c r="H937" i="1" s="1"/>
  <c r="I937" i="1" s="1"/>
  <c r="F938" i="1"/>
  <c r="G938" i="1" s="1"/>
  <c r="H938" i="1" s="1"/>
  <c r="I938" i="1" s="1"/>
  <c r="F939" i="1"/>
  <c r="G939" i="1" s="1"/>
  <c r="H939" i="1" s="1"/>
  <c r="I939" i="1" s="1"/>
  <c r="F940" i="1"/>
  <c r="G940" i="1" s="1"/>
  <c r="H940" i="1" s="1"/>
  <c r="I940" i="1" s="1"/>
  <c r="F941" i="1"/>
  <c r="G941" i="1" s="1"/>
  <c r="H941" i="1" s="1"/>
  <c r="I941" i="1" s="1"/>
  <c r="F942" i="1"/>
  <c r="G942" i="1" s="1"/>
  <c r="H942" i="1" s="1"/>
  <c r="I942" i="1" s="1"/>
  <c r="F943" i="1"/>
  <c r="G943" i="1" s="1"/>
  <c r="H943" i="1" s="1"/>
  <c r="I943" i="1" s="1"/>
  <c r="F944" i="1"/>
  <c r="G944" i="1" s="1"/>
  <c r="H944" i="1" s="1"/>
  <c r="I944" i="1" s="1"/>
  <c r="F945" i="1"/>
  <c r="G945" i="1" s="1"/>
  <c r="H945" i="1" s="1"/>
  <c r="I945" i="1" s="1"/>
  <c r="F946" i="1"/>
  <c r="G946" i="1" s="1"/>
  <c r="H946" i="1" s="1"/>
  <c r="I946" i="1" s="1"/>
  <c r="F947" i="1"/>
  <c r="G947" i="1" s="1"/>
  <c r="H947" i="1" s="1"/>
  <c r="I947" i="1" s="1"/>
  <c r="F948" i="1"/>
  <c r="G948" i="1" s="1"/>
  <c r="H948" i="1" s="1"/>
  <c r="I948" i="1" s="1"/>
  <c r="F949" i="1"/>
  <c r="G949" i="1" s="1"/>
  <c r="H949" i="1" s="1"/>
  <c r="I949" i="1" s="1"/>
  <c r="F950" i="1"/>
  <c r="G950" i="1" s="1"/>
  <c r="H950" i="1" s="1"/>
  <c r="I950" i="1" s="1"/>
  <c r="F951" i="1"/>
  <c r="G951" i="1" s="1"/>
  <c r="H951" i="1" s="1"/>
  <c r="I951" i="1" s="1"/>
  <c r="F952" i="1"/>
  <c r="G952" i="1" s="1"/>
  <c r="H952" i="1" s="1"/>
  <c r="I952" i="1" s="1"/>
  <c r="F953" i="1"/>
  <c r="G953" i="1" s="1"/>
  <c r="H953" i="1" s="1"/>
  <c r="I953" i="1" s="1"/>
  <c r="F954" i="1"/>
  <c r="G954" i="1" s="1"/>
  <c r="H954" i="1" s="1"/>
  <c r="I954" i="1" s="1"/>
  <c r="F955" i="1"/>
  <c r="G955" i="1" s="1"/>
  <c r="H955" i="1" s="1"/>
  <c r="I955" i="1" s="1"/>
  <c r="F956" i="1"/>
  <c r="G956" i="1" s="1"/>
  <c r="H956" i="1" s="1"/>
  <c r="I956" i="1" s="1"/>
  <c r="F957" i="1"/>
  <c r="G957" i="1" s="1"/>
  <c r="H957" i="1" s="1"/>
  <c r="I957" i="1" s="1"/>
  <c r="F958" i="1"/>
  <c r="G958" i="1" s="1"/>
  <c r="H958" i="1" s="1"/>
  <c r="I958" i="1" s="1"/>
  <c r="F959" i="1"/>
  <c r="G959" i="1" s="1"/>
  <c r="H959" i="1" s="1"/>
  <c r="I959" i="1" s="1"/>
  <c r="F960" i="1"/>
  <c r="G960" i="1" s="1"/>
  <c r="H960" i="1" s="1"/>
  <c r="I960" i="1" s="1"/>
  <c r="F961" i="1"/>
  <c r="G961" i="1" s="1"/>
  <c r="H961" i="1" s="1"/>
  <c r="I961" i="1" s="1"/>
  <c r="F962" i="1"/>
  <c r="G962" i="1" s="1"/>
  <c r="H962" i="1" s="1"/>
  <c r="I962" i="1" s="1"/>
  <c r="F963" i="1"/>
  <c r="G963" i="1" s="1"/>
  <c r="H963" i="1" s="1"/>
  <c r="I963" i="1" s="1"/>
  <c r="F964" i="1"/>
  <c r="G964" i="1" s="1"/>
  <c r="H964" i="1" s="1"/>
  <c r="I964" i="1" s="1"/>
  <c r="F965" i="1"/>
  <c r="G965" i="1" s="1"/>
  <c r="H965" i="1" s="1"/>
  <c r="I965" i="1" s="1"/>
  <c r="F966" i="1"/>
  <c r="G966" i="1" s="1"/>
  <c r="H966" i="1" s="1"/>
  <c r="I966" i="1" s="1"/>
  <c r="F967" i="1"/>
  <c r="G967" i="1" s="1"/>
  <c r="H967" i="1" s="1"/>
  <c r="I967" i="1" s="1"/>
  <c r="F968" i="1"/>
  <c r="G968" i="1" s="1"/>
  <c r="H968" i="1" s="1"/>
  <c r="I968" i="1" s="1"/>
  <c r="F969" i="1"/>
  <c r="G969" i="1" s="1"/>
  <c r="H969" i="1" s="1"/>
  <c r="I969" i="1" s="1"/>
  <c r="F970" i="1"/>
  <c r="G970" i="1" s="1"/>
  <c r="H970" i="1" s="1"/>
  <c r="I970" i="1" s="1"/>
  <c r="F971" i="1"/>
  <c r="G971" i="1" s="1"/>
  <c r="H971" i="1" s="1"/>
  <c r="I971" i="1" s="1"/>
  <c r="F972" i="1"/>
  <c r="G972" i="1" s="1"/>
  <c r="H972" i="1" s="1"/>
  <c r="I972" i="1" s="1"/>
  <c r="F973" i="1"/>
  <c r="G973" i="1" s="1"/>
  <c r="H973" i="1" s="1"/>
  <c r="I973" i="1" s="1"/>
  <c r="F974" i="1"/>
  <c r="G974" i="1" s="1"/>
  <c r="H974" i="1" s="1"/>
  <c r="I974" i="1" s="1"/>
  <c r="F975" i="1"/>
  <c r="G975" i="1" s="1"/>
  <c r="H975" i="1" s="1"/>
  <c r="I975" i="1" s="1"/>
  <c r="F976" i="1"/>
  <c r="G976" i="1" s="1"/>
  <c r="H976" i="1" s="1"/>
  <c r="I976" i="1" s="1"/>
  <c r="F977" i="1"/>
  <c r="G977" i="1" s="1"/>
  <c r="H977" i="1" s="1"/>
  <c r="I977" i="1" s="1"/>
  <c r="F978" i="1"/>
  <c r="G978" i="1" s="1"/>
  <c r="H978" i="1" s="1"/>
  <c r="I978" i="1" s="1"/>
  <c r="F979" i="1"/>
  <c r="G979" i="1" s="1"/>
  <c r="H979" i="1" s="1"/>
  <c r="I979" i="1" s="1"/>
  <c r="F980" i="1"/>
  <c r="G980" i="1" s="1"/>
  <c r="H980" i="1" s="1"/>
  <c r="I980" i="1" s="1"/>
  <c r="F981" i="1"/>
  <c r="G981" i="1" s="1"/>
  <c r="H981" i="1" s="1"/>
  <c r="I981" i="1" s="1"/>
  <c r="F982" i="1"/>
  <c r="G982" i="1" s="1"/>
  <c r="H982" i="1" s="1"/>
  <c r="I982" i="1" s="1"/>
  <c r="F983" i="1"/>
  <c r="G983" i="1" s="1"/>
  <c r="H983" i="1" s="1"/>
  <c r="I983" i="1" s="1"/>
  <c r="F984" i="1"/>
  <c r="G984" i="1" s="1"/>
  <c r="H984" i="1" s="1"/>
  <c r="I984" i="1" s="1"/>
  <c r="F985" i="1"/>
  <c r="G985" i="1" s="1"/>
  <c r="H985" i="1" s="1"/>
  <c r="I985" i="1" s="1"/>
  <c r="F986" i="1"/>
  <c r="G986" i="1" s="1"/>
  <c r="H986" i="1" s="1"/>
  <c r="I986" i="1" s="1"/>
  <c r="F987" i="1"/>
  <c r="G987" i="1" s="1"/>
  <c r="H987" i="1" s="1"/>
  <c r="I987" i="1" s="1"/>
  <c r="F988" i="1"/>
  <c r="G988" i="1" s="1"/>
  <c r="H988" i="1" s="1"/>
  <c r="I988" i="1" s="1"/>
  <c r="F989" i="1"/>
  <c r="G989" i="1" s="1"/>
  <c r="H989" i="1" s="1"/>
  <c r="I989" i="1" s="1"/>
  <c r="F990" i="1"/>
  <c r="G990" i="1" s="1"/>
  <c r="H990" i="1" s="1"/>
  <c r="I990" i="1" s="1"/>
  <c r="F991" i="1"/>
  <c r="G991" i="1" s="1"/>
  <c r="H991" i="1" s="1"/>
  <c r="I991" i="1" s="1"/>
  <c r="F992" i="1"/>
  <c r="G992" i="1" s="1"/>
  <c r="H992" i="1" s="1"/>
  <c r="I992" i="1" s="1"/>
  <c r="F993" i="1"/>
  <c r="G993" i="1" s="1"/>
  <c r="H993" i="1" s="1"/>
  <c r="I993" i="1" s="1"/>
  <c r="F994" i="1"/>
  <c r="G994" i="1" s="1"/>
  <c r="H994" i="1" s="1"/>
  <c r="I994" i="1" s="1"/>
  <c r="F995" i="1"/>
  <c r="G995" i="1" s="1"/>
  <c r="H995" i="1" s="1"/>
  <c r="I995" i="1" s="1"/>
  <c r="F996" i="1"/>
  <c r="G996" i="1" s="1"/>
  <c r="H996" i="1" s="1"/>
  <c r="I996" i="1" s="1"/>
  <c r="F997" i="1"/>
  <c r="G997" i="1" s="1"/>
  <c r="H997" i="1" s="1"/>
  <c r="I997" i="1" s="1"/>
  <c r="F998" i="1"/>
  <c r="G998" i="1" s="1"/>
  <c r="H998" i="1" s="1"/>
  <c r="I998" i="1" s="1"/>
  <c r="F999" i="1"/>
  <c r="G999" i="1" s="1"/>
  <c r="H999" i="1" s="1"/>
  <c r="I999" i="1" s="1"/>
  <c r="F1000" i="1"/>
  <c r="G1000" i="1" s="1"/>
  <c r="H1000" i="1" s="1"/>
  <c r="I1000" i="1" s="1"/>
  <c r="F1001" i="1"/>
  <c r="G1001" i="1" s="1"/>
  <c r="H1001" i="1" s="1"/>
  <c r="I1001" i="1" s="1"/>
  <c r="F1002" i="1"/>
  <c r="G1002" i="1" s="1"/>
  <c r="H1002" i="1" s="1"/>
  <c r="I1002" i="1" s="1"/>
  <c r="F1003" i="1"/>
  <c r="G1003" i="1" s="1"/>
  <c r="H1003" i="1" s="1"/>
  <c r="I1003" i="1" s="1"/>
  <c r="F1004" i="1"/>
  <c r="G1004" i="1" s="1"/>
  <c r="H1004" i="1" s="1"/>
  <c r="I1004" i="1" s="1"/>
  <c r="F1005" i="1"/>
  <c r="G1005" i="1" s="1"/>
  <c r="H1005" i="1" s="1"/>
  <c r="I1005" i="1" s="1"/>
  <c r="F1006" i="1"/>
  <c r="G1006" i="1" s="1"/>
  <c r="H1006" i="1" s="1"/>
  <c r="I1006" i="1" s="1"/>
  <c r="F4" i="1"/>
  <c r="F7" i="1"/>
  <c r="G7" i="1" s="1"/>
  <c r="H7" i="1" s="1"/>
  <c r="I7" i="1" s="1"/>
  <c r="C16" i="1"/>
  <c r="C12" i="1"/>
  <c r="J299" i="4" l="1"/>
  <c r="L299" i="4" s="1"/>
  <c r="M299" i="4" s="1"/>
  <c r="J275" i="4"/>
  <c r="L275" i="4" s="1"/>
  <c r="M275" i="4" s="1"/>
  <c r="J259" i="4"/>
  <c r="L259" i="4" s="1"/>
  <c r="M259" i="4" s="1"/>
  <c r="J171" i="4"/>
  <c r="L171" i="4" s="1"/>
  <c r="M171" i="4" s="1"/>
  <c r="J131" i="4"/>
  <c r="L131" i="4" s="1"/>
  <c r="J83" i="4"/>
  <c r="L83" i="4" s="1"/>
  <c r="J67" i="4"/>
  <c r="L67" i="4" s="1"/>
  <c r="J59" i="4"/>
  <c r="L59" i="4" s="1"/>
  <c r="M59" i="4" s="1"/>
  <c r="J43" i="4"/>
  <c r="L43" i="4" s="1"/>
  <c r="M43" i="4" s="1"/>
  <c r="J659" i="4"/>
  <c r="L659" i="4" s="1"/>
  <c r="M659" i="4" s="1"/>
  <c r="J251" i="4"/>
  <c r="L251" i="4" s="1"/>
  <c r="M251" i="4" s="1"/>
  <c r="J107" i="4"/>
  <c r="L107" i="4" s="1"/>
  <c r="M107" i="4" s="1"/>
  <c r="J19" i="4"/>
  <c r="L19" i="4" s="1"/>
  <c r="J716" i="4"/>
  <c r="L716" i="4" s="1"/>
  <c r="J972" i="4"/>
  <c r="L972" i="4" s="1"/>
  <c r="J955" i="4"/>
  <c r="L955" i="4" s="1"/>
  <c r="M955" i="4" s="1"/>
  <c r="J237" i="4"/>
  <c r="L237" i="4" s="1"/>
  <c r="M237" i="4" s="1"/>
  <c r="J780" i="4"/>
  <c r="L780" i="4" s="1"/>
  <c r="M780" i="4" s="1"/>
  <c r="J196" i="4"/>
  <c r="L196" i="4" s="1"/>
  <c r="M196" i="4" s="1"/>
  <c r="J660" i="4"/>
  <c r="L660" i="4" s="1"/>
  <c r="M660" i="4" s="1"/>
  <c r="J492" i="4"/>
  <c r="L492" i="4" s="1"/>
  <c r="J451" i="4"/>
  <c r="L451" i="4" s="1"/>
  <c r="J443" i="4"/>
  <c r="L443" i="4" s="1"/>
  <c r="M443" i="4" s="1"/>
  <c r="J763" i="4"/>
  <c r="L763" i="4" s="1"/>
  <c r="M763" i="4" s="1"/>
  <c r="J890" i="4"/>
  <c r="L890" i="4" s="1"/>
  <c r="M890" i="4" s="1"/>
  <c r="J530" i="4"/>
  <c r="L530" i="4" s="1"/>
  <c r="M530" i="4" s="1"/>
  <c r="J134" i="4"/>
  <c r="L134" i="4" s="1"/>
  <c r="M134" i="4" s="1"/>
  <c r="J106" i="4"/>
  <c r="L106" i="4" s="1"/>
  <c r="M106" i="4" s="1"/>
  <c r="J245" i="4"/>
  <c r="L245" i="4" s="1"/>
  <c r="J946" i="4"/>
  <c r="L946" i="4" s="1"/>
  <c r="J882" i="4"/>
  <c r="L882" i="4" s="1"/>
  <c r="J818" i="4"/>
  <c r="L818" i="4" s="1"/>
  <c r="M818" i="4" s="1"/>
  <c r="J754" i="4"/>
  <c r="L754" i="4" s="1"/>
  <c r="M754" i="4" s="1"/>
  <c r="J690" i="4"/>
  <c r="L690" i="4" s="1"/>
  <c r="M690" i="4" s="1"/>
  <c r="J670" i="4"/>
  <c r="L670" i="4" s="1"/>
  <c r="M670" i="4" s="1"/>
  <c r="J618" i="4"/>
  <c r="L618" i="4" s="1"/>
  <c r="M618" i="4" s="1"/>
  <c r="J614" i="4"/>
  <c r="L614" i="4" s="1"/>
  <c r="J582" i="4"/>
  <c r="L582" i="4" s="1"/>
  <c r="J518" i="4"/>
  <c r="L518" i="4" s="1"/>
  <c r="J502" i="4"/>
  <c r="L502" i="4" s="1"/>
  <c r="M502" i="4" s="1"/>
  <c r="J418" i="4"/>
  <c r="L418" i="4" s="1"/>
  <c r="J414" i="4"/>
  <c r="L414" i="4" s="1"/>
  <c r="M414" i="4" s="1"/>
  <c r="J390" i="4"/>
  <c r="L390" i="4" s="1"/>
  <c r="M390" i="4" s="1"/>
  <c r="J326" i="4"/>
  <c r="L326" i="4" s="1"/>
  <c r="M326" i="4" s="1"/>
  <c r="J246" i="4"/>
  <c r="L246" i="4" s="1"/>
  <c r="M246" i="4" s="1"/>
  <c r="J206" i="4"/>
  <c r="L206" i="4" s="1"/>
  <c r="J146" i="4"/>
  <c r="L146" i="4" s="1"/>
  <c r="J82" i="4"/>
  <c r="L82" i="4" s="1"/>
  <c r="M82" i="4" s="1"/>
  <c r="J54" i="4"/>
  <c r="L54" i="4" s="1"/>
  <c r="M54" i="4" s="1"/>
  <c r="J38" i="4"/>
  <c r="L38" i="4" s="1"/>
  <c r="M38" i="4" s="1"/>
  <c r="J986" i="4"/>
  <c r="L986" i="4" s="1"/>
  <c r="M986" i="4" s="1"/>
  <c r="J891" i="4"/>
  <c r="L891" i="4" s="1"/>
  <c r="M891" i="4" s="1"/>
  <c r="J786" i="4"/>
  <c r="L786" i="4" s="1"/>
  <c r="J698" i="4"/>
  <c r="L698" i="4" s="1"/>
  <c r="J566" i="4"/>
  <c r="L566" i="4" s="1"/>
  <c r="J477" i="4"/>
  <c r="L477" i="4" s="1"/>
  <c r="M477" i="4" s="1"/>
  <c r="J378" i="4"/>
  <c r="L378" i="4" s="1"/>
  <c r="M378" i="4" s="1"/>
  <c r="J221" i="4"/>
  <c r="L221" i="4" s="1"/>
  <c r="M221" i="4" s="1"/>
  <c r="J142" i="4"/>
  <c r="L142" i="4" s="1"/>
  <c r="M142" i="4" s="1"/>
  <c r="J978" i="4"/>
  <c r="L978" i="4" s="1"/>
  <c r="M978" i="4" s="1"/>
  <c r="J258" i="4"/>
  <c r="L258" i="4" s="1"/>
  <c r="J338" i="4"/>
  <c r="L338" i="4" s="1"/>
  <c r="J850" i="4"/>
  <c r="L850" i="4" s="1"/>
  <c r="J517" i="4"/>
  <c r="L517" i="4" s="1"/>
  <c r="M517" i="4" s="1"/>
  <c r="J954" i="4"/>
  <c r="L954" i="4" s="1"/>
  <c r="M954" i="4" s="1"/>
  <c r="J844" i="4"/>
  <c r="L844" i="4" s="1"/>
  <c r="M844" i="4" s="1"/>
  <c r="J730" i="4"/>
  <c r="L730" i="4" s="1"/>
  <c r="M730" i="4" s="1"/>
  <c r="J634" i="4"/>
  <c r="L634" i="4" s="1"/>
  <c r="M634" i="4" s="1"/>
  <c r="J501" i="4"/>
  <c r="L501" i="4" s="1"/>
  <c r="J426" i="4"/>
  <c r="L426" i="4" s="1"/>
  <c r="J294" i="4"/>
  <c r="L294" i="4" s="1"/>
  <c r="J234" i="4"/>
  <c r="L234" i="4" s="1"/>
  <c r="M234" i="4" s="1"/>
  <c r="J182" i="4"/>
  <c r="L182" i="4" s="1"/>
  <c r="M182" i="4" s="1"/>
  <c r="J98" i="4"/>
  <c r="L98" i="4" s="1"/>
  <c r="N98" i="4" s="1"/>
  <c r="J210" i="4"/>
  <c r="L210" i="4" s="1"/>
  <c r="M210" i="4" s="1"/>
  <c r="J450" i="4"/>
  <c r="L450" i="4" s="1"/>
  <c r="J198" i="4"/>
  <c r="L198" i="4" s="1"/>
  <c r="J102" i="4"/>
  <c r="L102" i="4" s="1"/>
  <c r="J922" i="4"/>
  <c r="L922" i="4" s="1"/>
  <c r="M922" i="4" s="1"/>
  <c r="J827" i="4"/>
  <c r="L827" i="4" s="1"/>
  <c r="M827" i="4" s="1"/>
  <c r="J722" i="4"/>
  <c r="L722" i="4" s="1"/>
  <c r="M722" i="4" s="1"/>
  <c r="J630" i="4"/>
  <c r="L630" i="4" s="1"/>
  <c r="M630" i="4" s="1"/>
  <c r="J493" i="4"/>
  <c r="L493" i="4" s="1"/>
  <c r="M493" i="4" s="1"/>
  <c r="J422" i="4"/>
  <c r="L422" i="4" s="1"/>
  <c r="M422" i="4" s="1"/>
  <c r="J290" i="4"/>
  <c r="L290" i="4" s="1"/>
  <c r="J230" i="4"/>
  <c r="L230" i="4" s="1"/>
  <c r="J172" i="4"/>
  <c r="L172" i="4" s="1"/>
  <c r="J94" i="4"/>
  <c r="L94" i="4" s="1"/>
  <c r="M94" i="4" s="1"/>
  <c r="J350" i="4"/>
  <c r="L350" i="4" s="1"/>
  <c r="M350" i="4" s="1"/>
  <c r="J858" i="4"/>
  <c r="L858" i="4" s="1"/>
  <c r="M858" i="4" s="1"/>
  <c r="J526" i="4"/>
  <c r="L526" i="4" s="1"/>
  <c r="M526" i="4" s="1"/>
  <c r="J250" i="4"/>
  <c r="L250" i="4" s="1"/>
  <c r="J658" i="4"/>
  <c r="L658" i="4" s="1"/>
  <c r="J334" i="4"/>
  <c r="L334" i="4" s="1"/>
  <c r="J914" i="4"/>
  <c r="L914" i="4" s="1"/>
  <c r="M914" i="4" s="1"/>
  <c r="J826" i="4"/>
  <c r="L826" i="4" s="1"/>
  <c r="M826" i="4" s="1"/>
  <c r="J578" i="4"/>
  <c r="L578" i="4" s="1"/>
  <c r="M578" i="4" s="1"/>
  <c r="J386" i="4"/>
  <c r="L386" i="4" s="1"/>
  <c r="M386" i="4" s="1"/>
  <c r="J286" i="4"/>
  <c r="L286" i="4" s="1"/>
  <c r="M286" i="4" s="1"/>
  <c r="J226" i="4"/>
  <c r="L226" i="4" s="1"/>
  <c r="M226" i="4" s="1"/>
  <c r="J58" i="4"/>
  <c r="L58" i="4" s="1"/>
  <c r="J762" i="4"/>
  <c r="L762" i="4" s="1"/>
  <c r="J908" i="4"/>
  <c r="L908" i="4" s="1"/>
  <c r="J794" i="4"/>
  <c r="L794" i="4" s="1"/>
  <c r="M794" i="4" s="1"/>
  <c r="J699" i="4"/>
  <c r="L699" i="4" s="1"/>
  <c r="M699" i="4" s="1"/>
  <c r="J570" i="4"/>
  <c r="L570" i="4" s="1"/>
  <c r="M570" i="4" s="1"/>
  <c r="J478" i="4"/>
  <c r="L478" i="4" s="1"/>
  <c r="M478" i="4" s="1"/>
  <c r="J379" i="4"/>
  <c r="L379" i="4" s="1"/>
  <c r="M379" i="4" s="1"/>
  <c r="J274" i="4"/>
  <c r="L274" i="4" s="1"/>
  <c r="J222" i="4"/>
  <c r="L222" i="4" s="1"/>
  <c r="J170" i="4"/>
  <c r="L170" i="4" s="1"/>
  <c r="J42" i="4"/>
  <c r="L42" i="4" s="1"/>
  <c r="M42" i="4" s="1"/>
  <c r="I700" i="4"/>
  <c r="K700" i="4" s="1"/>
  <c r="J700" i="4"/>
  <c r="L700" i="4" s="1"/>
  <c r="I428" i="4"/>
  <c r="K428" i="4" s="1"/>
  <c r="J428" i="4"/>
  <c r="L428" i="4" s="1"/>
  <c r="I236" i="4"/>
  <c r="K236" i="4" s="1"/>
  <c r="J236" i="4"/>
  <c r="L236" i="4" s="1"/>
  <c r="I1003" i="4"/>
  <c r="K1003" i="4" s="1"/>
  <c r="J1003" i="4"/>
  <c r="L1003" i="4" s="1"/>
  <c r="I971" i="4"/>
  <c r="K971" i="4" s="1"/>
  <c r="J971" i="4"/>
  <c r="L971" i="4" s="1"/>
  <c r="I939" i="4"/>
  <c r="K939" i="4" s="1"/>
  <c r="J939" i="4"/>
  <c r="L939" i="4" s="1"/>
  <c r="I907" i="4"/>
  <c r="K907" i="4" s="1"/>
  <c r="J907" i="4"/>
  <c r="L907" i="4" s="1"/>
  <c r="I875" i="4"/>
  <c r="K875" i="4" s="1"/>
  <c r="J875" i="4"/>
  <c r="L875" i="4" s="1"/>
  <c r="I843" i="4"/>
  <c r="K843" i="4" s="1"/>
  <c r="J843" i="4"/>
  <c r="L843" i="4" s="1"/>
  <c r="I811" i="4"/>
  <c r="K811" i="4" s="1"/>
  <c r="J811" i="4"/>
  <c r="L811" i="4" s="1"/>
  <c r="I779" i="4"/>
  <c r="K779" i="4" s="1"/>
  <c r="J779" i="4"/>
  <c r="L779" i="4" s="1"/>
  <c r="I747" i="4"/>
  <c r="K747" i="4" s="1"/>
  <c r="J747" i="4"/>
  <c r="L747" i="4" s="1"/>
  <c r="I715" i="4"/>
  <c r="K715" i="4" s="1"/>
  <c r="J715" i="4"/>
  <c r="L715" i="4" s="1"/>
  <c r="I683" i="4"/>
  <c r="K683" i="4" s="1"/>
  <c r="J683" i="4"/>
  <c r="L683" i="4" s="1"/>
  <c r="I635" i="4"/>
  <c r="K635" i="4" s="1"/>
  <c r="J635" i="4"/>
  <c r="L635" i="4" s="1"/>
  <c r="I515" i="4"/>
  <c r="K515" i="4" s="1"/>
  <c r="J515" i="4"/>
  <c r="L515" i="4" s="1"/>
  <c r="I491" i="4"/>
  <c r="K491" i="4" s="1"/>
  <c r="J491" i="4"/>
  <c r="L491" i="4" s="1"/>
  <c r="I467" i="4"/>
  <c r="K467" i="4" s="1"/>
  <c r="J467" i="4"/>
  <c r="L467" i="4" s="1"/>
  <c r="I427" i="4"/>
  <c r="K427" i="4" s="1"/>
  <c r="J427" i="4"/>
  <c r="L427" i="4" s="1"/>
  <c r="I403" i="4"/>
  <c r="K403" i="4" s="1"/>
  <c r="J403" i="4"/>
  <c r="L403" i="4" s="1"/>
  <c r="I235" i="4"/>
  <c r="K235" i="4" s="1"/>
  <c r="J235" i="4"/>
  <c r="L235" i="4" s="1"/>
  <c r="I211" i="4"/>
  <c r="K211" i="4" s="1"/>
  <c r="J211" i="4"/>
  <c r="L211" i="4" s="1"/>
  <c r="I195" i="4"/>
  <c r="K195" i="4" s="1"/>
  <c r="J195" i="4"/>
  <c r="L195" i="4" s="1"/>
  <c r="I187" i="4"/>
  <c r="K187" i="4" s="1"/>
  <c r="J187" i="4"/>
  <c r="L187" i="4" s="1"/>
  <c r="I123" i="4"/>
  <c r="K123" i="4" s="1"/>
  <c r="J123" i="4"/>
  <c r="L123" i="4" s="1"/>
  <c r="J476" i="4"/>
  <c r="L476" i="4" s="1"/>
  <c r="M476" i="4" s="1"/>
  <c r="J147" i="4"/>
  <c r="L147" i="4" s="1"/>
  <c r="M147" i="4" s="1"/>
  <c r="I924" i="4"/>
  <c r="K924" i="4" s="1"/>
  <c r="J924" i="4"/>
  <c r="L924" i="4" s="1"/>
  <c r="I796" i="4"/>
  <c r="K796" i="4" s="1"/>
  <c r="J796" i="4"/>
  <c r="L796" i="4" s="1"/>
  <c r="I764" i="4"/>
  <c r="K764" i="4" s="1"/>
  <c r="J764" i="4"/>
  <c r="L764" i="4" s="1"/>
  <c r="I732" i="4"/>
  <c r="K732" i="4" s="1"/>
  <c r="J732" i="4"/>
  <c r="L732" i="4" s="1"/>
  <c r="J1004" i="4"/>
  <c r="L1004" i="4" s="1"/>
  <c r="J940" i="4"/>
  <c r="L940" i="4" s="1"/>
  <c r="J876" i="4"/>
  <c r="L876" i="4" s="1"/>
  <c r="J812" i="4"/>
  <c r="L812" i="4" s="1"/>
  <c r="M812" i="4" s="1"/>
  <c r="J748" i="4"/>
  <c r="L748" i="4" s="1"/>
  <c r="M748" i="4" s="1"/>
  <c r="J684" i="4"/>
  <c r="L684" i="4" s="1"/>
  <c r="M684" i="4" s="1"/>
  <c r="J468" i="4"/>
  <c r="L468" i="4" s="1"/>
  <c r="M468" i="4" s="1"/>
  <c r="I988" i="4"/>
  <c r="K988" i="4" s="1"/>
  <c r="J988" i="4"/>
  <c r="L988" i="4" s="1"/>
  <c r="I956" i="4"/>
  <c r="K956" i="4" s="1"/>
  <c r="J956" i="4"/>
  <c r="L956" i="4" s="1"/>
  <c r="I892" i="4"/>
  <c r="K892" i="4" s="1"/>
  <c r="J892" i="4"/>
  <c r="L892" i="4" s="1"/>
  <c r="I860" i="4"/>
  <c r="K860" i="4" s="1"/>
  <c r="J860" i="4"/>
  <c r="L860" i="4" s="1"/>
  <c r="I828" i="4"/>
  <c r="K828" i="4" s="1"/>
  <c r="J828" i="4"/>
  <c r="L828" i="4" s="1"/>
  <c r="I516" i="4"/>
  <c r="K516" i="4" s="1"/>
  <c r="J516" i="4"/>
  <c r="L516" i="4" s="1"/>
  <c r="I404" i="4"/>
  <c r="K404" i="4" s="1"/>
  <c r="J404" i="4"/>
  <c r="L404" i="4" s="1"/>
  <c r="I260" i="4"/>
  <c r="K260" i="4" s="1"/>
  <c r="J260" i="4"/>
  <c r="L260" i="4" s="1"/>
  <c r="I220" i="4"/>
  <c r="K220" i="4" s="1"/>
  <c r="J220" i="4"/>
  <c r="L220" i="4" s="1"/>
  <c r="I212" i="4"/>
  <c r="K212" i="4" s="1"/>
  <c r="J212" i="4"/>
  <c r="L212" i="4" s="1"/>
  <c r="I148" i="4"/>
  <c r="K148" i="4" s="1"/>
  <c r="J148" i="4"/>
  <c r="L148" i="4" s="1"/>
  <c r="J987" i="4"/>
  <c r="L987" i="4" s="1"/>
  <c r="M987" i="4" s="1"/>
  <c r="J923" i="4"/>
  <c r="L923" i="4" s="1"/>
  <c r="M923" i="4" s="1"/>
  <c r="J859" i="4"/>
  <c r="L859" i="4" s="1"/>
  <c r="M859" i="4" s="1"/>
  <c r="J795" i="4"/>
  <c r="L795" i="4" s="1"/>
  <c r="J731" i="4"/>
  <c r="L731" i="4" s="1"/>
  <c r="J452" i="4"/>
  <c r="L452" i="4" s="1"/>
  <c r="J654" i="4"/>
  <c r="L654" i="4" s="1"/>
  <c r="M654" i="4" s="1"/>
  <c r="J610" i="4"/>
  <c r="L610" i="4" s="1"/>
  <c r="J554" i="4"/>
  <c r="L554" i="4" s="1"/>
  <c r="M554" i="4" s="1"/>
  <c r="J442" i="4"/>
  <c r="L442" i="4" s="1"/>
  <c r="M442" i="4" s="1"/>
  <c r="J374" i="4"/>
  <c r="L374" i="4" s="1"/>
  <c r="M374" i="4" s="1"/>
  <c r="J322" i="4"/>
  <c r="L322" i="4" s="1"/>
  <c r="J270" i="4"/>
  <c r="L270" i="4" s="1"/>
  <c r="J166" i="4"/>
  <c r="L166" i="4" s="1"/>
  <c r="J130" i="4"/>
  <c r="L130" i="4" s="1"/>
  <c r="J34" i="4"/>
  <c r="L34" i="4" s="1"/>
  <c r="M34" i="4" s="1"/>
  <c r="J1002" i="4"/>
  <c r="L1002" i="4" s="1"/>
  <c r="M1002" i="4" s="1"/>
  <c r="J970" i="4"/>
  <c r="L970" i="4" s="1"/>
  <c r="M970" i="4" s="1"/>
  <c r="J938" i="4"/>
  <c r="L938" i="4" s="1"/>
  <c r="M938" i="4" s="1"/>
  <c r="J906" i="4"/>
  <c r="L906" i="4" s="1"/>
  <c r="J874" i="4"/>
  <c r="L874" i="4" s="1"/>
  <c r="J842" i="4"/>
  <c r="L842" i="4" s="1"/>
  <c r="J810" i="4"/>
  <c r="L810" i="4" s="1"/>
  <c r="M810" i="4" s="1"/>
  <c r="J778" i="4"/>
  <c r="L778" i="4" s="1"/>
  <c r="M778" i="4" s="1"/>
  <c r="J746" i="4"/>
  <c r="L746" i="4" s="1"/>
  <c r="M746" i="4" s="1"/>
  <c r="J714" i="4"/>
  <c r="L714" i="4" s="1"/>
  <c r="M714" i="4" s="1"/>
  <c r="J682" i="4"/>
  <c r="L682" i="4" s="1"/>
  <c r="M682" i="4" s="1"/>
  <c r="J646" i="4"/>
  <c r="L646" i="4" s="1"/>
  <c r="J606" i="4"/>
  <c r="L606" i="4" s="1"/>
  <c r="J550" i="4"/>
  <c r="L550" i="4" s="1"/>
  <c r="J490" i="4"/>
  <c r="L490" i="4" s="1"/>
  <c r="M490" i="4" s="1"/>
  <c r="J466" i="4"/>
  <c r="L466" i="4" s="1"/>
  <c r="M466" i="4" s="1"/>
  <c r="J438" i="4"/>
  <c r="L438" i="4" s="1"/>
  <c r="M438" i="4" s="1"/>
  <c r="J362" i="4"/>
  <c r="L362" i="4" s="1"/>
  <c r="M362" i="4" s="1"/>
  <c r="J314" i="4"/>
  <c r="L314" i="4" s="1"/>
  <c r="M314" i="4" s="1"/>
  <c r="J262" i="4"/>
  <c r="L262" i="4" s="1"/>
  <c r="J194" i="4"/>
  <c r="L194" i="4" s="1"/>
  <c r="J162" i="4"/>
  <c r="L162" i="4" s="1"/>
  <c r="J78" i="4"/>
  <c r="L78" i="4" s="1"/>
  <c r="M78" i="4" s="1"/>
  <c r="J30" i="4"/>
  <c r="L30" i="4" s="1"/>
  <c r="M30" i="4" s="1"/>
  <c r="J994" i="4"/>
  <c r="L994" i="4" s="1"/>
  <c r="M994" i="4" s="1"/>
  <c r="J962" i="4"/>
  <c r="L962" i="4" s="1"/>
  <c r="M962" i="4" s="1"/>
  <c r="J930" i="4"/>
  <c r="L930" i="4" s="1"/>
  <c r="M930" i="4" s="1"/>
  <c r="J898" i="4"/>
  <c r="L898" i="4" s="1"/>
  <c r="J866" i="4"/>
  <c r="L866" i="4" s="1"/>
  <c r="M866" i="4" s="1"/>
  <c r="J834" i="4"/>
  <c r="L834" i="4" s="1"/>
  <c r="J802" i="4"/>
  <c r="L802" i="4" s="1"/>
  <c r="M802" i="4" s="1"/>
  <c r="J770" i="4"/>
  <c r="L770" i="4" s="1"/>
  <c r="M770" i="4" s="1"/>
  <c r="J738" i="4"/>
  <c r="L738" i="4" s="1"/>
  <c r="J706" i="4"/>
  <c r="L706" i="4" s="1"/>
  <c r="M706" i="4" s="1"/>
  <c r="J678" i="4"/>
  <c r="L678" i="4" s="1"/>
  <c r="M678" i="4" s="1"/>
  <c r="J642" i="4"/>
  <c r="L642" i="4" s="1"/>
  <c r="J594" i="4"/>
  <c r="L594" i="4" s="1"/>
  <c r="J546" i="4"/>
  <c r="L546" i="4" s="1"/>
  <c r="J514" i="4"/>
  <c r="L514" i="4" s="1"/>
  <c r="M514" i="4" s="1"/>
  <c r="J486" i="4"/>
  <c r="L486" i="4" s="1"/>
  <c r="M486" i="4" s="1"/>
  <c r="J462" i="4"/>
  <c r="L462" i="4" s="1"/>
  <c r="M462" i="4" s="1"/>
  <c r="J402" i="4"/>
  <c r="L402" i="4" s="1"/>
  <c r="M402" i="4" s="1"/>
  <c r="J358" i="4"/>
  <c r="L358" i="4" s="1"/>
  <c r="M358" i="4" s="1"/>
  <c r="J310" i="4"/>
  <c r="L310" i="4" s="1"/>
  <c r="J261" i="4"/>
  <c r="L261" i="4" s="1"/>
  <c r="J158" i="4"/>
  <c r="L158" i="4" s="1"/>
  <c r="J122" i="4"/>
  <c r="L122" i="4" s="1"/>
  <c r="M122" i="4" s="1"/>
  <c r="J70" i="4"/>
  <c r="L70" i="4" s="1"/>
  <c r="M70" i="4" s="1"/>
  <c r="J18" i="4"/>
  <c r="L18" i="4" s="1"/>
  <c r="M18" i="4" s="1"/>
  <c r="J540" i="4"/>
  <c r="L540" i="4" s="1"/>
  <c r="M540" i="4" s="1"/>
  <c r="J284" i="4"/>
  <c r="L284" i="4" s="1"/>
  <c r="M284" i="4" s="1"/>
  <c r="J28" i="4"/>
  <c r="L28" i="4" s="1"/>
  <c r="J674" i="4"/>
  <c r="L674" i="4" s="1"/>
  <c r="J590" i="4"/>
  <c r="L590" i="4" s="1"/>
  <c r="J542" i="4"/>
  <c r="L542" i="4" s="1"/>
  <c r="M542" i="4" s="1"/>
  <c r="J506" i="4"/>
  <c r="L506" i="4" s="1"/>
  <c r="M506" i="4" s="1"/>
  <c r="J482" i="4"/>
  <c r="L482" i="4" s="1"/>
  <c r="M482" i="4" s="1"/>
  <c r="J454" i="4"/>
  <c r="L454" i="4" s="1"/>
  <c r="M454" i="4" s="1"/>
  <c r="J398" i="4"/>
  <c r="L398" i="4" s="1"/>
  <c r="M398" i="4" s="1"/>
  <c r="J354" i="4"/>
  <c r="L354" i="4" s="1"/>
  <c r="J298" i="4"/>
  <c r="L298" i="4" s="1"/>
  <c r="J186" i="4"/>
  <c r="L186" i="4" s="1"/>
  <c r="J118" i="4"/>
  <c r="L118" i="4" s="1"/>
  <c r="M118" i="4" s="1"/>
  <c r="J66" i="4"/>
  <c r="L66" i="4" s="1"/>
  <c r="M66" i="4" s="1"/>
  <c r="J14" i="4"/>
  <c r="L14" i="4" s="1"/>
  <c r="N14" i="4" s="1"/>
  <c r="I993" i="4"/>
  <c r="K993" i="4" s="1"/>
  <c r="J993" i="4"/>
  <c r="L993" i="4" s="1"/>
  <c r="I929" i="4"/>
  <c r="K929" i="4" s="1"/>
  <c r="J929" i="4"/>
  <c r="L929" i="4" s="1"/>
  <c r="I849" i="4"/>
  <c r="K849" i="4" s="1"/>
  <c r="J849" i="4"/>
  <c r="L849" i="4" s="1"/>
  <c r="I833" i="4"/>
  <c r="K833" i="4" s="1"/>
  <c r="J833" i="4"/>
  <c r="L833" i="4" s="1"/>
  <c r="I721" i="4"/>
  <c r="K721" i="4" s="1"/>
  <c r="J721" i="4"/>
  <c r="L721" i="4" s="1"/>
  <c r="I705" i="4"/>
  <c r="K705" i="4" s="1"/>
  <c r="J705" i="4"/>
  <c r="L705" i="4" s="1"/>
  <c r="I689" i="4"/>
  <c r="K689" i="4" s="1"/>
  <c r="J689" i="4"/>
  <c r="L689" i="4" s="1"/>
  <c r="I673" i="4"/>
  <c r="K673" i="4" s="1"/>
  <c r="J673" i="4"/>
  <c r="L673" i="4" s="1"/>
  <c r="I653" i="4"/>
  <c r="K653" i="4" s="1"/>
  <c r="J653" i="4"/>
  <c r="L653" i="4" s="1"/>
  <c r="I585" i="4"/>
  <c r="K585" i="4" s="1"/>
  <c r="J585" i="4"/>
  <c r="L585" i="4" s="1"/>
  <c r="I569" i="4"/>
  <c r="K569" i="4" s="1"/>
  <c r="J569" i="4"/>
  <c r="L569" i="4" s="1"/>
  <c r="I549" i="4"/>
  <c r="K549" i="4" s="1"/>
  <c r="J549" i="4"/>
  <c r="L549" i="4" s="1"/>
  <c r="I529" i="4"/>
  <c r="K529" i="4" s="1"/>
  <c r="J529" i="4"/>
  <c r="L529" i="4" s="1"/>
  <c r="I513" i="4"/>
  <c r="K513" i="4" s="1"/>
  <c r="J513" i="4"/>
  <c r="L513" i="4" s="1"/>
  <c r="I497" i="4"/>
  <c r="K497" i="4" s="1"/>
  <c r="J497" i="4"/>
  <c r="L497" i="4" s="1"/>
  <c r="I481" i="4"/>
  <c r="K481" i="4" s="1"/>
  <c r="J481" i="4"/>
  <c r="L481" i="4" s="1"/>
  <c r="I421" i="4"/>
  <c r="K421" i="4" s="1"/>
  <c r="J421" i="4"/>
  <c r="L421" i="4" s="1"/>
  <c r="I401" i="4"/>
  <c r="K401" i="4" s="1"/>
  <c r="J401" i="4"/>
  <c r="L401" i="4" s="1"/>
  <c r="I385" i="4"/>
  <c r="K385" i="4" s="1"/>
  <c r="J385" i="4"/>
  <c r="L385" i="4" s="1"/>
  <c r="I369" i="4"/>
  <c r="K369" i="4" s="1"/>
  <c r="J369" i="4"/>
  <c r="L369" i="4" s="1"/>
  <c r="I353" i="4"/>
  <c r="K353" i="4" s="1"/>
  <c r="J353" i="4"/>
  <c r="L353" i="4" s="1"/>
  <c r="I337" i="4"/>
  <c r="K337" i="4" s="1"/>
  <c r="J337" i="4"/>
  <c r="L337" i="4" s="1"/>
  <c r="I321" i="4"/>
  <c r="K321" i="4" s="1"/>
  <c r="J321" i="4"/>
  <c r="L321" i="4" s="1"/>
  <c r="I305" i="4"/>
  <c r="K305" i="4" s="1"/>
  <c r="J305" i="4"/>
  <c r="L305" i="4" s="1"/>
  <c r="I269" i="4"/>
  <c r="K269" i="4" s="1"/>
  <c r="J269" i="4"/>
  <c r="L269" i="4" s="1"/>
  <c r="I229" i="4"/>
  <c r="K229" i="4" s="1"/>
  <c r="J229" i="4"/>
  <c r="L229" i="4" s="1"/>
  <c r="I209" i="4"/>
  <c r="K209" i="4" s="1"/>
  <c r="J209" i="4"/>
  <c r="L209" i="4" s="1"/>
  <c r="I189" i="4"/>
  <c r="K189" i="4" s="1"/>
  <c r="J189" i="4"/>
  <c r="L189" i="4" s="1"/>
  <c r="I177" i="4"/>
  <c r="K177" i="4" s="1"/>
  <c r="J177" i="4"/>
  <c r="L177" i="4" s="1"/>
  <c r="I141" i="4"/>
  <c r="K141" i="4" s="1"/>
  <c r="J141" i="4"/>
  <c r="L141" i="4" s="1"/>
  <c r="I77" i="4"/>
  <c r="K77" i="4" s="1"/>
  <c r="J77" i="4"/>
  <c r="L77" i="4" s="1"/>
  <c r="I37" i="4"/>
  <c r="K37" i="4" s="1"/>
  <c r="J37" i="4"/>
  <c r="L37" i="4" s="1"/>
  <c r="I13" i="4"/>
  <c r="K13" i="4" s="1"/>
  <c r="J13" i="4"/>
  <c r="L13" i="4" s="1"/>
  <c r="J789" i="4"/>
  <c r="L789" i="4" s="1"/>
  <c r="I1000" i="4"/>
  <c r="K1000" i="4" s="1"/>
  <c r="J1000" i="4"/>
  <c r="L1000" i="4" s="1"/>
  <c r="I992" i="4"/>
  <c r="K992" i="4" s="1"/>
  <c r="J992" i="4"/>
  <c r="L992" i="4" s="1"/>
  <c r="I984" i="4"/>
  <c r="K984" i="4" s="1"/>
  <c r="J984" i="4"/>
  <c r="L984" i="4" s="1"/>
  <c r="I976" i="4"/>
  <c r="K976" i="4" s="1"/>
  <c r="J976" i="4"/>
  <c r="L976" i="4" s="1"/>
  <c r="I968" i="4"/>
  <c r="K968" i="4" s="1"/>
  <c r="J968" i="4"/>
  <c r="L968" i="4" s="1"/>
  <c r="I960" i="4"/>
  <c r="K960" i="4" s="1"/>
  <c r="J960" i="4"/>
  <c r="L960" i="4" s="1"/>
  <c r="I952" i="4"/>
  <c r="K952" i="4" s="1"/>
  <c r="J952" i="4"/>
  <c r="L952" i="4" s="1"/>
  <c r="I944" i="4"/>
  <c r="K944" i="4" s="1"/>
  <c r="J944" i="4"/>
  <c r="L944" i="4" s="1"/>
  <c r="I936" i="4"/>
  <c r="K936" i="4" s="1"/>
  <c r="J936" i="4"/>
  <c r="L936" i="4" s="1"/>
  <c r="I928" i="4"/>
  <c r="K928" i="4" s="1"/>
  <c r="J928" i="4"/>
  <c r="L928" i="4" s="1"/>
  <c r="I920" i="4"/>
  <c r="K920" i="4" s="1"/>
  <c r="J920" i="4"/>
  <c r="L920" i="4" s="1"/>
  <c r="I912" i="4"/>
  <c r="K912" i="4" s="1"/>
  <c r="J912" i="4"/>
  <c r="L912" i="4" s="1"/>
  <c r="I904" i="4"/>
  <c r="K904" i="4" s="1"/>
  <c r="J904" i="4"/>
  <c r="L904" i="4" s="1"/>
  <c r="I896" i="4"/>
  <c r="K896" i="4" s="1"/>
  <c r="J896" i="4"/>
  <c r="L896" i="4" s="1"/>
  <c r="I888" i="4"/>
  <c r="K888" i="4" s="1"/>
  <c r="J888" i="4"/>
  <c r="L888" i="4" s="1"/>
  <c r="I880" i="4"/>
  <c r="K880" i="4" s="1"/>
  <c r="J880" i="4"/>
  <c r="L880" i="4" s="1"/>
  <c r="I872" i="4"/>
  <c r="K872" i="4" s="1"/>
  <c r="J872" i="4"/>
  <c r="L872" i="4" s="1"/>
  <c r="I864" i="4"/>
  <c r="K864" i="4" s="1"/>
  <c r="J864" i="4"/>
  <c r="L864" i="4" s="1"/>
  <c r="I856" i="4"/>
  <c r="K856" i="4" s="1"/>
  <c r="J856" i="4"/>
  <c r="L856" i="4" s="1"/>
  <c r="I848" i="4"/>
  <c r="K848" i="4" s="1"/>
  <c r="J848" i="4"/>
  <c r="L848" i="4" s="1"/>
  <c r="I840" i="4"/>
  <c r="K840" i="4" s="1"/>
  <c r="J840" i="4"/>
  <c r="L840" i="4" s="1"/>
  <c r="I832" i="4"/>
  <c r="K832" i="4" s="1"/>
  <c r="J832" i="4"/>
  <c r="L832" i="4" s="1"/>
  <c r="I824" i="4"/>
  <c r="K824" i="4" s="1"/>
  <c r="J824" i="4"/>
  <c r="L824" i="4" s="1"/>
  <c r="I816" i="4"/>
  <c r="K816" i="4" s="1"/>
  <c r="J816" i="4"/>
  <c r="L816" i="4" s="1"/>
  <c r="I808" i="4"/>
  <c r="K808" i="4" s="1"/>
  <c r="J808" i="4"/>
  <c r="L808" i="4" s="1"/>
  <c r="I800" i="4"/>
  <c r="K800" i="4" s="1"/>
  <c r="J800" i="4"/>
  <c r="L800" i="4" s="1"/>
  <c r="I792" i="4"/>
  <c r="K792" i="4" s="1"/>
  <c r="J792" i="4"/>
  <c r="L792" i="4" s="1"/>
  <c r="I784" i="4"/>
  <c r="K784" i="4" s="1"/>
  <c r="J784" i="4"/>
  <c r="L784" i="4" s="1"/>
  <c r="I776" i="4"/>
  <c r="K776" i="4" s="1"/>
  <c r="J776" i="4"/>
  <c r="L776" i="4" s="1"/>
  <c r="I768" i="4"/>
  <c r="K768" i="4" s="1"/>
  <c r="J768" i="4"/>
  <c r="L768" i="4" s="1"/>
  <c r="I760" i="4"/>
  <c r="K760" i="4" s="1"/>
  <c r="J760" i="4"/>
  <c r="L760" i="4" s="1"/>
  <c r="I752" i="4"/>
  <c r="K752" i="4" s="1"/>
  <c r="J752" i="4"/>
  <c r="L752" i="4" s="1"/>
  <c r="I744" i="4"/>
  <c r="K744" i="4" s="1"/>
  <c r="J744" i="4"/>
  <c r="L744" i="4" s="1"/>
  <c r="I736" i="4"/>
  <c r="K736" i="4" s="1"/>
  <c r="J736" i="4"/>
  <c r="L736" i="4" s="1"/>
  <c r="I728" i="4"/>
  <c r="K728" i="4" s="1"/>
  <c r="J728" i="4"/>
  <c r="L728" i="4" s="1"/>
  <c r="I720" i="4"/>
  <c r="K720" i="4" s="1"/>
  <c r="J720" i="4"/>
  <c r="L720" i="4" s="1"/>
  <c r="I712" i="4"/>
  <c r="K712" i="4" s="1"/>
  <c r="J712" i="4"/>
  <c r="L712" i="4" s="1"/>
  <c r="I704" i="4"/>
  <c r="K704" i="4" s="1"/>
  <c r="J704" i="4"/>
  <c r="L704" i="4" s="1"/>
  <c r="I696" i="4"/>
  <c r="K696" i="4" s="1"/>
  <c r="J696" i="4"/>
  <c r="L696" i="4" s="1"/>
  <c r="I688" i="4"/>
  <c r="K688" i="4" s="1"/>
  <c r="J688" i="4"/>
  <c r="L688" i="4" s="1"/>
  <c r="I680" i="4"/>
  <c r="K680" i="4" s="1"/>
  <c r="J680" i="4"/>
  <c r="L680" i="4" s="1"/>
  <c r="I676" i="4"/>
  <c r="K676" i="4" s="1"/>
  <c r="J676" i="4"/>
  <c r="L676" i="4" s="1"/>
  <c r="I672" i="4"/>
  <c r="K672" i="4" s="1"/>
  <c r="J672" i="4"/>
  <c r="L672" i="4" s="1"/>
  <c r="I664" i="4"/>
  <c r="K664" i="4" s="1"/>
  <c r="J664" i="4"/>
  <c r="L664" i="4" s="1"/>
  <c r="I656" i="4"/>
  <c r="K656" i="4" s="1"/>
  <c r="J656" i="4"/>
  <c r="L656" i="4" s="1"/>
  <c r="I652" i="4"/>
  <c r="K652" i="4" s="1"/>
  <c r="J652" i="4"/>
  <c r="L652" i="4" s="1"/>
  <c r="I648" i="4"/>
  <c r="K648" i="4" s="1"/>
  <c r="J648" i="4"/>
  <c r="L648" i="4" s="1"/>
  <c r="I640" i="4"/>
  <c r="K640" i="4" s="1"/>
  <c r="J640" i="4"/>
  <c r="L640" i="4" s="1"/>
  <c r="I636" i="4"/>
  <c r="K636" i="4" s="1"/>
  <c r="J636" i="4"/>
  <c r="L636" i="4" s="1"/>
  <c r="I632" i="4"/>
  <c r="K632" i="4" s="1"/>
  <c r="J632" i="4"/>
  <c r="L632" i="4" s="1"/>
  <c r="I628" i="4"/>
  <c r="K628" i="4" s="1"/>
  <c r="J628" i="4"/>
  <c r="L628" i="4" s="1"/>
  <c r="I624" i="4"/>
  <c r="K624" i="4" s="1"/>
  <c r="J624" i="4"/>
  <c r="L624" i="4" s="1"/>
  <c r="I616" i="4"/>
  <c r="K616" i="4" s="1"/>
  <c r="J616" i="4"/>
  <c r="L616" i="4" s="1"/>
  <c r="I612" i="4"/>
  <c r="K612" i="4" s="1"/>
  <c r="J612" i="4"/>
  <c r="L612" i="4" s="1"/>
  <c r="I608" i="4"/>
  <c r="K608" i="4" s="1"/>
  <c r="J608" i="4"/>
  <c r="L608" i="4" s="1"/>
  <c r="I600" i="4"/>
  <c r="K600" i="4" s="1"/>
  <c r="J600" i="4"/>
  <c r="L600" i="4" s="1"/>
  <c r="I592" i="4"/>
  <c r="K592" i="4" s="1"/>
  <c r="J592" i="4"/>
  <c r="L592" i="4" s="1"/>
  <c r="I588" i="4"/>
  <c r="K588" i="4" s="1"/>
  <c r="J588" i="4"/>
  <c r="L588" i="4" s="1"/>
  <c r="I584" i="4"/>
  <c r="K584" i="4" s="1"/>
  <c r="J584" i="4"/>
  <c r="L584" i="4" s="1"/>
  <c r="I576" i="4"/>
  <c r="K576" i="4" s="1"/>
  <c r="J576" i="4"/>
  <c r="L576" i="4" s="1"/>
  <c r="I572" i="4"/>
  <c r="K572" i="4" s="1"/>
  <c r="J572" i="4"/>
  <c r="L572" i="4" s="1"/>
  <c r="I568" i="4"/>
  <c r="K568" i="4" s="1"/>
  <c r="J568" i="4"/>
  <c r="L568" i="4" s="1"/>
  <c r="I564" i="4"/>
  <c r="K564" i="4" s="1"/>
  <c r="J564" i="4"/>
  <c r="L564" i="4" s="1"/>
  <c r="I560" i="4"/>
  <c r="K560" i="4" s="1"/>
  <c r="J560" i="4"/>
  <c r="L560" i="4" s="1"/>
  <c r="I552" i="4"/>
  <c r="K552" i="4" s="1"/>
  <c r="J552" i="4"/>
  <c r="L552" i="4" s="1"/>
  <c r="I548" i="4"/>
  <c r="K548" i="4" s="1"/>
  <c r="J548" i="4"/>
  <c r="L548" i="4" s="1"/>
  <c r="I544" i="4"/>
  <c r="K544" i="4" s="1"/>
  <c r="J544" i="4"/>
  <c r="L544" i="4" s="1"/>
  <c r="I536" i="4"/>
  <c r="K536" i="4" s="1"/>
  <c r="J536" i="4"/>
  <c r="L536" i="4" s="1"/>
  <c r="I528" i="4"/>
  <c r="K528" i="4" s="1"/>
  <c r="J528" i="4"/>
  <c r="L528" i="4" s="1"/>
  <c r="I524" i="4"/>
  <c r="K524" i="4" s="1"/>
  <c r="J524" i="4"/>
  <c r="L524" i="4" s="1"/>
  <c r="I520" i="4"/>
  <c r="K520" i="4" s="1"/>
  <c r="J520" i="4"/>
  <c r="L520" i="4" s="1"/>
  <c r="I512" i="4"/>
  <c r="K512" i="4" s="1"/>
  <c r="J512" i="4"/>
  <c r="L512" i="4" s="1"/>
  <c r="I508" i="4"/>
  <c r="K508" i="4" s="1"/>
  <c r="J508" i="4"/>
  <c r="L508" i="4" s="1"/>
  <c r="I504" i="4"/>
  <c r="K504" i="4" s="1"/>
  <c r="J504" i="4"/>
  <c r="L504" i="4" s="1"/>
  <c r="I500" i="4"/>
  <c r="K500" i="4" s="1"/>
  <c r="J500" i="4"/>
  <c r="L500" i="4" s="1"/>
  <c r="I496" i="4"/>
  <c r="K496" i="4" s="1"/>
  <c r="J496" i="4"/>
  <c r="L496" i="4" s="1"/>
  <c r="I488" i="4"/>
  <c r="K488" i="4" s="1"/>
  <c r="J488" i="4"/>
  <c r="L488" i="4" s="1"/>
  <c r="I484" i="4"/>
  <c r="K484" i="4" s="1"/>
  <c r="J484" i="4"/>
  <c r="L484" i="4" s="1"/>
  <c r="I480" i="4"/>
  <c r="K480" i="4" s="1"/>
  <c r="J480" i="4"/>
  <c r="L480" i="4" s="1"/>
  <c r="I472" i="4"/>
  <c r="K472" i="4" s="1"/>
  <c r="J472" i="4"/>
  <c r="L472" i="4" s="1"/>
  <c r="I464" i="4"/>
  <c r="K464" i="4" s="1"/>
  <c r="J464" i="4"/>
  <c r="L464" i="4" s="1"/>
  <c r="I460" i="4"/>
  <c r="K460" i="4" s="1"/>
  <c r="J460" i="4"/>
  <c r="L460" i="4" s="1"/>
  <c r="I456" i="4"/>
  <c r="K456" i="4" s="1"/>
  <c r="J456" i="4"/>
  <c r="L456" i="4" s="1"/>
  <c r="I448" i="4"/>
  <c r="K448" i="4" s="1"/>
  <c r="J448" i="4"/>
  <c r="L448" i="4" s="1"/>
  <c r="I444" i="4"/>
  <c r="K444" i="4" s="1"/>
  <c r="J444" i="4"/>
  <c r="L444" i="4" s="1"/>
  <c r="I440" i="4"/>
  <c r="K440" i="4" s="1"/>
  <c r="J440" i="4"/>
  <c r="L440" i="4" s="1"/>
  <c r="I436" i="4"/>
  <c r="K436" i="4" s="1"/>
  <c r="J436" i="4"/>
  <c r="L436" i="4" s="1"/>
  <c r="I432" i="4"/>
  <c r="K432" i="4" s="1"/>
  <c r="J432" i="4"/>
  <c r="L432" i="4" s="1"/>
  <c r="I424" i="4"/>
  <c r="K424" i="4" s="1"/>
  <c r="J424" i="4"/>
  <c r="L424" i="4" s="1"/>
  <c r="I420" i="4"/>
  <c r="K420" i="4" s="1"/>
  <c r="J420" i="4"/>
  <c r="L420" i="4" s="1"/>
  <c r="I416" i="4"/>
  <c r="K416" i="4" s="1"/>
  <c r="J416" i="4"/>
  <c r="L416" i="4" s="1"/>
  <c r="I408" i="4"/>
  <c r="K408" i="4" s="1"/>
  <c r="J408" i="4"/>
  <c r="L408" i="4" s="1"/>
  <c r="I400" i="4"/>
  <c r="K400" i="4" s="1"/>
  <c r="J400" i="4"/>
  <c r="L400" i="4" s="1"/>
  <c r="I396" i="4"/>
  <c r="K396" i="4" s="1"/>
  <c r="J396" i="4"/>
  <c r="L396" i="4" s="1"/>
  <c r="I392" i="4"/>
  <c r="K392" i="4" s="1"/>
  <c r="J392" i="4"/>
  <c r="L392" i="4" s="1"/>
  <c r="I384" i="4"/>
  <c r="K384" i="4" s="1"/>
  <c r="J384" i="4"/>
  <c r="L384" i="4" s="1"/>
  <c r="I380" i="4"/>
  <c r="K380" i="4" s="1"/>
  <c r="J380" i="4"/>
  <c r="L380" i="4" s="1"/>
  <c r="I376" i="4"/>
  <c r="K376" i="4" s="1"/>
  <c r="J376" i="4"/>
  <c r="L376" i="4" s="1"/>
  <c r="I372" i="4"/>
  <c r="K372" i="4" s="1"/>
  <c r="J372" i="4"/>
  <c r="L372" i="4" s="1"/>
  <c r="I368" i="4"/>
  <c r="K368" i="4" s="1"/>
  <c r="J368" i="4"/>
  <c r="L368" i="4" s="1"/>
  <c r="I360" i="4"/>
  <c r="K360" i="4" s="1"/>
  <c r="J360" i="4"/>
  <c r="L360" i="4" s="1"/>
  <c r="I356" i="4"/>
  <c r="K356" i="4" s="1"/>
  <c r="J356" i="4"/>
  <c r="L356" i="4" s="1"/>
  <c r="I352" i="4"/>
  <c r="K352" i="4" s="1"/>
  <c r="J352" i="4"/>
  <c r="L352" i="4" s="1"/>
  <c r="I344" i="4"/>
  <c r="K344" i="4" s="1"/>
  <c r="J344" i="4"/>
  <c r="L344" i="4" s="1"/>
  <c r="I336" i="4"/>
  <c r="K336" i="4" s="1"/>
  <c r="J336" i="4"/>
  <c r="L336" i="4" s="1"/>
  <c r="I332" i="4"/>
  <c r="K332" i="4" s="1"/>
  <c r="J332" i="4"/>
  <c r="L332" i="4" s="1"/>
  <c r="I328" i="4"/>
  <c r="K328" i="4" s="1"/>
  <c r="J328" i="4"/>
  <c r="L328" i="4" s="1"/>
  <c r="I320" i="4"/>
  <c r="K320" i="4" s="1"/>
  <c r="J320" i="4"/>
  <c r="L320" i="4" s="1"/>
  <c r="I316" i="4"/>
  <c r="K316" i="4" s="1"/>
  <c r="J316" i="4"/>
  <c r="L316" i="4" s="1"/>
  <c r="I312" i="4"/>
  <c r="K312" i="4" s="1"/>
  <c r="J312" i="4"/>
  <c r="L312" i="4" s="1"/>
  <c r="I308" i="4"/>
  <c r="K308" i="4" s="1"/>
  <c r="J308" i="4"/>
  <c r="L308" i="4" s="1"/>
  <c r="I304" i="4"/>
  <c r="K304" i="4" s="1"/>
  <c r="J304" i="4"/>
  <c r="L304" i="4" s="1"/>
  <c r="I296" i="4"/>
  <c r="K296" i="4" s="1"/>
  <c r="J296" i="4"/>
  <c r="L296" i="4" s="1"/>
  <c r="I292" i="4"/>
  <c r="K292" i="4" s="1"/>
  <c r="J292" i="4"/>
  <c r="L292" i="4" s="1"/>
  <c r="I288" i="4"/>
  <c r="K288" i="4" s="1"/>
  <c r="J288" i="4"/>
  <c r="L288" i="4" s="1"/>
  <c r="I280" i="4"/>
  <c r="K280" i="4" s="1"/>
  <c r="J280" i="4"/>
  <c r="L280" i="4" s="1"/>
  <c r="I272" i="4"/>
  <c r="K272" i="4" s="1"/>
  <c r="J272" i="4"/>
  <c r="L272" i="4" s="1"/>
  <c r="I268" i="4"/>
  <c r="K268" i="4" s="1"/>
  <c r="J268" i="4"/>
  <c r="L268" i="4" s="1"/>
  <c r="I264" i="4"/>
  <c r="K264" i="4" s="1"/>
  <c r="J264" i="4"/>
  <c r="L264" i="4" s="1"/>
  <c r="I256" i="4"/>
  <c r="K256" i="4" s="1"/>
  <c r="J256" i="4"/>
  <c r="L256" i="4" s="1"/>
  <c r="I252" i="4"/>
  <c r="K252" i="4" s="1"/>
  <c r="J252" i="4"/>
  <c r="L252" i="4" s="1"/>
  <c r="I248" i="4"/>
  <c r="K248" i="4" s="1"/>
  <c r="J248" i="4"/>
  <c r="L248" i="4" s="1"/>
  <c r="I244" i="4"/>
  <c r="K244" i="4" s="1"/>
  <c r="J244" i="4"/>
  <c r="L244" i="4" s="1"/>
  <c r="I240" i="4"/>
  <c r="K240" i="4" s="1"/>
  <c r="J240" i="4"/>
  <c r="L240" i="4" s="1"/>
  <c r="I232" i="4"/>
  <c r="K232" i="4" s="1"/>
  <c r="J232" i="4"/>
  <c r="L232" i="4" s="1"/>
  <c r="I228" i="4"/>
  <c r="K228" i="4" s="1"/>
  <c r="J228" i="4"/>
  <c r="L228" i="4" s="1"/>
  <c r="I224" i="4"/>
  <c r="K224" i="4" s="1"/>
  <c r="J224" i="4"/>
  <c r="L224" i="4" s="1"/>
  <c r="I216" i="4"/>
  <c r="K216" i="4" s="1"/>
  <c r="J216" i="4"/>
  <c r="L216" i="4" s="1"/>
  <c r="I208" i="4"/>
  <c r="K208" i="4" s="1"/>
  <c r="J208" i="4"/>
  <c r="L208" i="4" s="1"/>
  <c r="I204" i="4"/>
  <c r="K204" i="4" s="1"/>
  <c r="J204" i="4"/>
  <c r="L204" i="4" s="1"/>
  <c r="I200" i="4"/>
  <c r="K200" i="4" s="1"/>
  <c r="J200" i="4"/>
  <c r="L200" i="4" s="1"/>
  <c r="I192" i="4"/>
  <c r="K192" i="4" s="1"/>
  <c r="J192" i="4"/>
  <c r="L192" i="4" s="1"/>
  <c r="I188" i="4"/>
  <c r="K188" i="4" s="1"/>
  <c r="J188" i="4"/>
  <c r="L188" i="4" s="1"/>
  <c r="I184" i="4"/>
  <c r="K184" i="4" s="1"/>
  <c r="J184" i="4"/>
  <c r="L184" i="4" s="1"/>
  <c r="I180" i="4"/>
  <c r="K180" i="4" s="1"/>
  <c r="J180" i="4"/>
  <c r="L180" i="4" s="1"/>
  <c r="I176" i="4"/>
  <c r="K176" i="4" s="1"/>
  <c r="J176" i="4"/>
  <c r="L176" i="4" s="1"/>
  <c r="I168" i="4"/>
  <c r="K168" i="4" s="1"/>
  <c r="J168" i="4"/>
  <c r="L168" i="4" s="1"/>
  <c r="I164" i="4"/>
  <c r="K164" i="4" s="1"/>
  <c r="J164" i="4"/>
  <c r="L164" i="4" s="1"/>
  <c r="I160" i="4"/>
  <c r="K160" i="4" s="1"/>
  <c r="J160" i="4"/>
  <c r="L160" i="4" s="1"/>
  <c r="I152" i="4"/>
  <c r="K152" i="4" s="1"/>
  <c r="J152" i="4"/>
  <c r="L152" i="4" s="1"/>
  <c r="I144" i="4"/>
  <c r="K144" i="4" s="1"/>
  <c r="J144" i="4"/>
  <c r="L144" i="4" s="1"/>
  <c r="I140" i="4"/>
  <c r="K140" i="4" s="1"/>
  <c r="J140" i="4"/>
  <c r="L140" i="4" s="1"/>
  <c r="I136" i="4"/>
  <c r="K136" i="4" s="1"/>
  <c r="J136" i="4"/>
  <c r="L136" i="4" s="1"/>
  <c r="I128" i="4"/>
  <c r="K128" i="4" s="1"/>
  <c r="J128" i="4"/>
  <c r="L128" i="4" s="1"/>
  <c r="I124" i="4"/>
  <c r="K124" i="4" s="1"/>
  <c r="J124" i="4"/>
  <c r="L124" i="4" s="1"/>
  <c r="I120" i="4"/>
  <c r="K120" i="4" s="1"/>
  <c r="J120" i="4"/>
  <c r="L120" i="4" s="1"/>
  <c r="I116" i="4"/>
  <c r="K116" i="4" s="1"/>
  <c r="J116" i="4"/>
  <c r="L116" i="4" s="1"/>
  <c r="I112" i="4"/>
  <c r="K112" i="4" s="1"/>
  <c r="J112" i="4"/>
  <c r="L112" i="4" s="1"/>
  <c r="I104" i="4"/>
  <c r="K104" i="4" s="1"/>
  <c r="J104" i="4"/>
  <c r="L104" i="4" s="1"/>
  <c r="I100" i="4"/>
  <c r="K100" i="4" s="1"/>
  <c r="J100" i="4"/>
  <c r="L100" i="4" s="1"/>
  <c r="I96" i="4"/>
  <c r="K96" i="4" s="1"/>
  <c r="J96" i="4"/>
  <c r="L96" i="4" s="1"/>
  <c r="I88" i="4"/>
  <c r="K88" i="4" s="1"/>
  <c r="J88" i="4"/>
  <c r="L88" i="4" s="1"/>
  <c r="I80" i="4"/>
  <c r="K80" i="4" s="1"/>
  <c r="J80" i="4"/>
  <c r="L80" i="4" s="1"/>
  <c r="I76" i="4"/>
  <c r="K76" i="4" s="1"/>
  <c r="J76" i="4"/>
  <c r="L76" i="4" s="1"/>
  <c r="I72" i="4"/>
  <c r="K72" i="4" s="1"/>
  <c r="J72" i="4"/>
  <c r="L72" i="4" s="1"/>
  <c r="I64" i="4"/>
  <c r="K64" i="4" s="1"/>
  <c r="J64" i="4"/>
  <c r="L64" i="4" s="1"/>
  <c r="I60" i="4"/>
  <c r="K60" i="4" s="1"/>
  <c r="J60" i="4"/>
  <c r="L60" i="4" s="1"/>
  <c r="I56" i="4"/>
  <c r="K56" i="4" s="1"/>
  <c r="J56" i="4"/>
  <c r="L56" i="4" s="1"/>
  <c r="I52" i="4"/>
  <c r="K52" i="4" s="1"/>
  <c r="J52" i="4"/>
  <c r="L52" i="4" s="1"/>
  <c r="I48" i="4"/>
  <c r="K48" i="4" s="1"/>
  <c r="J48" i="4"/>
  <c r="L48" i="4" s="1"/>
  <c r="I40" i="4"/>
  <c r="K40" i="4" s="1"/>
  <c r="J40" i="4"/>
  <c r="L40" i="4" s="1"/>
  <c r="I36" i="4"/>
  <c r="K36" i="4" s="1"/>
  <c r="J36" i="4"/>
  <c r="L36" i="4" s="1"/>
  <c r="I32" i="4"/>
  <c r="K32" i="4" s="1"/>
  <c r="J32" i="4"/>
  <c r="L32" i="4" s="1"/>
  <c r="I24" i="4"/>
  <c r="K24" i="4" s="1"/>
  <c r="J24" i="4"/>
  <c r="L24" i="4" s="1"/>
  <c r="I16" i="4"/>
  <c r="K16" i="4" s="1"/>
  <c r="J16" i="4"/>
  <c r="L16" i="4" s="1"/>
  <c r="I12" i="4"/>
  <c r="K12" i="4" s="1"/>
  <c r="J12" i="4"/>
  <c r="L12" i="4" s="1"/>
  <c r="I8" i="4"/>
  <c r="K8" i="4" s="1"/>
  <c r="J8" i="4"/>
  <c r="L8" i="4" s="1"/>
  <c r="J996" i="4"/>
  <c r="L996" i="4" s="1"/>
  <c r="J980" i="4"/>
  <c r="L980" i="4" s="1"/>
  <c r="J964" i="4"/>
  <c r="L964" i="4" s="1"/>
  <c r="J948" i="4"/>
  <c r="L948" i="4" s="1"/>
  <c r="J932" i="4"/>
  <c r="L932" i="4" s="1"/>
  <c r="J916" i="4"/>
  <c r="L916" i="4" s="1"/>
  <c r="J900" i="4"/>
  <c r="L900" i="4" s="1"/>
  <c r="M900" i="4" s="1"/>
  <c r="J884" i="4"/>
  <c r="L884" i="4" s="1"/>
  <c r="M884" i="4" s="1"/>
  <c r="J868" i="4"/>
  <c r="L868" i="4" s="1"/>
  <c r="J852" i="4"/>
  <c r="L852" i="4" s="1"/>
  <c r="J836" i="4"/>
  <c r="L836" i="4" s="1"/>
  <c r="J820" i="4"/>
  <c r="L820" i="4" s="1"/>
  <c r="J804" i="4"/>
  <c r="L804" i="4" s="1"/>
  <c r="M804" i="4" s="1"/>
  <c r="J788" i="4"/>
  <c r="L788" i="4" s="1"/>
  <c r="M788" i="4" s="1"/>
  <c r="J772" i="4"/>
  <c r="L772" i="4" s="1"/>
  <c r="M772" i="4" s="1"/>
  <c r="J756" i="4"/>
  <c r="L756" i="4" s="1"/>
  <c r="M756" i="4" s="1"/>
  <c r="J740" i="4"/>
  <c r="L740" i="4" s="1"/>
  <c r="M740" i="4" s="1"/>
  <c r="J724" i="4"/>
  <c r="L724" i="4" s="1"/>
  <c r="J708" i="4"/>
  <c r="L708" i="4" s="1"/>
  <c r="J692" i="4"/>
  <c r="L692" i="4" s="1"/>
  <c r="J629" i="4"/>
  <c r="L629" i="4" s="1"/>
  <c r="M629" i="4" s="1"/>
  <c r="J605" i="4"/>
  <c r="L605" i="4" s="1"/>
  <c r="M605" i="4" s="1"/>
  <c r="J580" i="4"/>
  <c r="L580" i="4" s="1"/>
  <c r="J556" i="4"/>
  <c r="L556" i="4" s="1"/>
  <c r="M556" i="4" s="1"/>
  <c r="J532" i="4"/>
  <c r="L532" i="4" s="1"/>
  <c r="J373" i="4"/>
  <c r="L373" i="4" s="1"/>
  <c r="J349" i="4"/>
  <c r="L349" i="4" s="1"/>
  <c r="J324" i="4"/>
  <c r="L324" i="4" s="1"/>
  <c r="J300" i="4"/>
  <c r="L300" i="4" s="1"/>
  <c r="M300" i="4" s="1"/>
  <c r="J276" i="4"/>
  <c r="L276" i="4" s="1"/>
  <c r="M276" i="4" s="1"/>
  <c r="J117" i="4"/>
  <c r="L117" i="4" s="1"/>
  <c r="M117" i="4" s="1"/>
  <c r="J93" i="4"/>
  <c r="L93" i="4" s="1"/>
  <c r="M93" i="4" s="1"/>
  <c r="J68" i="4"/>
  <c r="L68" i="4" s="1"/>
  <c r="J44" i="4"/>
  <c r="L44" i="4" s="1"/>
  <c r="J20" i="4"/>
  <c r="L20" i="4" s="1"/>
  <c r="M20" i="4" s="1"/>
  <c r="I1001" i="4"/>
  <c r="K1001" i="4" s="1"/>
  <c r="J1001" i="4"/>
  <c r="L1001" i="4" s="1"/>
  <c r="I961" i="4"/>
  <c r="K961" i="4" s="1"/>
  <c r="J961" i="4"/>
  <c r="L961" i="4" s="1"/>
  <c r="I945" i="4"/>
  <c r="K945" i="4" s="1"/>
  <c r="J945" i="4"/>
  <c r="L945" i="4" s="1"/>
  <c r="I937" i="4"/>
  <c r="K937" i="4" s="1"/>
  <c r="J937" i="4"/>
  <c r="L937" i="4" s="1"/>
  <c r="I921" i="4"/>
  <c r="K921" i="4" s="1"/>
  <c r="J921" i="4"/>
  <c r="L921" i="4" s="1"/>
  <c r="I905" i="4"/>
  <c r="K905" i="4" s="1"/>
  <c r="J905" i="4"/>
  <c r="L905" i="4" s="1"/>
  <c r="I873" i="4"/>
  <c r="K873" i="4" s="1"/>
  <c r="J873" i="4"/>
  <c r="L873" i="4" s="1"/>
  <c r="I857" i="4"/>
  <c r="K857" i="4" s="1"/>
  <c r="J857" i="4"/>
  <c r="L857" i="4" s="1"/>
  <c r="I841" i="4"/>
  <c r="K841" i="4" s="1"/>
  <c r="J841" i="4"/>
  <c r="L841" i="4" s="1"/>
  <c r="I825" i="4"/>
  <c r="K825" i="4" s="1"/>
  <c r="J825" i="4"/>
  <c r="L825" i="4" s="1"/>
  <c r="I793" i="4"/>
  <c r="K793" i="4" s="1"/>
  <c r="J793" i="4"/>
  <c r="L793" i="4" s="1"/>
  <c r="I777" i="4"/>
  <c r="K777" i="4" s="1"/>
  <c r="J777" i="4"/>
  <c r="L777" i="4" s="1"/>
  <c r="I737" i="4"/>
  <c r="K737" i="4" s="1"/>
  <c r="J737" i="4"/>
  <c r="L737" i="4" s="1"/>
  <c r="I677" i="4"/>
  <c r="K677" i="4" s="1"/>
  <c r="J677" i="4"/>
  <c r="L677" i="4" s="1"/>
  <c r="I661" i="4"/>
  <c r="K661" i="4" s="1"/>
  <c r="J661" i="4"/>
  <c r="L661" i="4" s="1"/>
  <c r="I633" i="4"/>
  <c r="K633" i="4" s="1"/>
  <c r="J633" i="4"/>
  <c r="L633" i="4" s="1"/>
  <c r="I613" i="4"/>
  <c r="K613" i="4" s="1"/>
  <c r="J613" i="4"/>
  <c r="L613" i="4" s="1"/>
  <c r="I597" i="4"/>
  <c r="K597" i="4" s="1"/>
  <c r="J597" i="4"/>
  <c r="L597" i="4" s="1"/>
  <c r="I577" i="4"/>
  <c r="K577" i="4" s="1"/>
  <c r="J577" i="4"/>
  <c r="L577" i="4" s="1"/>
  <c r="I561" i="4"/>
  <c r="K561" i="4" s="1"/>
  <c r="J561" i="4"/>
  <c r="L561" i="4" s="1"/>
  <c r="I545" i="4"/>
  <c r="K545" i="4" s="1"/>
  <c r="J545" i="4"/>
  <c r="L545" i="4" s="1"/>
  <c r="I461" i="4"/>
  <c r="K461" i="4" s="1"/>
  <c r="J461" i="4"/>
  <c r="L461" i="4" s="1"/>
  <c r="I417" i="4"/>
  <c r="K417" i="4" s="1"/>
  <c r="J417" i="4"/>
  <c r="L417" i="4" s="1"/>
  <c r="I313" i="4"/>
  <c r="K313" i="4" s="1"/>
  <c r="J313" i="4"/>
  <c r="L313" i="4" s="1"/>
  <c r="I297" i="4"/>
  <c r="K297" i="4" s="1"/>
  <c r="J297" i="4"/>
  <c r="L297" i="4" s="1"/>
  <c r="I281" i="4"/>
  <c r="K281" i="4" s="1"/>
  <c r="J281" i="4"/>
  <c r="L281" i="4" s="1"/>
  <c r="I249" i="4"/>
  <c r="K249" i="4" s="1"/>
  <c r="J249" i="4"/>
  <c r="L249" i="4" s="1"/>
  <c r="I233" i="4"/>
  <c r="K233" i="4" s="1"/>
  <c r="J233" i="4"/>
  <c r="L233" i="4" s="1"/>
  <c r="I217" i="4"/>
  <c r="K217" i="4" s="1"/>
  <c r="J217" i="4"/>
  <c r="L217" i="4" s="1"/>
  <c r="I201" i="4"/>
  <c r="K201" i="4" s="1"/>
  <c r="J201" i="4"/>
  <c r="L201" i="4" s="1"/>
  <c r="I165" i="4"/>
  <c r="K165" i="4" s="1"/>
  <c r="J165" i="4"/>
  <c r="L165" i="4" s="1"/>
  <c r="I145" i="4"/>
  <c r="K145" i="4" s="1"/>
  <c r="J145" i="4"/>
  <c r="L145" i="4" s="1"/>
  <c r="I129" i="4"/>
  <c r="K129" i="4" s="1"/>
  <c r="J129" i="4"/>
  <c r="L129" i="4" s="1"/>
  <c r="I113" i="4"/>
  <c r="K113" i="4" s="1"/>
  <c r="J113" i="4"/>
  <c r="L113" i="4" s="1"/>
  <c r="I97" i="4"/>
  <c r="K97" i="4" s="1"/>
  <c r="J97" i="4"/>
  <c r="L97" i="4" s="1"/>
  <c r="I81" i="4"/>
  <c r="K81" i="4" s="1"/>
  <c r="J81" i="4"/>
  <c r="L81" i="4" s="1"/>
  <c r="I65" i="4"/>
  <c r="K65" i="4" s="1"/>
  <c r="J65" i="4"/>
  <c r="L65" i="4" s="1"/>
  <c r="I49" i="4"/>
  <c r="K49" i="4" s="1"/>
  <c r="J49" i="4"/>
  <c r="L49" i="4" s="1"/>
  <c r="I17" i="4"/>
  <c r="K17" i="4" s="1"/>
  <c r="J17" i="4"/>
  <c r="L17" i="4" s="1"/>
  <c r="J565" i="4"/>
  <c r="L565" i="4" s="1"/>
  <c r="J541" i="4"/>
  <c r="L541" i="4" s="1"/>
  <c r="J53" i="4"/>
  <c r="L53" i="4" s="1"/>
  <c r="J981" i="4"/>
  <c r="L981" i="4" s="1"/>
  <c r="J949" i="4"/>
  <c r="L949" i="4" s="1"/>
  <c r="J901" i="4"/>
  <c r="L901" i="4" s="1"/>
  <c r="J885" i="4"/>
  <c r="L885" i="4" s="1"/>
  <c r="J853" i="4"/>
  <c r="L853" i="4" s="1"/>
  <c r="M853" i="4" s="1"/>
  <c r="J821" i="4"/>
  <c r="L821" i="4" s="1"/>
  <c r="J773" i="4"/>
  <c r="L773" i="4" s="1"/>
  <c r="J741" i="4"/>
  <c r="L741" i="4" s="1"/>
  <c r="M741" i="4" s="1"/>
  <c r="J709" i="4"/>
  <c r="L709" i="4" s="1"/>
  <c r="M709" i="4" s="1"/>
  <c r="J581" i="4"/>
  <c r="L581" i="4" s="1"/>
  <c r="J301" i="4"/>
  <c r="L301" i="4" s="1"/>
  <c r="M301" i="4" s="1"/>
  <c r="J995" i="4"/>
  <c r="L995" i="4" s="1"/>
  <c r="M995" i="4" s="1"/>
  <c r="J979" i="4"/>
  <c r="L979" i="4" s="1"/>
  <c r="M979" i="4" s="1"/>
  <c r="J963" i="4"/>
  <c r="L963" i="4" s="1"/>
  <c r="J947" i="4"/>
  <c r="L947" i="4" s="1"/>
  <c r="J931" i="4"/>
  <c r="L931" i="4" s="1"/>
  <c r="J915" i="4"/>
  <c r="L915" i="4" s="1"/>
  <c r="M915" i="4" s="1"/>
  <c r="J899" i="4"/>
  <c r="L899" i="4" s="1"/>
  <c r="M899" i="4" s="1"/>
  <c r="J883" i="4"/>
  <c r="L883" i="4" s="1"/>
  <c r="M883" i="4" s="1"/>
  <c r="J867" i="4"/>
  <c r="L867" i="4" s="1"/>
  <c r="M867" i="4" s="1"/>
  <c r="J851" i="4"/>
  <c r="L851" i="4" s="1"/>
  <c r="M851" i="4" s="1"/>
  <c r="J835" i="4"/>
  <c r="L835" i="4" s="1"/>
  <c r="J819" i="4"/>
  <c r="L819" i="4" s="1"/>
  <c r="J803" i="4"/>
  <c r="L803" i="4" s="1"/>
  <c r="J787" i="4"/>
  <c r="L787" i="4" s="1"/>
  <c r="M787" i="4" s="1"/>
  <c r="J771" i="4"/>
  <c r="L771" i="4" s="1"/>
  <c r="M771" i="4" s="1"/>
  <c r="J755" i="4"/>
  <c r="L755" i="4" s="1"/>
  <c r="M755" i="4" s="1"/>
  <c r="J739" i="4"/>
  <c r="L739" i="4" s="1"/>
  <c r="M739" i="4" s="1"/>
  <c r="J723" i="4"/>
  <c r="L723" i="4" s="1"/>
  <c r="M723" i="4" s="1"/>
  <c r="J707" i="4"/>
  <c r="L707" i="4" s="1"/>
  <c r="J691" i="4"/>
  <c r="L691" i="4" s="1"/>
  <c r="J645" i="4"/>
  <c r="L645" i="4" s="1"/>
  <c r="J621" i="4"/>
  <c r="L621" i="4" s="1"/>
  <c r="M621" i="4" s="1"/>
  <c r="J604" i="4"/>
  <c r="L604" i="4" s="1"/>
  <c r="M604" i="4" s="1"/>
  <c r="J579" i="4"/>
  <c r="L579" i="4" s="1"/>
  <c r="M579" i="4" s="1"/>
  <c r="J555" i="4"/>
  <c r="L555" i="4" s="1"/>
  <c r="M555" i="4" s="1"/>
  <c r="J531" i="4"/>
  <c r="L531" i="4" s="1"/>
  <c r="J507" i="4"/>
  <c r="L507" i="4" s="1"/>
  <c r="J389" i="4"/>
  <c r="L389" i="4" s="1"/>
  <c r="J365" i="4"/>
  <c r="L365" i="4" s="1"/>
  <c r="J348" i="4"/>
  <c r="L348" i="4" s="1"/>
  <c r="M348" i="4" s="1"/>
  <c r="J323" i="4"/>
  <c r="L323" i="4" s="1"/>
  <c r="M323" i="4" s="1"/>
  <c r="J133" i="4"/>
  <c r="L133" i="4" s="1"/>
  <c r="M133" i="4" s="1"/>
  <c r="J109" i="4"/>
  <c r="L109" i="4" s="1"/>
  <c r="J92" i="4"/>
  <c r="L92" i="4" s="1"/>
  <c r="I985" i="4"/>
  <c r="K985" i="4" s="1"/>
  <c r="J985" i="4"/>
  <c r="L985" i="4" s="1"/>
  <c r="I969" i="4"/>
  <c r="K969" i="4" s="1"/>
  <c r="J969" i="4"/>
  <c r="L969" i="4" s="1"/>
  <c r="I953" i="4"/>
  <c r="K953" i="4" s="1"/>
  <c r="J953" i="4"/>
  <c r="L953" i="4" s="1"/>
  <c r="I897" i="4"/>
  <c r="K897" i="4" s="1"/>
  <c r="J897" i="4"/>
  <c r="L897" i="4" s="1"/>
  <c r="I881" i="4"/>
  <c r="K881" i="4" s="1"/>
  <c r="J881" i="4"/>
  <c r="L881" i="4" s="1"/>
  <c r="I817" i="4"/>
  <c r="K817" i="4" s="1"/>
  <c r="J817" i="4"/>
  <c r="L817" i="4" s="1"/>
  <c r="I801" i="4"/>
  <c r="K801" i="4" s="1"/>
  <c r="J801" i="4"/>
  <c r="L801" i="4" s="1"/>
  <c r="I745" i="4"/>
  <c r="K745" i="4" s="1"/>
  <c r="J745" i="4"/>
  <c r="L745" i="4" s="1"/>
  <c r="I729" i="4"/>
  <c r="K729" i="4" s="1"/>
  <c r="J729" i="4"/>
  <c r="L729" i="4" s="1"/>
  <c r="I697" i="4"/>
  <c r="K697" i="4" s="1"/>
  <c r="J697" i="4"/>
  <c r="L697" i="4" s="1"/>
  <c r="I681" i="4"/>
  <c r="K681" i="4" s="1"/>
  <c r="J681" i="4"/>
  <c r="L681" i="4" s="1"/>
  <c r="I665" i="4"/>
  <c r="K665" i="4" s="1"/>
  <c r="J665" i="4"/>
  <c r="L665" i="4" s="1"/>
  <c r="I641" i="4"/>
  <c r="K641" i="4" s="1"/>
  <c r="J641" i="4"/>
  <c r="L641" i="4" s="1"/>
  <c r="I625" i="4"/>
  <c r="K625" i="4" s="1"/>
  <c r="J625" i="4"/>
  <c r="L625" i="4" s="1"/>
  <c r="I609" i="4"/>
  <c r="K609" i="4" s="1"/>
  <c r="J609" i="4"/>
  <c r="L609" i="4" s="1"/>
  <c r="I593" i="4"/>
  <c r="K593" i="4" s="1"/>
  <c r="J593" i="4"/>
  <c r="L593" i="4" s="1"/>
  <c r="I573" i="4"/>
  <c r="K573" i="4" s="1"/>
  <c r="J573" i="4"/>
  <c r="L573" i="4" s="1"/>
  <c r="I537" i="4"/>
  <c r="K537" i="4" s="1"/>
  <c r="J537" i="4"/>
  <c r="L537" i="4" s="1"/>
  <c r="I525" i="4"/>
  <c r="K525" i="4" s="1"/>
  <c r="J525" i="4"/>
  <c r="L525" i="4" s="1"/>
  <c r="I505" i="4"/>
  <c r="K505" i="4" s="1"/>
  <c r="J505" i="4"/>
  <c r="L505" i="4" s="1"/>
  <c r="I489" i="4"/>
  <c r="K489" i="4" s="1"/>
  <c r="J489" i="4"/>
  <c r="L489" i="4" s="1"/>
  <c r="I473" i="4"/>
  <c r="K473" i="4" s="1"/>
  <c r="J473" i="4"/>
  <c r="L473" i="4" s="1"/>
  <c r="I457" i="4"/>
  <c r="K457" i="4" s="1"/>
  <c r="J457" i="4"/>
  <c r="L457" i="4" s="1"/>
  <c r="I441" i="4"/>
  <c r="K441" i="4" s="1"/>
  <c r="J441" i="4"/>
  <c r="L441" i="4" s="1"/>
  <c r="I397" i="4"/>
  <c r="K397" i="4" s="1"/>
  <c r="J397" i="4"/>
  <c r="L397" i="4" s="1"/>
  <c r="I377" i="4"/>
  <c r="K377" i="4" s="1"/>
  <c r="J377" i="4"/>
  <c r="L377" i="4" s="1"/>
  <c r="I361" i="4"/>
  <c r="K361" i="4" s="1"/>
  <c r="J361" i="4"/>
  <c r="L361" i="4" s="1"/>
  <c r="I345" i="4"/>
  <c r="K345" i="4" s="1"/>
  <c r="J345" i="4"/>
  <c r="L345" i="4" s="1"/>
  <c r="I329" i="4"/>
  <c r="K329" i="4" s="1"/>
  <c r="J329" i="4"/>
  <c r="L329" i="4" s="1"/>
  <c r="I293" i="4"/>
  <c r="K293" i="4" s="1"/>
  <c r="J293" i="4"/>
  <c r="L293" i="4" s="1"/>
  <c r="I273" i="4"/>
  <c r="K273" i="4" s="1"/>
  <c r="J273" i="4"/>
  <c r="L273" i="4" s="1"/>
  <c r="I257" i="4"/>
  <c r="K257" i="4" s="1"/>
  <c r="J257" i="4"/>
  <c r="L257" i="4" s="1"/>
  <c r="I241" i="4"/>
  <c r="K241" i="4" s="1"/>
  <c r="J241" i="4"/>
  <c r="L241" i="4" s="1"/>
  <c r="I153" i="4"/>
  <c r="K153" i="4" s="1"/>
  <c r="J153" i="4"/>
  <c r="L153" i="4" s="1"/>
  <c r="I121" i="4"/>
  <c r="K121" i="4" s="1"/>
  <c r="J121" i="4"/>
  <c r="L121" i="4" s="1"/>
  <c r="I105" i="4"/>
  <c r="K105" i="4" s="1"/>
  <c r="J105" i="4"/>
  <c r="L105" i="4" s="1"/>
  <c r="I89" i="4"/>
  <c r="K89" i="4" s="1"/>
  <c r="J89" i="4"/>
  <c r="L89" i="4" s="1"/>
  <c r="I57" i="4"/>
  <c r="K57" i="4" s="1"/>
  <c r="J57" i="4"/>
  <c r="L57" i="4" s="1"/>
  <c r="I41" i="4"/>
  <c r="K41" i="4" s="1"/>
  <c r="J41" i="4"/>
  <c r="L41" i="4" s="1"/>
  <c r="I25" i="4"/>
  <c r="K25" i="4" s="1"/>
  <c r="J25" i="4"/>
  <c r="L25" i="4" s="1"/>
  <c r="I9" i="4"/>
  <c r="K9" i="4" s="1"/>
  <c r="J9" i="4"/>
  <c r="L9" i="4" s="1"/>
  <c r="J309" i="4"/>
  <c r="L309" i="4" s="1"/>
  <c r="J285" i="4"/>
  <c r="L285" i="4" s="1"/>
  <c r="J997" i="4"/>
  <c r="L997" i="4" s="1"/>
  <c r="J965" i="4"/>
  <c r="L965" i="4" s="1"/>
  <c r="J917" i="4"/>
  <c r="L917" i="4" s="1"/>
  <c r="J869" i="4"/>
  <c r="L869" i="4" s="1"/>
  <c r="J837" i="4"/>
  <c r="L837" i="4" s="1"/>
  <c r="J805" i="4"/>
  <c r="L805" i="4" s="1"/>
  <c r="J757" i="4"/>
  <c r="L757" i="4" s="1"/>
  <c r="J725" i="4"/>
  <c r="L725" i="4" s="1"/>
  <c r="J557" i="4"/>
  <c r="L557" i="4" s="1"/>
  <c r="M557" i="4" s="1"/>
  <c r="J325" i="4"/>
  <c r="L325" i="4" s="1"/>
  <c r="J69" i="4"/>
  <c r="L69" i="4" s="1"/>
  <c r="I999" i="4"/>
  <c r="K999" i="4" s="1"/>
  <c r="J999" i="4"/>
  <c r="L999" i="4" s="1"/>
  <c r="I991" i="4"/>
  <c r="K991" i="4" s="1"/>
  <c r="J991" i="4"/>
  <c r="L991" i="4" s="1"/>
  <c r="I983" i="4"/>
  <c r="K983" i="4" s="1"/>
  <c r="J983" i="4"/>
  <c r="L983" i="4" s="1"/>
  <c r="I975" i="4"/>
  <c r="K975" i="4" s="1"/>
  <c r="J975" i="4"/>
  <c r="L975" i="4" s="1"/>
  <c r="I967" i="4"/>
  <c r="K967" i="4" s="1"/>
  <c r="J967" i="4"/>
  <c r="L967" i="4" s="1"/>
  <c r="I959" i="4"/>
  <c r="K959" i="4" s="1"/>
  <c r="J959" i="4"/>
  <c r="L959" i="4" s="1"/>
  <c r="I951" i="4"/>
  <c r="K951" i="4" s="1"/>
  <c r="J951" i="4"/>
  <c r="L951" i="4" s="1"/>
  <c r="I943" i="4"/>
  <c r="K943" i="4" s="1"/>
  <c r="J943" i="4"/>
  <c r="L943" i="4" s="1"/>
  <c r="I935" i="4"/>
  <c r="K935" i="4" s="1"/>
  <c r="J935" i="4"/>
  <c r="L935" i="4" s="1"/>
  <c r="I927" i="4"/>
  <c r="K927" i="4" s="1"/>
  <c r="J927" i="4"/>
  <c r="L927" i="4" s="1"/>
  <c r="I919" i="4"/>
  <c r="K919" i="4" s="1"/>
  <c r="J919" i="4"/>
  <c r="L919" i="4" s="1"/>
  <c r="I911" i="4"/>
  <c r="K911" i="4" s="1"/>
  <c r="J911" i="4"/>
  <c r="L911" i="4" s="1"/>
  <c r="I903" i="4"/>
  <c r="K903" i="4" s="1"/>
  <c r="J903" i="4"/>
  <c r="L903" i="4" s="1"/>
  <c r="I895" i="4"/>
  <c r="K895" i="4" s="1"/>
  <c r="J895" i="4"/>
  <c r="L895" i="4" s="1"/>
  <c r="I887" i="4"/>
  <c r="K887" i="4" s="1"/>
  <c r="J887" i="4"/>
  <c r="L887" i="4" s="1"/>
  <c r="I879" i="4"/>
  <c r="K879" i="4" s="1"/>
  <c r="J879" i="4"/>
  <c r="L879" i="4" s="1"/>
  <c r="I871" i="4"/>
  <c r="K871" i="4" s="1"/>
  <c r="J871" i="4"/>
  <c r="L871" i="4" s="1"/>
  <c r="I863" i="4"/>
  <c r="K863" i="4" s="1"/>
  <c r="J863" i="4"/>
  <c r="L863" i="4" s="1"/>
  <c r="I855" i="4"/>
  <c r="K855" i="4" s="1"/>
  <c r="J855" i="4"/>
  <c r="L855" i="4" s="1"/>
  <c r="I847" i="4"/>
  <c r="K847" i="4" s="1"/>
  <c r="J847" i="4"/>
  <c r="L847" i="4" s="1"/>
  <c r="I839" i="4"/>
  <c r="K839" i="4" s="1"/>
  <c r="J839" i="4"/>
  <c r="L839" i="4" s="1"/>
  <c r="I831" i="4"/>
  <c r="K831" i="4" s="1"/>
  <c r="J831" i="4"/>
  <c r="L831" i="4" s="1"/>
  <c r="I823" i="4"/>
  <c r="K823" i="4" s="1"/>
  <c r="J823" i="4"/>
  <c r="L823" i="4" s="1"/>
  <c r="I815" i="4"/>
  <c r="K815" i="4" s="1"/>
  <c r="J815" i="4"/>
  <c r="L815" i="4" s="1"/>
  <c r="I807" i="4"/>
  <c r="K807" i="4" s="1"/>
  <c r="J807" i="4"/>
  <c r="L807" i="4" s="1"/>
  <c r="I799" i="4"/>
  <c r="K799" i="4" s="1"/>
  <c r="J799" i="4"/>
  <c r="L799" i="4" s="1"/>
  <c r="I791" i="4"/>
  <c r="K791" i="4" s="1"/>
  <c r="J791" i="4"/>
  <c r="L791" i="4" s="1"/>
  <c r="I783" i="4"/>
  <c r="K783" i="4" s="1"/>
  <c r="J783" i="4"/>
  <c r="L783" i="4" s="1"/>
  <c r="I775" i="4"/>
  <c r="K775" i="4" s="1"/>
  <c r="J775" i="4"/>
  <c r="L775" i="4" s="1"/>
  <c r="I767" i="4"/>
  <c r="K767" i="4" s="1"/>
  <c r="J767" i="4"/>
  <c r="L767" i="4" s="1"/>
  <c r="I759" i="4"/>
  <c r="K759" i="4" s="1"/>
  <c r="J759" i="4"/>
  <c r="L759" i="4" s="1"/>
  <c r="I751" i="4"/>
  <c r="K751" i="4" s="1"/>
  <c r="J751" i="4"/>
  <c r="L751" i="4" s="1"/>
  <c r="I743" i="4"/>
  <c r="K743" i="4" s="1"/>
  <c r="J743" i="4"/>
  <c r="L743" i="4" s="1"/>
  <c r="I735" i="4"/>
  <c r="K735" i="4" s="1"/>
  <c r="J735" i="4"/>
  <c r="L735" i="4" s="1"/>
  <c r="I727" i="4"/>
  <c r="K727" i="4" s="1"/>
  <c r="J727" i="4"/>
  <c r="L727" i="4" s="1"/>
  <c r="I719" i="4"/>
  <c r="K719" i="4" s="1"/>
  <c r="J719" i="4"/>
  <c r="L719" i="4" s="1"/>
  <c r="I711" i="4"/>
  <c r="K711" i="4" s="1"/>
  <c r="J711" i="4"/>
  <c r="L711" i="4" s="1"/>
  <c r="I703" i="4"/>
  <c r="K703" i="4" s="1"/>
  <c r="J703" i="4"/>
  <c r="L703" i="4" s="1"/>
  <c r="I695" i="4"/>
  <c r="K695" i="4" s="1"/>
  <c r="J695" i="4"/>
  <c r="L695" i="4" s="1"/>
  <c r="I687" i="4"/>
  <c r="K687" i="4" s="1"/>
  <c r="J687" i="4"/>
  <c r="L687" i="4" s="1"/>
  <c r="I679" i="4"/>
  <c r="K679" i="4" s="1"/>
  <c r="J679" i="4"/>
  <c r="L679" i="4" s="1"/>
  <c r="I675" i="4"/>
  <c r="K675" i="4" s="1"/>
  <c r="J675" i="4"/>
  <c r="L675" i="4" s="1"/>
  <c r="I671" i="4"/>
  <c r="K671" i="4" s="1"/>
  <c r="J671" i="4"/>
  <c r="L671" i="4" s="1"/>
  <c r="I667" i="4"/>
  <c r="K667" i="4" s="1"/>
  <c r="J667" i="4"/>
  <c r="L667" i="4" s="1"/>
  <c r="I663" i="4"/>
  <c r="K663" i="4" s="1"/>
  <c r="J663" i="4"/>
  <c r="L663" i="4" s="1"/>
  <c r="I655" i="4"/>
  <c r="K655" i="4" s="1"/>
  <c r="J655" i="4"/>
  <c r="L655" i="4" s="1"/>
  <c r="I651" i="4"/>
  <c r="K651" i="4" s="1"/>
  <c r="J651" i="4"/>
  <c r="L651" i="4" s="1"/>
  <c r="I647" i="4"/>
  <c r="K647" i="4" s="1"/>
  <c r="J647" i="4"/>
  <c r="L647" i="4" s="1"/>
  <c r="I639" i="4"/>
  <c r="K639" i="4" s="1"/>
  <c r="J639" i="4"/>
  <c r="L639" i="4" s="1"/>
  <c r="I631" i="4"/>
  <c r="K631" i="4" s="1"/>
  <c r="J631" i="4"/>
  <c r="L631" i="4" s="1"/>
  <c r="I627" i="4"/>
  <c r="K627" i="4" s="1"/>
  <c r="J627" i="4"/>
  <c r="L627" i="4" s="1"/>
  <c r="I623" i="4"/>
  <c r="K623" i="4" s="1"/>
  <c r="J623" i="4"/>
  <c r="L623" i="4" s="1"/>
  <c r="I615" i="4"/>
  <c r="K615" i="4" s="1"/>
  <c r="J615" i="4"/>
  <c r="L615" i="4" s="1"/>
  <c r="I611" i="4"/>
  <c r="K611" i="4" s="1"/>
  <c r="J611" i="4"/>
  <c r="L611" i="4" s="1"/>
  <c r="I607" i="4"/>
  <c r="K607" i="4" s="1"/>
  <c r="J607" i="4"/>
  <c r="L607" i="4" s="1"/>
  <c r="I603" i="4"/>
  <c r="K603" i="4" s="1"/>
  <c r="J603" i="4"/>
  <c r="L603" i="4" s="1"/>
  <c r="I599" i="4"/>
  <c r="K599" i="4" s="1"/>
  <c r="J599" i="4"/>
  <c r="L599" i="4" s="1"/>
  <c r="I591" i="4"/>
  <c r="K591" i="4" s="1"/>
  <c r="J591" i="4"/>
  <c r="L591" i="4" s="1"/>
  <c r="I587" i="4"/>
  <c r="K587" i="4" s="1"/>
  <c r="J587" i="4"/>
  <c r="L587" i="4" s="1"/>
  <c r="I583" i="4"/>
  <c r="K583" i="4" s="1"/>
  <c r="J583" i="4"/>
  <c r="L583" i="4" s="1"/>
  <c r="I575" i="4"/>
  <c r="K575" i="4" s="1"/>
  <c r="J575" i="4"/>
  <c r="L575" i="4" s="1"/>
  <c r="I567" i="4"/>
  <c r="K567" i="4" s="1"/>
  <c r="J567" i="4"/>
  <c r="L567" i="4" s="1"/>
  <c r="I563" i="4"/>
  <c r="K563" i="4" s="1"/>
  <c r="J563" i="4"/>
  <c r="L563" i="4" s="1"/>
  <c r="I559" i="4"/>
  <c r="K559" i="4" s="1"/>
  <c r="J559" i="4"/>
  <c r="L559" i="4" s="1"/>
  <c r="I551" i="4"/>
  <c r="K551" i="4" s="1"/>
  <c r="J551" i="4"/>
  <c r="L551" i="4" s="1"/>
  <c r="I547" i="4"/>
  <c r="K547" i="4" s="1"/>
  <c r="J547" i="4"/>
  <c r="L547" i="4" s="1"/>
  <c r="I543" i="4"/>
  <c r="K543" i="4" s="1"/>
  <c r="J543" i="4"/>
  <c r="L543" i="4" s="1"/>
  <c r="I539" i="4"/>
  <c r="K539" i="4" s="1"/>
  <c r="J539" i="4"/>
  <c r="L539" i="4" s="1"/>
  <c r="I535" i="4"/>
  <c r="K535" i="4" s="1"/>
  <c r="J535" i="4"/>
  <c r="L535" i="4" s="1"/>
  <c r="I527" i="4"/>
  <c r="K527" i="4" s="1"/>
  <c r="J527" i="4"/>
  <c r="L527" i="4" s="1"/>
  <c r="I523" i="4"/>
  <c r="K523" i="4" s="1"/>
  <c r="J523" i="4"/>
  <c r="L523" i="4" s="1"/>
  <c r="I519" i="4"/>
  <c r="K519" i="4" s="1"/>
  <c r="J519" i="4"/>
  <c r="L519" i="4" s="1"/>
  <c r="I511" i="4"/>
  <c r="K511" i="4" s="1"/>
  <c r="J511" i="4"/>
  <c r="L511" i="4" s="1"/>
  <c r="I503" i="4"/>
  <c r="K503" i="4" s="1"/>
  <c r="J503" i="4"/>
  <c r="L503" i="4" s="1"/>
  <c r="I499" i="4"/>
  <c r="K499" i="4" s="1"/>
  <c r="J499" i="4"/>
  <c r="L499" i="4" s="1"/>
  <c r="I495" i="4"/>
  <c r="K495" i="4" s="1"/>
  <c r="J495" i="4"/>
  <c r="L495" i="4" s="1"/>
  <c r="I487" i="4"/>
  <c r="K487" i="4" s="1"/>
  <c r="J487" i="4"/>
  <c r="L487" i="4" s="1"/>
  <c r="I483" i="4"/>
  <c r="K483" i="4" s="1"/>
  <c r="J483" i="4"/>
  <c r="L483" i="4" s="1"/>
  <c r="I479" i="4"/>
  <c r="K479" i="4" s="1"/>
  <c r="J479" i="4"/>
  <c r="L479" i="4" s="1"/>
  <c r="I475" i="4"/>
  <c r="K475" i="4" s="1"/>
  <c r="J475" i="4"/>
  <c r="L475" i="4" s="1"/>
  <c r="I471" i="4"/>
  <c r="K471" i="4" s="1"/>
  <c r="J471" i="4"/>
  <c r="L471" i="4" s="1"/>
  <c r="I463" i="4"/>
  <c r="K463" i="4" s="1"/>
  <c r="J463" i="4"/>
  <c r="L463" i="4" s="1"/>
  <c r="I459" i="4"/>
  <c r="K459" i="4" s="1"/>
  <c r="J459" i="4"/>
  <c r="L459" i="4" s="1"/>
  <c r="I455" i="4"/>
  <c r="K455" i="4" s="1"/>
  <c r="J455" i="4"/>
  <c r="L455" i="4" s="1"/>
  <c r="I447" i="4"/>
  <c r="K447" i="4" s="1"/>
  <c r="J447" i="4"/>
  <c r="L447" i="4" s="1"/>
  <c r="I439" i="4"/>
  <c r="K439" i="4" s="1"/>
  <c r="J439" i="4"/>
  <c r="L439" i="4" s="1"/>
  <c r="I435" i="4"/>
  <c r="K435" i="4" s="1"/>
  <c r="J435" i="4"/>
  <c r="L435" i="4" s="1"/>
  <c r="I431" i="4"/>
  <c r="K431" i="4" s="1"/>
  <c r="J431" i="4"/>
  <c r="L431" i="4" s="1"/>
  <c r="I423" i="4"/>
  <c r="K423" i="4" s="1"/>
  <c r="J423" i="4"/>
  <c r="L423" i="4" s="1"/>
  <c r="I419" i="4"/>
  <c r="K419" i="4" s="1"/>
  <c r="J419" i="4"/>
  <c r="L419" i="4" s="1"/>
  <c r="I415" i="4"/>
  <c r="K415" i="4" s="1"/>
  <c r="J415" i="4"/>
  <c r="L415" i="4" s="1"/>
  <c r="I411" i="4"/>
  <c r="K411" i="4" s="1"/>
  <c r="J411" i="4"/>
  <c r="L411" i="4" s="1"/>
  <c r="I407" i="4"/>
  <c r="K407" i="4" s="1"/>
  <c r="J407" i="4"/>
  <c r="L407" i="4" s="1"/>
  <c r="I399" i="4"/>
  <c r="K399" i="4" s="1"/>
  <c r="J399" i="4"/>
  <c r="L399" i="4" s="1"/>
  <c r="I395" i="4"/>
  <c r="K395" i="4" s="1"/>
  <c r="J395" i="4"/>
  <c r="L395" i="4" s="1"/>
  <c r="I391" i="4"/>
  <c r="K391" i="4" s="1"/>
  <c r="J391" i="4"/>
  <c r="L391" i="4" s="1"/>
  <c r="I383" i="4"/>
  <c r="K383" i="4" s="1"/>
  <c r="J383" i="4"/>
  <c r="L383" i="4" s="1"/>
  <c r="I375" i="4"/>
  <c r="K375" i="4" s="1"/>
  <c r="J375" i="4"/>
  <c r="L375" i="4" s="1"/>
  <c r="I371" i="4"/>
  <c r="K371" i="4" s="1"/>
  <c r="J371" i="4"/>
  <c r="L371" i="4" s="1"/>
  <c r="I367" i="4"/>
  <c r="K367" i="4" s="1"/>
  <c r="J367" i="4"/>
  <c r="L367" i="4" s="1"/>
  <c r="I359" i="4"/>
  <c r="K359" i="4" s="1"/>
  <c r="J359" i="4"/>
  <c r="L359" i="4" s="1"/>
  <c r="I355" i="4"/>
  <c r="K355" i="4" s="1"/>
  <c r="J355" i="4"/>
  <c r="L355" i="4" s="1"/>
  <c r="I351" i="4"/>
  <c r="K351" i="4" s="1"/>
  <c r="J351" i="4"/>
  <c r="L351" i="4" s="1"/>
  <c r="I347" i="4"/>
  <c r="K347" i="4" s="1"/>
  <c r="J347" i="4"/>
  <c r="L347" i="4" s="1"/>
  <c r="I343" i="4"/>
  <c r="K343" i="4" s="1"/>
  <c r="J343" i="4"/>
  <c r="L343" i="4" s="1"/>
  <c r="I335" i="4"/>
  <c r="K335" i="4" s="1"/>
  <c r="J335" i="4"/>
  <c r="L335" i="4" s="1"/>
  <c r="I331" i="4"/>
  <c r="K331" i="4" s="1"/>
  <c r="J331" i="4"/>
  <c r="L331" i="4" s="1"/>
  <c r="I327" i="4"/>
  <c r="K327" i="4" s="1"/>
  <c r="J327" i="4"/>
  <c r="L327" i="4" s="1"/>
  <c r="I319" i="4"/>
  <c r="K319" i="4" s="1"/>
  <c r="J319" i="4"/>
  <c r="L319" i="4" s="1"/>
  <c r="I311" i="4"/>
  <c r="K311" i="4" s="1"/>
  <c r="J311" i="4"/>
  <c r="L311" i="4" s="1"/>
  <c r="I307" i="4"/>
  <c r="K307" i="4" s="1"/>
  <c r="J307" i="4"/>
  <c r="L307" i="4" s="1"/>
  <c r="J669" i="4"/>
  <c r="L669" i="4" s="1"/>
  <c r="J644" i="4"/>
  <c r="L644" i="4" s="1"/>
  <c r="M644" i="4" s="1"/>
  <c r="J620" i="4"/>
  <c r="L620" i="4" s="1"/>
  <c r="M620" i="4" s="1"/>
  <c r="J596" i="4"/>
  <c r="L596" i="4" s="1"/>
  <c r="J437" i="4"/>
  <c r="L437" i="4" s="1"/>
  <c r="J413" i="4"/>
  <c r="L413" i="4" s="1"/>
  <c r="J388" i="4"/>
  <c r="L388" i="4" s="1"/>
  <c r="M388" i="4" s="1"/>
  <c r="J364" i="4"/>
  <c r="L364" i="4" s="1"/>
  <c r="M364" i="4" s="1"/>
  <c r="J340" i="4"/>
  <c r="L340" i="4" s="1"/>
  <c r="N340" i="4" s="1"/>
  <c r="J181" i="4"/>
  <c r="L181" i="4" s="1"/>
  <c r="M181" i="4" s="1"/>
  <c r="J157" i="4"/>
  <c r="L157" i="4" s="1"/>
  <c r="J132" i="4"/>
  <c r="L132" i="4" s="1"/>
  <c r="J108" i="4"/>
  <c r="L108" i="4" s="1"/>
  <c r="J84" i="4"/>
  <c r="L84" i="4" s="1"/>
  <c r="I977" i="4"/>
  <c r="K977" i="4" s="1"/>
  <c r="J977" i="4"/>
  <c r="L977" i="4" s="1"/>
  <c r="I913" i="4"/>
  <c r="K913" i="4" s="1"/>
  <c r="J913" i="4"/>
  <c r="L913" i="4" s="1"/>
  <c r="I889" i="4"/>
  <c r="K889" i="4" s="1"/>
  <c r="J889" i="4"/>
  <c r="L889" i="4" s="1"/>
  <c r="I865" i="4"/>
  <c r="K865" i="4" s="1"/>
  <c r="J865" i="4"/>
  <c r="L865" i="4" s="1"/>
  <c r="I809" i="4"/>
  <c r="K809" i="4" s="1"/>
  <c r="J809" i="4"/>
  <c r="L809" i="4" s="1"/>
  <c r="I785" i="4"/>
  <c r="K785" i="4" s="1"/>
  <c r="J785" i="4"/>
  <c r="L785" i="4" s="1"/>
  <c r="I769" i="4"/>
  <c r="K769" i="4" s="1"/>
  <c r="J769" i="4"/>
  <c r="L769" i="4" s="1"/>
  <c r="I761" i="4"/>
  <c r="K761" i="4" s="1"/>
  <c r="J761" i="4"/>
  <c r="L761" i="4" s="1"/>
  <c r="I753" i="4"/>
  <c r="K753" i="4" s="1"/>
  <c r="J753" i="4"/>
  <c r="L753" i="4" s="1"/>
  <c r="I713" i="4"/>
  <c r="K713" i="4" s="1"/>
  <c r="J713" i="4"/>
  <c r="L713" i="4" s="1"/>
  <c r="I657" i="4"/>
  <c r="K657" i="4" s="1"/>
  <c r="J657" i="4"/>
  <c r="L657" i="4" s="1"/>
  <c r="I649" i="4"/>
  <c r="K649" i="4" s="1"/>
  <c r="J649" i="4"/>
  <c r="L649" i="4" s="1"/>
  <c r="I637" i="4"/>
  <c r="K637" i="4" s="1"/>
  <c r="J637" i="4"/>
  <c r="L637" i="4" s="1"/>
  <c r="I617" i="4"/>
  <c r="K617" i="4" s="1"/>
  <c r="J617" i="4"/>
  <c r="L617" i="4" s="1"/>
  <c r="I601" i="4"/>
  <c r="K601" i="4" s="1"/>
  <c r="J601" i="4"/>
  <c r="L601" i="4" s="1"/>
  <c r="I589" i="4"/>
  <c r="K589" i="4" s="1"/>
  <c r="J589" i="4"/>
  <c r="L589" i="4" s="1"/>
  <c r="I553" i="4"/>
  <c r="K553" i="4" s="1"/>
  <c r="J553" i="4"/>
  <c r="L553" i="4" s="1"/>
  <c r="I533" i="4"/>
  <c r="K533" i="4" s="1"/>
  <c r="J533" i="4"/>
  <c r="L533" i="4" s="1"/>
  <c r="I521" i="4"/>
  <c r="K521" i="4" s="1"/>
  <c r="J521" i="4"/>
  <c r="L521" i="4" s="1"/>
  <c r="I509" i="4"/>
  <c r="K509" i="4" s="1"/>
  <c r="J509" i="4"/>
  <c r="L509" i="4" s="1"/>
  <c r="I485" i="4"/>
  <c r="K485" i="4" s="1"/>
  <c r="J485" i="4"/>
  <c r="L485" i="4" s="1"/>
  <c r="I469" i="4"/>
  <c r="K469" i="4" s="1"/>
  <c r="J469" i="4"/>
  <c r="L469" i="4" s="1"/>
  <c r="I465" i="4"/>
  <c r="K465" i="4" s="1"/>
  <c r="J465" i="4"/>
  <c r="L465" i="4" s="1"/>
  <c r="I449" i="4"/>
  <c r="K449" i="4" s="1"/>
  <c r="J449" i="4"/>
  <c r="L449" i="4" s="1"/>
  <c r="I445" i="4"/>
  <c r="K445" i="4" s="1"/>
  <c r="J445" i="4"/>
  <c r="L445" i="4" s="1"/>
  <c r="I433" i="4"/>
  <c r="K433" i="4" s="1"/>
  <c r="J433" i="4"/>
  <c r="L433" i="4" s="1"/>
  <c r="I425" i="4"/>
  <c r="K425" i="4" s="1"/>
  <c r="J425" i="4"/>
  <c r="L425" i="4" s="1"/>
  <c r="I409" i="4"/>
  <c r="K409" i="4" s="1"/>
  <c r="J409" i="4"/>
  <c r="L409" i="4" s="1"/>
  <c r="I405" i="4"/>
  <c r="K405" i="4" s="1"/>
  <c r="J405" i="4"/>
  <c r="L405" i="4" s="1"/>
  <c r="I393" i="4"/>
  <c r="K393" i="4" s="1"/>
  <c r="J393" i="4"/>
  <c r="L393" i="4" s="1"/>
  <c r="I381" i="4"/>
  <c r="K381" i="4" s="1"/>
  <c r="J381" i="4"/>
  <c r="L381" i="4" s="1"/>
  <c r="I357" i="4"/>
  <c r="K357" i="4" s="1"/>
  <c r="J357" i="4"/>
  <c r="L357" i="4" s="1"/>
  <c r="I341" i="4"/>
  <c r="K341" i="4" s="1"/>
  <c r="J341" i="4"/>
  <c r="L341" i="4" s="1"/>
  <c r="I333" i="4"/>
  <c r="K333" i="4" s="1"/>
  <c r="J333" i="4"/>
  <c r="L333" i="4" s="1"/>
  <c r="I317" i="4"/>
  <c r="K317" i="4" s="1"/>
  <c r="J317" i="4"/>
  <c r="L317" i="4" s="1"/>
  <c r="I289" i="4"/>
  <c r="K289" i="4" s="1"/>
  <c r="J289" i="4"/>
  <c r="L289" i="4" s="1"/>
  <c r="I277" i="4"/>
  <c r="K277" i="4" s="1"/>
  <c r="J277" i="4"/>
  <c r="L277" i="4" s="1"/>
  <c r="I265" i="4"/>
  <c r="K265" i="4" s="1"/>
  <c r="J265" i="4"/>
  <c r="L265" i="4" s="1"/>
  <c r="I253" i="4"/>
  <c r="K253" i="4" s="1"/>
  <c r="J253" i="4"/>
  <c r="L253" i="4" s="1"/>
  <c r="I225" i="4"/>
  <c r="K225" i="4" s="1"/>
  <c r="J225" i="4"/>
  <c r="L225" i="4" s="1"/>
  <c r="I213" i="4"/>
  <c r="K213" i="4" s="1"/>
  <c r="J213" i="4"/>
  <c r="L213" i="4" s="1"/>
  <c r="I205" i="4"/>
  <c r="K205" i="4" s="1"/>
  <c r="J205" i="4"/>
  <c r="L205" i="4" s="1"/>
  <c r="I193" i="4"/>
  <c r="K193" i="4" s="1"/>
  <c r="J193" i="4"/>
  <c r="L193" i="4" s="1"/>
  <c r="I185" i="4"/>
  <c r="K185" i="4" s="1"/>
  <c r="J185" i="4"/>
  <c r="L185" i="4" s="1"/>
  <c r="I169" i="4"/>
  <c r="K169" i="4" s="1"/>
  <c r="J169" i="4"/>
  <c r="L169" i="4" s="1"/>
  <c r="I161" i="4"/>
  <c r="K161" i="4" s="1"/>
  <c r="J161" i="4"/>
  <c r="L161" i="4" s="1"/>
  <c r="I149" i="4"/>
  <c r="K149" i="4" s="1"/>
  <c r="J149" i="4"/>
  <c r="L149" i="4" s="1"/>
  <c r="I137" i="4"/>
  <c r="K137" i="4" s="1"/>
  <c r="J137" i="4"/>
  <c r="L137" i="4" s="1"/>
  <c r="I125" i="4"/>
  <c r="K125" i="4" s="1"/>
  <c r="J125" i="4"/>
  <c r="L125" i="4" s="1"/>
  <c r="I101" i="4"/>
  <c r="K101" i="4" s="1"/>
  <c r="J101" i="4"/>
  <c r="L101" i="4" s="1"/>
  <c r="I85" i="4"/>
  <c r="K85" i="4" s="1"/>
  <c r="J85" i="4"/>
  <c r="L85" i="4" s="1"/>
  <c r="I73" i="4"/>
  <c r="K73" i="4" s="1"/>
  <c r="J73" i="4"/>
  <c r="L73" i="4" s="1"/>
  <c r="I61" i="4"/>
  <c r="K61" i="4" s="1"/>
  <c r="J61" i="4"/>
  <c r="L61" i="4" s="1"/>
  <c r="I33" i="4"/>
  <c r="K33" i="4" s="1"/>
  <c r="J33" i="4"/>
  <c r="L33" i="4" s="1"/>
  <c r="I21" i="4"/>
  <c r="K21" i="4" s="1"/>
  <c r="J21" i="4"/>
  <c r="L21" i="4" s="1"/>
  <c r="J29" i="4"/>
  <c r="L29" i="4" s="1"/>
  <c r="J933" i="4"/>
  <c r="L933" i="4" s="1"/>
  <c r="J693" i="4"/>
  <c r="L693" i="4" s="1"/>
  <c r="J45" i="4"/>
  <c r="L45" i="4" s="1"/>
  <c r="J1005" i="4"/>
  <c r="L1005" i="4" s="1"/>
  <c r="J989" i="4"/>
  <c r="L989" i="4" s="1"/>
  <c r="J973" i="4"/>
  <c r="L973" i="4" s="1"/>
  <c r="J957" i="4"/>
  <c r="L957" i="4" s="1"/>
  <c r="J941" i="4"/>
  <c r="L941" i="4" s="1"/>
  <c r="J925" i="4"/>
  <c r="L925" i="4" s="1"/>
  <c r="J909" i="4"/>
  <c r="L909" i="4" s="1"/>
  <c r="J893" i="4"/>
  <c r="L893" i="4" s="1"/>
  <c r="J877" i="4"/>
  <c r="L877" i="4" s="1"/>
  <c r="J861" i="4"/>
  <c r="L861" i="4" s="1"/>
  <c r="J845" i="4"/>
  <c r="L845" i="4" s="1"/>
  <c r="J829" i="4"/>
  <c r="L829" i="4" s="1"/>
  <c r="J813" i="4"/>
  <c r="L813" i="4" s="1"/>
  <c r="J797" i="4"/>
  <c r="L797" i="4" s="1"/>
  <c r="J781" i="4"/>
  <c r="L781" i="4" s="1"/>
  <c r="M781" i="4" s="1"/>
  <c r="J765" i="4"/>
  <c r="L765" i="4" s="1"/>
  <c r="J749" i="4"/>
  <c r="L749" i="4" s="1"/>
  <c r="J733" i="4"/>
  <c r="L733" i="4" s="1"/>
  <c r="J717" i="4"/>
  <c r="L717" i="4" s="1"/>
  <c r="J701" i="4"/>
  <c r="L701" i="4" s="1"/>
  <c r="J685" i="4"/>
  <c r="L685" i="4" s="1"/>
  <c r="J668" i="4"/>
  <c r="L668" i="4" s="1"/>
  <c r="J643" i="4"/>
  <c r="L643" i="4" s="1"/>
  <c r="M643" i="4" s="1"/>
  <c r="J619" i="4"/>
  <c r="L619" i="4" s="1"/>
  <c r="M619" i="4" s="1"/>
  <c r="J595" i="4"/>
  <c r="L595" i="4" s="1"/>
  <c r="M595" i="4" s="1"/>
  <c r="J571" i="4"/>
  <c r="L571" i="4" s="1"/>
  <c r="M571" i="4" s="1"/>
  <c r="J453" i="4"/>
  <c r="L453" i="4" s="1"/>
  <c r="M453" i="4" s="1"/>
  <c r="J429" i="4"/>
  <c r="L429" i="4" s="1"/>
  <c r="J412" i="4"/>
  <c r="L412" i="4" s="1"/>
  <c r="J387" i="4"/>
  <c r="L387" i="4" s="1"/>
  <c r="J363" i="4"/>
  <c r="L363" i="4" s="1"/>
  <c r="M363" i="4" s="1"/>
  <c r="J339" i="4"/>
  <c r="L339" i="4" s="1"/>
  <c r="M339" i="4" s="1"/>
  <c r="J315" i="4"/>
  <c r="L315" i="4" s="1"/>
  <c r="M315" i="4" s="1"/>
  <c r="J197" i="4"/>
  <c r="L197" i="4" s="1"/>
  <c r="M197" i="4" s="1"/>
  <c r="J173" i="4"/>
  <c r="L173" i="4" s="1"/>
  <c r="J156" i="4"/>
  <c r="L156" i="4" s="1"/>
  <c r="I303" i="4"/>
  <c r="K303" i="4" s="1"/>
  <c r="J303" i="4"/>
  <c r="L303" i="4" s="1"/>
  <c r="I295" i="4"/>
  <c r="K295" i="4" s="1"/>
  <c r="J295" i="4"/>
  <c r="L295" i="4" s="1"/>
  <c r="I287" i="4"/>
  <c r="K287" i="4" s="1"/>
  <c r="J287" i="4"/>
  <c r="L287" i="4" s="1"/>
  <c r="I279" i="4"/>
  <c r="K279" i="4" s="1"/>
  <c r="J279" i="4"/>
  <c r="L279" i="4" s="1"/>
  <c r="I271" i="4"/>
  <c r="K271" i="4" s="1"/>
  <c r="J271" i="4"/>
  <c r="L271" i="4" s="1"/>
  <c r="I263" i="4"/>
  <c r="K263" i="4" s="1"/>
  <c r="J263" i="4"/>
  <c r="L263" i="4" s="1"/>
  <c r="I255" i="4"/>
  <c r="K255" i="4" s="1"/>
  <c r="J255" i="4"/>
  <c r="L255" i="4" s="1"/>
  <c r="I247" i="4"/>
  <c r="K247" i="4" s="1"/>
  <c r="J247" i="4"/>
  <c r="L247" i="4" s="1"/>
  <c r="I239" i="4"/>
  <c r="K239" i="4" s="1"/>
  <c r="J239" i="4"/>
  <c r="L239" i="4" s="1"/>
  <c r="I231" i="4"/>
  <c r="K231" i="4" s="1"/>
  <c r="J231" i="4"/>
  <c r="L231" i="4" s="1"/>
  <c r="I223" i="4"/>
  <c r="K223" i="4" s="1"/>
  <c r="J223" i="4"/>
  <c r="L223" i="4" s="1"/>
  <c r="I215" i="4"/>
  <c r="K215" i="4" s="1"/>
  <c r="J215" i="4"/>
  <c r="L215" i="4" s="1"/>
  <c r="I207" i="4"/>
  <c r="K207" i="4" s="1"/>
  <c r="J207" i="4"/>
  <c r="L207" i="4" s="1"/>
  <c r="I199" i="4"/>
  <c r="K199" i="4" s="1"/>
  <c r="J199" i="4"/>
  <c r="L199" i="4" s="1"/>
  <c r="I191" i="4"/>
  <c r="K191" i="4" s="1"/>
  <c r="J191" i="4"/>
  <c r="L191" i="4" s="1"/>
  <c r="I183" i="4"/>
  <c r="K183" i="4" s="1"/>
  <c r="J183" i="4"/>
  <c r="L183" i="4" s="1"/>
  <c r="I175" i="4"/>
  <c r="K175" i="4" s="1"/>
  <c r="J175" i="4"/>
  <c r="L175" i="4" s="1"/>
  <c r="I167" i="4"/>
  <c r="K167" i="4" s="1"/>
  <c r="J167" i="4"/>
  <c r="L167" i="4" s="1"/>
  <c r="I159" i="4"/>
  <c r="K159" i="4" s="1"/>
  <c r="J159" i="4"/>
  <c r="L159" i="4" s="1"/>
  <c r="I151" i="4"/>
  <c r="K151" i="4" s="1"/>
  <c r="J151" i="4"/>
  <c r="L151" i="4" s="1"/>
  <c r="I143" i="4"/>
  <c r="K143" i="4" s="1"/>
  <c r="J143" i="4"/>
  <c r="L143" i="4" s="1"/>
  <c r="I135" i="4"/>
  <c r="K135" i="4" s="1"/>
  <c r="J135" i="4"/>
  <c r="L135" i="4" s="1"/>
  <c r="I127" i="4"/>
  <c r="K127" i="4" s="1"/>
  <c r="J127" i="4"/>
  <c r="L127" i="4" s="1"/>
  <c r="I119" i="4"/>
  <c r="K119" i="4" s="1"/>
  <c r="J119" i="4"/>
  <c r="L119" i="4" s="1"/>
  <c r="I111" i="4"/>
  <c r="K111" i="4" s="1"/>
  <c r="J111" i="4"/>
  <c r="L111" i="4" s="1"/>
  <c r="I103" i="4"/>
  <c r="K103" i="4" s="1"/>
  <c r="J103" i="4"/>
  <c r="L103" i="4" s="1"/>
  <c r="I95" i="4"/>
  <c r="K95" i="4" s="1"/>
  <c r="J95" i="4"/>
  <c r="L95" i="4" s="1"/>
  <c r="I87" i="4"/>
  <c r="K87" i="4" s="1"/>
  <c r="J87" i="4"/>
  <c r="L87" i="4" s="1"/>
  <c r="I79" i="4"/>
  <c r="K79" i="4" s="1"/>
  <c r="J79" i="4"/>
  <c r="L79" i="4" s="1"/>
  <c r="I71" i="4"/>
  <c r="K71" i="4" s="1"/>
  <c r="J71" i="4"/>
  <c r="L71" i="4" s="1"/>
  <c r="I63" i="4"/>
  <c r="K63" i="4" s="1"/>
  <c r="J63" i="4"/>
  <c r="L63" i="4" s="1"/>
  <c r="I55" i="4"/>
  <c r="K55" i="4" s="1"/>
  <c r="J55" i="4"/>
  <c r="L55" i="4" s="1"/>
  <c r="I47" i="4"/>
  <c r="K47" i="4" s="1"/>
  <c r="J47" i="4"/>
  <c r="L47" i="4" s="1"/>
  <c r="I39" i="4"/>
  <c r="K39" i="4" s="1"/>
  <c r="J39" i="4"/>
  <c r="L39" i="4" s="1"/>
  <c r="I31" i="4"/>
  <c r="K31" i="4" s="1"/>
  <c r="J31" i="4"/>
  <c r="L31" i="4" s="1"/>
  <c r="I23" i="4"/>
  <c r="K23" i="4" s="1"/>
  <c r="J23" i="4"/>
  <c r="L23" i="4" s="1"/>
  <c r="I15" i="4"/>
  <c r="K15" i="4" s="1"/>
  <c r="J15" i="4"/>
  <c r="L15" i="4" s="1"/>
  <c r="I7" i="4"/>
  <c r="K7" i="4" s="1"/>
  <c r="J7" i="4"/>
  <c r="L7" i="4" s="1"/>
  <c r="J283" i="4"/>
  <c r="L283" i="4" s="1"/>
  <c r="M283" i="4" s="1"/>
  <c r="J219" i="4"/>
  <c r="L219" i="4" s="1"/>
  <c r="M219" i="4" s="1"/>
  <c r="J155" i="4"/>
  <c r="L155" i="4" s="1"/>
  <c r="J91" i="4"/>
  <c r="L91" i="4" s="1"/>
  <c r="M91" i="4" s="1"/>
  <c r="J27" i="4"/>
  <c r="L27" i="4" s="1"/>
  <c r="J666" i="4"/>
  <c r="L666" i="4" s="1"/>
  <c r="J638" i="4"/>
  <c r="L638" i="4" s="1"/>
  <c r="M638" i="4" s="1"/>
  <c r="J602" i="4"/>
  <c r="L602" i="4" s="1"/>
  <c r="M602" i="4" s="1"/>
  <c r="J574" i="4"/>
  <c r="L574" i="4" s="1"/>
  <c r="M574" i="4" s="1"/>
  <c r="J538" i="4"/>
  <c r="L538" i="4" s="1"/>
  <c r="M538" i="4" s="1"/>
  <c r="J510" i="4"/>
  <c r="L510" i="4" s="1"/>
  <c r="M510" i="4" s="1"/>
  <c r="J474" i="4"/>
  <c r="L474" i="4" s="1"/>
  <c r="J446" i="4"/>
  <c r="L446" i="4" s="1"/>
  <c r="M446" i="4" s="1"/>
  <c r="J410" i="4"/>
  <c r="L410" i="4" s="1"/>
  <c r="M410" i="4" s="1"/>
  <c r="J382" i="4"/>
  <c r="L382" i="4" s="1"/>
  <c r="M382" i="4" s="1"/>
  <c r="J346" i="4"/>
  <c r="L346" i="4" s="1"/>
  <c r="M346" i="4" s="1"/>
  <c r="J318" i="4"/>
  <c r="L318" i="4" s="1"/>
  <c r="M318" i="4" s="1"/>
  <c r="J282" i="4"/>
  <c r="L282" i="4" s="1"/>
  <c r="M282" i="4" s="1"/>
  <c r="J254" i="4"/>
  <c r="L254" i="4" s="1"/>
  <c r="J243" i="4"/>
  <c r="L243" i="4" s="1"/>
  <c r="J218" i="4"/>
  <c r="L218" i="4" s="1"/>
  <c r="J190" i="4"/>
  <c r="L190" i="4" s="1"/>
  <c r="J179" i="4"/>
  <c r="L179" i="4" s="1"/>
  <c r="M179" i="4" s="1"/>
  <c r="J154" i="4"/>
  <c r="L154" i="4" s="1"/>
  <c r="M154" i="4" s="1"/>
  <c r="J126" i="4"/>
  <c r="L126" i="4" s="1"/>
  <c r="M126" i="4" s="1"/>
  <c r="J115" i="4"/>
  <c r="L115" i="4" s="1"/>
  <c r="M115" i="4" s="1"/>
  <c r="J90" i="4"/>
  <c r="L90" i="4" s="1"/>
  <c r="J62" i="4"/>
  <c r="L62" i="4" s="1"/>
  <c r="J51" i="4"/>
  <c r="L51" i="4" s="1"/>
  <c r="J26" i="4"/>
  <c r="L26" i="4" s="1"/>
  <c r="J662" i="4"/>
  <c r="L662" i="4" s="1"/>
  <c r="M662" i="4" s="1"/>
  <c r="J626" i="4"/>
  <c r="L626" i="4" s="1"/>
  <c r="M626" i="4" s="1"/>
  <c r="J598" i="4"/>
  <c r="L598" i="4" s="1"/>
  <c r="M598" i="4" s="1"/>
  <c r="J562" i="4"/>
  <c r="L562" i="4" s="1"/>
  <c r="M562" i="4" s="1"/>
  <c r="J534" i="4"/>
  <c r="L534" i="4" s="1"/>
  <c r="J498" i="4"/>
  <c r="L498" i="4" s="1"/>
  <c r="J470" i="4"/>
  <c r="L470" i="4" s="1"/>
  <c r="M470" i="4" s="1"/>
  <c r="J434" i="4"/>
  <c r="L434" i="4" s="1"/>
  <c r="J406" i="4"/>
  <c r="L406" i="4" s="1"/>
  <c r="M406" i="4" s="1"/>
  <c r="J370" i="4"/>
  <c r="L370" i="4" s="1"/>
  <c r="M370" i="4" s="1"/>
  <c r="J342" i="4"/>
  <c r="L342" i="4" s="1"/>
  <c r="N342" i="4" s="1"/>
  <c r="J306" i="4"/>
  <c r="L306" i="4" s="1"/>
  <c r="M306" i="4" s="1"/>
  <c r="J278" i="4"/>
  <c r="L278" i="4" s="1"/>
  <c r="M278" i="4" s="1"/>
  <c r="J267" i="4"/>
  <c r="L267" i="4" s="1"/>
  <c r="M267" i="4" s="1"/>
  <c r="J242" i="4"/>
  <c r="L242" i="4" s="1"/>
  <c r="J214" i="4"/>
  <c r="L214" i="4" s="1"/>
  <c r="J203" i="4"/>
  <c r="L203" i="4" s="1"/>
  <c r="M203" i="4" s="1"/>
  <c r="J178" i="4"/>
  <c r="L178" i="4" s="1"/>
  <c r="M178" i="4" s="1"/>
  <c r="J150" i="4"/>
  <c r="L150" i="4" s="1"/>
  <c r="M150" i="4" s="1"/>
  <c r="J139" i="4"/>
  <c r="L139" i="4" s="1"/>
  <c r="M139" i="4" s="1"/>
  <c r="J114" i="4"/>
  <c r="L114" i="4" s="1"/>
  <c r="J86" i="4"/>
  <c r="L86" i="4" s="1"/>
  <c r="J75" i="4"/>
  <c r="L75" i="4" s="1"/>
  <c r="J50" i="4"/>
  <c r="L50" i="4" s="1"/>
  <c r="J22" i="4"/>
  <c r="L22" i="4" s="1"/>
  <c r="M22" i="4" s="1"/>
  <c r="J11" i="4"/>
  <c r="L11" i="4" s="1"/>
  <c r="M11" i="4" s="1"/>
  <c r="J998" i="4"/>
  <c r="L998" i="4" s="1"/>
  <c r="M998" i="4" s="1"/>
  <c r="J990" i="4"/>
  <c r="L990" i="4" s="1"/>
  <c r="M990" i="4" s="1"/>
  <c r="J982" i="4"/>
  <c r="L982" i="4" s="1"/>
  <c r="M982" i="4" s="1"/>
  <c r="J974" i="4"/>
  <c r="L974" i="4" s="1"/>
  <c r="J966" i="4"/>
  <c r="L966" i="4" s="1"/>
  <c r="J958" i="4"/>
  <c r="L958" i="4" s="1"/>
  <c r="J950" i="4"/>
  <c r="L950" i="4" s="1"/>
  <c r="M950" i="4" s="1"/>
  <c r="J942" i="4"/>
  <c r="L942" i="4" s="1"/>
  <c r="J934" i="4"/>
  <c r="L934" i="4" s="1"/>
  <c r="M934" i="4" s="1"/>
  <c r="J926" i="4"/>
  <c r="L926" i="4" s="1"/>
  <c r="N926" i="4" s="1"/>
  <c r="J918" i="4"/>
  <c r="L918" i="4" s="1"/>
  <c r="J910" i="4"/>
  <c r="L910" i="4" s="1"/>
  <c r="J902" i="4"/>
  <c r="L902" i="4" s="1"/>
  <c r="J894" i="4"/>
  <c r="L894" i="4" s="1"/>
  <c r="J886" i="4"/>
  <c r="L886" i="4" s="1"/>
  <c r="M886" i="4" s="1"/>
  <c r="J878" i="4"/>
  <c r="L878" i="4" s="1"/>
  <c r="M878" i="4" s="1"/>
  <c r="J870" i="4"/>
  <c r="L870" i="4" s="1"/>
  <c r="N870" i="4" s="1"/>
  <c r="J862" i="4"/>
  <c r="L862" i="4" s="1"/>
  <c r="N862" i="4" s="1"/>
  <c r="J854" i="4"/>
  <c r="L854" i="4" s="1"/>
  <c r="J846" i="4"/>
  <c r="L846" i="4" s="1"/>
  <c r="J838" i="4"/>
  <c r="L838" i="4" s="1"/>
  <c r="J830" i="4"/>
  <c r="L830" i="4" s="1"/>
  <c r="J822" i="4"/>
  <c r="L822" i="4" s="1"/>
  <c r="M822" i="4" s="1"/>
  <c r="J814" i="4"/>
  <c r="L814" i="4" s="1"/>
  <c r="M814" i="4" s="1"/>
  <c r="J806" i="4"/>
  <c r="L806" i="4" s="1"/>
  <c r="M806" i="4" s="1"/>
  <c r="J798" i="4"/>
  <c r="L798" i="4" s="1"/>
  <c r="M798" i="4" s="1"/>
  <c r="J790" i="4"/>
  <c r="L790" i="4" s="1"/>
  <c r="M790" i="4" s="1"/>
  <c r="J782" i="4"/>
  <c r="L782" i="4" s="1"/>
  <c r="J774" i="4"/>
  <c r="L774" i="4" s="1"/>
  <c r="J766" i="4"/>
  <c r="L766" i="4" s="1"/>
  <c r="J758" i="4"/>
  <c r="L758" i="4" s="1"/>
  <c r="M758" i="4" s="1"/>
  <c r="J750" i="4"/>
  <c r="L750" i="4" s="1"/>
  <c r="M750" i="4" s="1"/>
  <c r="J742" i="4"/>
  <c r="L742" i="4" s="1"/>
  <c r="M742" i="4" s="1"/>
  <c r="J734" i="4"/>
  <c r="L734" i="4" s="1"/>
  <c r="M734" i="4" s="1"/>
  <c r="J726" i="4"/>
  <c r="L726" i="4" s="1"/>
  <c r="J718" i="4"/>
  <c r="L718" i="4" s="1"/>
  <c r="J710" i="4"/>
  <c r="L710" i="4" s="1"/>
  <c r="J702" i="4"/>
  <c r="L702" i="4" s="1"/>
  <c r="J694" i="4"/>
  <c r="L694" i="4" s="1"/>
  <c r="M694" i="4" s="1"/>
  <c r="J686" i="4"/>
  <c r="L686" i="4" s="1"/>
  <c r="M686" i="4" s="1"/>
  <c r="J650" i="4"/>
  <c r="L650" i="4" s="1"/>
  <c r="M650" i="4" s="1"/>
  <c r="J622" i="4"/>
  <c r="L622" i="4" s="1"/>
  <c r="M622" i="4" s="1"/>
  <c r="J586" i="4"/>
  <c r="L586" i="4" s="1"/>
  <c r="J558" i="4"/>
  <c r="L558" i="4" s="1"/>
  <c r="J522" i="4"/>
  <c r="L522" i="4" s="1"/>
  <c r="J494" i="4"/>
  <c r="L494" i="4" s="1"/>
  <c r="J458" i="4"/>
  <c r="L458" i="4" s="1"/>
  <c r="M458" i="4" s="1"/>
  <c r="J430" i="4"/>
  <c r="L430" i="4" s="1"/>
  <c r="M430" i="4" s="1"/>
  <c r="J394" i="4"/>
  <c r="L394" i="4" s="1"/>
  <c r="M394" i="4" s="1"/>
  <c r="J366" i="4"/>
  <c r="L366" i="4" s="1"/>
  <c r="M366" i="4" s="1"/>
  <c r="J330" i="4"/>
  <c r="L330" i="4" s="1"/>
  <c r="J302" i="4"/>
  <c r="L302" i="4" s="1"/>
  <c r="M302" i="4" s="1"/>
  <c r="J291" i="4"/>
  <c r="L291" i="4" s="1"/>
  <c r="M291" i="4" s="1"/>
  <c r="J266" i="4"/>
  <c r="L266" i="4" s="1"/>
  <c r="M266" i="4" s="1"/>
  <c r="J238" i="4"/>
  <c r="L238" i="4" s="1"/>
  <c r="M238" i="4" s="1"/>
  <c r="J227" i="4"/>
  <c r="L227" i="4" s="1"/>
  <c r="M227" i="4" s="1"/>
  <c r="J202" i="4"/>
  <c r="L202" i="4" s="1"/>
  <c r="M202" i="4" s="1"/>
  <c r="J174" i="4"/>
  <c r="L174" i="4" s="1"/>
  <c r="M174" i="4" s="1"/>
  <c r="J163" i="4"/>
  <c r="L163" i="4" s="1"/>
  <c r="J138" i="4"/>
  <c r="L138" i="4" s="1"/>
  <c r="J110" i="4"/>
  <c r="L110" i="4" s="1"/>
  <c r="J99" i="4"/>
  <c r="L99" i="4" s="1"/>
  <c r="J74" i="4"/>
  <c r="L74" i="4" s="1"/>
  <c r="M74" i="4" s="1"/>
  <c r="J46" i="4"/>
  <c r="L46" i="4" s="1"/>
  <c r="M46" i="4" s="1"/>
  <c r="J35" i="4"/>
  <c r="L35" i="4" s="1"/>
  <c r="M35" i="4" s="1"/>
  <c r="J10" i="4"/>
  <c r="L10" i="4" s="1"/>
  <c r="M10" i="4" s="1"/>
  <c r="J6" i="4"/>
  <c r="L6" i="4" s="1"/>
  <c r="M6" i="4" s="1"/>
  <c r="Q79" i="3"/>
  <c r="R79" i="3" s="1"/>
  <c r="S79" i="3" s="1"/>
  <c r="Q609" i="3"/>
  <c r="R609" i="3" s="1"/>
  <c r="S609" i="3" s="1"/>
  <c r="Q241" i="3"/>
  <c r="R241" i="3" s="1"/>
  <c r="S241" i="3" s="1"/>
  <c r="Q550" i="3"/>
  <c r="R550" i="3" s="1"/>
  <c r="S550" i="3" s="1"/>
  <c r="Q220" i="3"/>
  <c r="R220" i="3" s="1"/>
  <c r="S220" i="3" s="1"/>
  <c r="Q384" i="3"/>
  <c r="R384" i="3" s="1"/>
  <c r="S384" i="3" s="1"/>
  <c r="Q180" i="3"/>
  <c r="R180" i="3" s="1"/>
  <c r="S180" i="3" s="1"/>
  <c r="Q983" i="3"/>
  <c r="R983" i="3" s="1"/>
  <c r="S983" i="3" s="1"/>
  <c r="Q361" i="3"/>
  <c r="R361" i="3" s="1"/>
  <c r="S361" i="3" s="1"/>
  <c r="Q158" i="3"/>
  <c r="R158" i="3" s="1"/>
  <c r="S158" i="3" s="1"/>
  <c r="Q904" i="3"/>
  <c r="R904" i="3" s="1"/>
  <c r="S904" i="3" s="1"/>
  <c r="Q321" i="3"/>
  <c r="R321" i="3" s="1"/>
  <c r="S321" i="3" s="1"/>
  <c r="Q140" i="3"/>
  <c r="R140" i="3" s="1"/>
  <c r="S140" i="3" s="1"/>
  <c r="Q801" i="3"/>
  <c r="R801" i="3" s="1"/>
  <c r="S801" i="3" s="1"/>
  <c r="Q303" i="3"/>
  <c r="R303" i="3" s="1"/>
  <c r="S303" i="3" s="1"/>
  <c r="Q113" i="3"/>
  <c r="R113" i="3" s="1"/>
  <c r="S113" i="3" s="1"/>
  <c r="Q737" i="3"/>
  <c r="R737" i="3" s="1"/>
  <c r="S737" i="3" s="1"/>
  <c r="Q281" i="3"/>
  <c r="R281" i="3" s="1"/>
  <c r="S281" i="3" s="1"/>
  <c r="Q669" i="3"/>
  <c r="R669" i="3" s="1"/>
  <c r="S669" i="3" s="1"/>
  <c r="Q260" i="3"/>
  <c r="R260" i="3" s="1"/>
  <c r="S260" i="3" s="1"/>
  <c r="Q41" i="3"/>
  <c r="R41" i="3" s="1"/>
  <c r="S41" i="3" s="1"/>
  <c r="H1004" i="3"/>
  <c r="I1004" i="3" s="1"/>
  <c r="J1004" i="3" s="1"/>
  <c r="K1004" i="3" s="1"/>
  <c r="L1004" i="3" s="1"/>
  <c r="M1004" i="3" s="1"/>
  <c r="N1004" i="3" s="1"/>
  <c r="O1004" i="3" s="1"/>
  <c r="P1004" i="3" s="1"/>
  <c r="H996" i="3"/>
  <c r="I996" i="3" s="1"/>
  <c r="J996" i="3" s="1"/>
  <c r="K996" i="3" s="1"/>
  <c r="L996" i="3" s="1"/>
  <c r="M996" i="3" s="1"/>
  <c r="N996" i="3" s="1"/>
  <c r="O996" i="3" s="1"/>
  <c r="P996" i="3" s="1"/>
  <c r="H988" i="3"/>
  <c r="I988" i="3" s="1"/>
  <c r="J988" i="3" s="1"/>
  <c r="K988" i="3" s="1"/>
  <c r="L988" i="3" s="1"/>
  <c r="M988" i="3" s="1"/>
  <c r="N988" i="3" s="1"/>
  <c r="O988" i="3" s="1"/>
  <c r="P988" i="3" s="1"/>
  <c r="H980" i="3"/>
  <c r="I980" i="3" s="1"/>
  <c r="J980" i="3" s="1"/>
  <c r="K980" i="3" s="1"/>
  <c r="L980" i="3" s="1"/>
  <c r="M980" i="3" s="1"/>
  <c r="N980" i="3" s="1"/>
  <c r="O980" i="3" s="1"/>
  <c r="P980" i="3" s="1"/>
  <c r="H972" i="3"/>
  <c r="I972" i="3" s="1"/>
  <c r="J972" i="3" s="1"/>
  <c r="K972" i="3" s="1"/>
  <c r="L972" i="3" s="1"/>
  <c r="M972" i="3" s="1"/>
  <c r="N972" i="3" s="1"/>
  <c r="O972" i="3" s="1"/>
  <c r="P972" i="3" s="1"/>
  <c r="H964" i="3"/>
  <c r="I964" i="3" s="1"/>
  <c r="J964" i="3" s="1"/>
  <c r="K964" i="3" s="1"/>
  <c r="L964" i="3" s="1"/>
  <c r="M964" i="3" s="1"/>
  <c r="N964" i="3" s="1"/>
  <c r="O964" i="3" s="1"/>
  <c r="P964" i="3" s="1"/>
  <c r="H956" i="3"/>
  <c r="I956" i="3" s="1"/>
  <c r="J956" i="3" s="1"/>
  <c r="K956" i="3" s="1"/>
  <c r="L956" i="3" s="1"/>
  <c r="M956" i="3" s="1"/>
  <c r="N956" i="3" s="1"/>
  <c r="O956" i="3" s="1"/>
  <c r="P956" i="3" s="1"/>
  <c r="H948" i="3"/>
  <c r="I948" i="3" s="1"/>
  <c r="J948" i="3" s="1"/>
  <c r="K948" i="3" s="1"/>
  <c r="L948" i="3" s="1"/>
  <c r="M948" i="3" s="1"/>
  <c r="N948" i="3" s="1"/>
  <c r="O948" i="3" s="1"/>
  <c r="P948" i="3" s="1"/>
  <c r="H940" i="3"/>
  <c r="I940" i="3" s="1"/>
  <c r="J940" i="3" s="1"/>
  <c r="K940" i="3" s="1"/>
  <c r="L940" i="3" s="1"/>
  <c r="M940" i="3" s="1"/>
  <c r="N940" i="3" s="1"/>
  <c r="O940" i="3" s="1"/>
  <c r="P940" i="3" s="1"/>
  <c r="H932" i="3"/>
  <c r="I932" i="3" s="1"/>
  <c r="J932" i="3" s="1"/>
  <c r="K932" i="3" s="1"/>
  <c r="L932" i="3" s="1"/>
  <c r="M932" i="3" s="1"/>
  <c r="N932" i="3" s="1"/>
  <c r="O932" i="3" s="1"/>
  <c r="P932" i="3" s="1"/>
  <c r="H924" i="3"/>
  <c r="I924" i="3" s="1"/>
  <c r="J924" i="3" s="1"/>
  <c r="K924" i="3" s="1"/>
  <c r="L924" i="3" s="1"/>
  <c r="M924" i="3" s="1"/>
  <c r="N924" i="3" s="1"/>
  <c r="O924" i="3" s="1"/>
  <c r="P924" i="3" s="1"/>
  <c r="H916" i="3"/>
  <c r="I916" i="3" s="1"/>
  <c r="J916" i="3" s="1"/>
  <c r="K916" i="3" s="1"/>
  <c r="L916" i="3" s="1"/>
  <c r="M916" i="3" s="1"/>
  <c r="N916" i="3" s="1"/>
  <c r="O916" i="3" s="1"/>
  <c r="P916" i="3" s="1"/>
  <c r="H908" i="3"/>
  <c r="I908" i="3" s="1"/>
  <c r="J908" i="3" s="1"/>
  <c r="K908" i="3" s="1"/>
  <c r="L908" i="3" s="1"/>
  <c r="M908" i="3" s="1"/>
  <c r="N908" i="3" s="1"/>
  <c r="O908" i="3" s="1"/>
  <c r="P908" i="3" s="1"/>
  <c r="H900" i="3"/>
  <c r="I900" i="3" s="1"/>
  <c r="J900" i="3" s="1"/>
  <c r="K900" i="3" s="1"/>
  <c r="L900" i="3" s="1"/>
  <c r="M900" i="3" s="1"/>
  <c r="N900" i="3" s="1"/>
  <c r="O900" i="3" s="1"/>
  <c r="P900" i="3" s="1"/>
  <c r="H884" i="3"/>
  <c r="I884" i="3" s="1"/>
  <c r="J884" i="3" s="1"/>
  <c r="K884" i="3" s="1"/>
  <c r="L884" i="3" s="1"/>
  <c r="M884" i="3" s="1"/>
  <c r="N884" i="3" s="1"/>
  <c r="O884" i="3" s="1"/>
  <c r="P884" i="3" s="1"/>
  <c r="H876" i="3"/>
  <c r="I876" i="3" s="1"/>
  <c r="J876" i="3" s="1"/>
  <c r="K876" i="3" s="1"/>
  <c r="L876" i="3" s="1"/>
  <c r="M876" i="3" s="1"/>
  <c r="N876" i="3" s="1"/>
  <c r="O876" i="3" s="1"/>
  <c r="P876" i="3" s="1"/>
  <c r="H868" i="3"/>
  <c r="I868" i="3" s="1"/>
  <c r="J868" i="3" s="1"/>
  <c r="K868" i="3" s="1"/>
  <c r="L868" i="3" s="1"/>
  <c r="M868" i="3" s="1"/>
  <c r="N868" i="3" s="1"/>
  <c r="O868" i="3" s="1"/>
  <c r="P868" i="3" s="1"/>
  <c r="H860" i="3"/>
  <c r="I860" i="3" s="1"/>
  <c r="J860" i="3" s="1"/>
  <c r="K860" i="3" s="1"/>
  <c r="L860" i="3" s="1"/>
  <c r="M860" i="3" s="1"/>
  <c r="N860" i="3" s="1"/>
  <c r="O860" i="3" s="1"/>
  <c r="P860" i="3" s="1"/>
  <c r="H852" i="3"/>
  <c r="I852" i="3" s="1"/>
  <c r="J852" i="3" s="1"/>
  <c r="K852" i="3" s="1"/>
  <c r="L852" i="3" s="1"/>
  <c r="M852" i="3" s="1"/>
  <c r="N852" i="3" s="1"/>
  <c r="O852" i="3" s="1"/>
  <c r="P852" i="3" s="1"/>
  <c r="H844" i="3"/>
  <c r="I844" i="3" s="1"/>
  <c r="J844" i="3" s="1"/>
  <c r="K844" i="3" s="1"/>
  <c r="L844" i="3" s="1"/>
  <c r="M844" i="3" s="1"/>
  <c r="N844" i="3" s="1"/>
  <c r="O844" i="3" s="1"/>
  <c r="P844" i="3" s="1"/>
  <c r="H836" i="3"/>
  <c r="I836" i="3" s="1"/>
  <c r="J836" i="3" s="1"/>
  <c r="K836" i="3" s="1"/>
  <c r="L836" i="3" s="1"/>
  <c r="M836" i="3" s="1"/>
  <c r="N836" i="3" s="1"/>
  <c r="O836" i="3" s="1"/>
  <c r="P836" i="3" s="1"/>
  <c r="H820" i="3"/>
  <c r="I820" i="3" s="1"/>
  <c r="J820" i="3" s="1"/>
  <c r="K820" i="3" s="1"/>
  <c r="L820" i="3" s="1"/>
  <c r="M820" i="3" s="1"/>
  <c r="N820" i="3" s="1"/>
  <c r="O820" i="3" s="1"/>
  <c r="P820" i="3" s="1"/>
  <c r="H812" i="3"/>
  <c r="I812" i="3" s="1"/>
  <c r="J812" i="3" s="1"/>
  <c r="K812" i="3" s="1"/>
  <c r="L812" i="3" s="1"/>
  <c r="M812" i="3" s="1"/>
  <c r="N812" i="3" s="1"/>
  <c r="O812" i="3" s="1"/>
  <c r="P812" i="3" s="1"/>
  <c r="H804" i="3"/>
  <c r="I804" i="3" s="1"/>
  <c r="J804" i="3" s="1"/>
  <c r="K804" i="3" s="1"/>
  <c r="L804" i="3" s="1"/>
  <c r="M804" i="3" s="1"/>
  <c r="N804" i="3" s="1"/>
  <c r="O804" i="3" s="1"/>
  <c r="P804" i="3" s="1"/>
  <c r="H796" i="3"/>
  <c r="I796" i="3" s="1"/>
  <c r="J796" i="3" s="1"/>
  <c r="K796" i="3" s="1"/>
  <c r="L796" i="3" s="1"/>
  <c r="M796" i="3" s="1"/>
  <c r="N796" i="3" s="1"/>
  <c r="O796" i="3" s="1"/>
  <c r="P796" i="3" s="1"/>
  <c r="H788" i="3"/>
  <c r="I788" i="3" s="1"/>
  <c r="J788" i="3" s="1"/>
  <c r="K788" i="3" s="1"/>
  <c r="L788" i="3" s="1"/>
  <c r="M788" i="3" s="1"/>
  <c r="N788" i="3" s="1"/>
  <c r="O788" i="3" s="1"/>
  <c r="P788" i="3" s="1"/>
  <c r="H780" i="3"/>
  <c r="I780" i="3" s="1"/>
  <c r="J780" i="3" s="1"/>
  <c r="K780" i="3" s="1"/>
  <c r="L780" i="3" s="1"/>
  <c r="M780" i="3" s="1"/>
  <c r="N780" i="3" s="1"/>
  <c r="O780" i="3" s="1"/>
  <c r="P780" i="3" s="1"/>
  <c r="H772" i="3"/>
  <c r="I772" i="3" s="1"/>
  <c r="J772" i="3" s="1"/>
  <c r="K772" i="3" s="1"/>
  <c r="L772" i="3" s="1"/>
  <c r="M772" i="3" s="1"/>
  <c r="N772" i="3" s="1"/>
  <c r="O772" i="3" s="1"/>
  <c r="P772" i="3" s="1"/>
  <c r="H756" i="3"/>
  <c r="I756" i="3" s="1"/>
  <c r="J756" i="3" s="1"/>
  <c r="K756" i="3" s="1"/>
  <c r="L756" i="3" s="1"/>
  <c r="M756" i="3" s="1"/>
  <c r="N756" i="3" s="1"/>
  <c r="O756" i="3" s="1"/>
  <c r="P756" i="3" s="1"/>
  <c r="H748" i="3"/>
  <c r="I748" i="3" s="1"/>
  <c r="J748" i="3" s="1"/>
  <c r="K748" i="3" s="1"/>
  <c r="L748" i="3" s="1"/>
  <c r="M748" i="3" s="1"/>
  <c r="N748" i="3" s="1"/>
  <c r="O748" i="3" s="1"/>
  <c r="P748" i="3" s="1"/>
  <c r="H740" i="3"/>
  <c r="I740" i="3" s="1"/>
  <c r="J740" i="3" s="1"/>
  <c r="K740" i="3" s="1"/>
  <c r="L740" i="3" s="1"/>
  <c r="M740" i="3" s="1"/>
  <c r="N740" i="3" s="1"/>
  <c r="O740" i="3" s="1"/>
  <c r="P740" i="3" s="1"/>
  <c r="H732" i="3"/>
  <c r="I732" i="3" s="1"/>
  <c r="J732" i="3" s="1"/>
  <c r="K732" i="3" s="1"/>
  <c r="L732" i="3" s="1"/>
  <c r="M732" i="3" s="1"/>
  <c r="N732" i="3" s="1"/>
  <c r="O732" i="3" s="1"/>
  <c r="P732" i="3" s="1"/>
  <c r="H724" i="3"/>
  <c r="I724" i="3" s="1"/>
  <c r="J724" i="3" s="1"/>
  <c r="K724" i="3" s="1"/>
  <c r="L724" i="3" s="1"/>
  <c r="M724" i="3" s="1"/>
  <c r="N724" i="3" s="1"/>
  <c r="O724" i="3" s="1"/>
  <c r="P724" i="3" s="1"/>
  <c r="H716" i="3"/>
  <c r="I716" i="3" s="1"/>
  <c r="J716" i="3" s="1"/>
  <c r="K716" i="3" s="1"/>
  <c r="L716" i="3" s="1"/>
  <c r="M716" i="3" s="1"/>
  <c r="N716" i="3" s="1"/>
  <c r="O716" i="3" s="1"/>
  <c r="P716" i="3" s="1"/>
  <c r="H708" i="3"/>
  <c r="I708" i="3" s="1"/>
  <c r="J708" i="3" s="1"/>
  <c r="K708" i="3" s="1"/>
  <c r="L708" i="3" s="1"/>
  <c r="M708" i="3" s="1"/>
  <c r="N708" i="3" s="1"/>
  <c r="O708" i="3" s="1"/>
  <c r="P708" i="3" s="1"/>
  <c r="H692" i="3"/>
  <c r="I692" i="3" s="1"/>
  <c r="J692" i="3" s="1"/>
  <c r="K692" i="3" s="1"/>
  <c r="L692" i="3" s="1"/>
  <c r="M692" i="3" s="1"/>
  <c r="N692" i="3" s="1"/>
  <c r="O692" i="3" s="1"/>
  <c r="P692" i="3" s="1"/>
  <c r="H684" i="3"/>
  <c r="I684" i="3" s="1"/>
  <c r="J684" i="3" s="1"/>
  <c r="K684" i="3" s="1"/>
  <c r="L684" i="3" s="1"/>
  <c r="M684" i="3" s="1"/>
  <c r="N684" i="3" s="1"/>
  <c r="O684" i="3" s="1"/>
  <c r="P684" i="3" s="1"/>
  <c r="H676" i="3"/>
  <c r="I676" i="3" s="1"/>
  <c r="J676" i="3" s="1"/>
  <c r="K676" i="3" s="1"/>
  <c r="L676" i="3" s="1"/>
  <c r="M676" i="3" s="1"/>
  <c r="N676" i="3" s="1"/>
  <c r="O676" i="3" s="1"/>
  <c r="P676" i="3" s="1"/>
  <c r="H668" i="3"/>
  <c r="I668" i="3" s="1"/>
  <c r="J668" i="3" s="1"/>
  <c r="K668" i="3" s="1"/>
  <c r="L668" i="3" s="1"/>
  <c r="M668" i="3" s="1"/>
  <c r="N668" i="3" s="1"/>
  <c r="O668" i="3" s="1"/>
  <c r="P668" i="3" s="1"/>
  <c r="H660" i="3"/>
  <c r="I660" i="3" s="1"/>
  <c r="J660" i="3" s="1"/>
  <c r="K660" i="3" s="1"/>
  <c r="L660" i="3" s="1"/>
  <c r="M660" i="3" s="1"/>
  <c r="N660" i="3" s="1"/>
  <c r="O660" i="3" s="1"/>
  <c r="P660" i="3" s="1"/>
  <c r="H644" i="3"/>
  <c r="I644" i="3" s="1"/>
  <c r="J644" i="3" s="1"/>
  <c r="K644" i="3" s="1"/>
  <c r="L644" i="3" s="1"/>
  <c r="M644" i="3" s="1"/>
  <c r="N644" i="3" s="1"/>
  <c r="O644" i="3" s="1"/>
  <c r="P644" i="3" s="1"/>
  <c r="H636" i="3"/>
  <c r="I636" i="3" s="1"/>
  <c r="J636" i="3" s="1"/>
  <c r="K636" i="3" s="1"/>
  <c r="L636" i="3" s="1"/>
  <c r="M636" i="3" s="1"/>
  <c r="N636" i="3" s="1"/>
  <c r="O636" i="3" s="1"/>
  <c r="P636" i="3" s="1"/>
  <c r="H628" i="3"/>
  <c r="I628" i="3" s="1"/>
  <c r="J628" i="3" s="1"/>
  <c r="K628" i="3" s="1"/>
  <c r="L628" i="3" s="1"/>
  <c r="M628" i="3" s="1"/>
  <c r="N628" i="3" s="1"/>
  <c r="O628" i="3" s="1"/>
  <c r="P628" i="3" s="1"/>
  <c r="H620" i="3"/>
  <c r="I620" i="3" s="1"/>
  <c r="J620" i="3" s="1"/>
  <c r="K620" i="3" s="1"/>
  <c r="L620" i="3" s="1"/>
  <c r="M620" i="3" s="1"/>
  <c r="N620" i="3" s="1"/>
  <c r="O620" i="3" s="1"/>
  <c r="P620" i="3" s="1"/>
  <c r="H612" i="3"/>
  <c r="I612" i="3" s="1"/>
  <c r="J612" i="3" s="1"/>
  <c r="K612" i="3" s="1"/>
  <c r="L612" i="3" s="1"/>
  <c r="M612" i="3" s="1"/>
  <c r="N612" i="3" s="1"/>
  <c r="O612" i="3" s="1"/>
  <c r="P612" i="3" s="1"/>
  <c r="H604" i="3"/>
  <c r="I604" i="3" s="1"/>
  <c r="J604" i="3" s="1"/>
  <c r="K604" i="3" s="1"/>
  <c r="L604" i="3" s="1"/>
  <c r="M604" i="3" s="1"/>
  <c r="N604" i="3" s="1"/>
  <c r="O604" i="3" s="1"/>
  <c r="P604" i="3" s="1"/>
  <c r="H596" i="3"/>
  <c r="I596" i="3" s="1"/>
  <c r="J596" i="3" s="1"/>
  <c r="K596" i="3" s="1"/>
  <c r="L596" i="3" s="1"/>
  <c r="M596" i="3" s="1"/>
  <c r="N596" i="3" s="1"/>
  <c r="O596" i="3" s="1"/>
  <c r="P596" i="3" s="1"/>
  <c r="H588" i="3"/>
  <c r="I588" i="3" s="1"/>
  <c r="J588" i="3" s="1"/>
  <c r="K588" i="3" s="1"/>
  <c r="L588" i="3" s="1"/>
  <c r="M588" i="3" s="1"/>
  <c r="N588" i="3" s="1"/>
  <c r="O588" i="3" s="1"/>
  <c r="P588" i="3" s="1"/>
  <c r="H580" i="3"/>
  <c r="I580" i="3" s="1"/>
  <c r="J580" i="3" s="1"/>
  <c r="K580" i="3" s="1"/>
  <c r="L580" i="3" s="1"/>
  <c r="M580" i="3" s="1"/>
  <c r="N580" i="3" s="1"/>
  <c r="O580" i="3" s="1"/>
  <c r="P580" i="3" s="1"/>
  <c r="H572" i="3"/>
  <c r="I572" i="3" s="1"/>
  <c r="J572" i="3" s="1"/>
  <c r="K572" i="3" s="1"/>
  <c r="L572" i="3" s="1"/>
  <c r="M572" i="3" s="1"/>
  <c r="N572" i="3" s="1"/>
  <c r="O572" i="3" s="1"/>
  <c r="P572" i="3" s="1"/>
  <c r="H564" i="3"/>
  <c r="I564" i="3" s="1"/>
  <c r="J564" i="3" s="1"/>
  <c r="K564" i="3" s="1"/>
  <c r="L564" i="3" s="1"/>
  <c r="M564" i="3" s="1"/>
  <c r="N564" i="3" s="1"/>
  <c r="O564" i="3" s="1"/>
  <c r="P564" i="3" s="1"/>
  <c r="H556" i="3"/>
  <c r="I556" i="3" s="1"/>
  <c r="J556" i="3" s="1"/>
  <c r="K556" i="3" s="1"/>
  <c r="L556" i="3" s="1"/>
  <c r="M556" i="3" s="1"/>
  <c r="N556" i="3" s="1"/>
  <c r="O556" i="3" s="1"/>
  <c r="P556" i="3" s="1"/>
  <c r="H548" i="3"/>
  <c r="I548" i="3" s="1"/>
  <c r="J548" i="3" s="1"/>
  <c r="K548" i="3" s="1"/>
  <c r="L548" i="3" s="1"/>
  <c r="M548" i="3" s="1"/>
  <c r="N548" i="3" s="1"/>
  <c r="O548" i="3" s="1"/>
  <c r="P548" i="3" s="1"/>
  <c r="H540" i="3"/>
  <c r="I540" i="3" s="1"/>
  <c r="J540" i="3" s="1"/>
  <c r="K540" i="3" s="1"/>
  <c r="L540" i="3" s="1"/>
  <c r="M540" i="3" s="1"/>
  <c r="N540" i="3" s="1"/>
  <c r="O540" i="3" s="1"/>
  <c r="P540" i="3" s="1"/>
  <c r="H532" i="3"/>
  <c r="I532" i="3" s="1"/>
  <c r="J532" i="3" s="1"/>
  <c r="K532" i="3" s="1"/>
  <c r="L532" i="3" s="1"/>
  <c r="M532" i="3" s="1"/>
  <c r="N532" i="3" s="1"/>
  <c r="O532" i="3" s="1"/>
  <c r="P532" i="3" s="1"/>
  <c r="H524" i="3"/>
  <c r="I524" i="3" s="1"/>
  <c r="J524" i="3" s="1"/>
  <c r="K524" i="3" s="1"/>
  <c r="L524" i="3" s="1"/>
  <c r="M524" i="3" s="1"/>
  <c r="N524" i="3" s="1"/>
  <c r="O524" i="3" s="1"/>
  <c r="P524" i="3" s="1"/>
  <c r="H516" i="3"/>
  <c r="I516" i="3" s="1"/>
  <c r="J516" i="3" s="1"/>
  <c r="K516" i="3" s="1"/>
  <c r="L516" i="3" s="1"/>
  <c r="M516" i="3" s="1"/>
  <c r="N516" i="3" s="1"/>
  <c r="O516" i="3" s="1"/>
  <c r="P516" i="3" s="1"/>
  <c r="H500" i="3"/>
  <c r="I500" i="3" s="1"/>
  <c r="J500" i="3" s="1"/>
  <c r="K500" i="3" s="1"/>
  <c r="L500" i="3" s="1"/>
  <c r="M500" i="3" s="1"/>
  <c r="N500" i="3" s="1"/>
  <c r="O500" i="3" s="1"/>
  <c r="P500" i="3" s="1"/>
  <c r="H492" i="3"/>
  <c r="I492" i="3" s="1"/>
  <c r="J492" i="3" s="1"/>
  <c r="K492" i="3" s="1"/>
  <c r="L492" i="3" s="1"/>
  <c r="M492" i="3" s="1"/>
  <c r="N492" i="3" s="1"/>
  <c r="O492" i="3" s="1"/>
  <c r="P492" i="3" s="1"/>
  <c r="H484" i="3"/>
  <c r="I484" i="3" s="1"/>
  <c r="J484" i="3" s="1"/>
  <c r="K484" i="3" s="1"/>
  <c r="L484" i="3" s="1"/>
  <c r="M484" i="3" s="1"/>
  <c r="N484" i="3" s="1"/>
  <c r="O484" i="3" s="1"/>
  <c r="P484" i="3" s="1"/>
  <c r="H476" i="3"/>
  <c r="I476" i="3" s="1"/>
  <c r="J476" i="3" s="1"/>
  <c r="K476" i="3" s="1"/>
  <c r="L476" i="3" s="1"/>
  <c r="M476" i="3" s="1"/>
  <c r="N476" i="3" s="1"/>
  <c r="O476" i="3" s="1"/>
  <c r="P476" i="3" s="1"/>
  <c r="H468" i="3"/>
  <c r="I468" i="3" s="1"/>
  <c r="J468" i="3" s="1"/>
  <c r="K468" i="3" s="1"/>
  <c r="L468" i="3" s="1"/>
  <c r="M468" i="3" s="1"/>
  <c r="N468" i="3" s="1"/>
  <c r="O468" i="3" s="1"/>
  <c r="P468" i="3" s="1"/>
  <c r="H460" i="3"/>
  <c r="I460" i="3" s="1"/>
  <c r="J460" i="3" s="1"/>
  <c r="K460" i="3" s="1"/>
  <c r="L460" i="3" s="1"/>
  <c r="M460" i="3" s="1"/>
  <c r="N460" i="3" s="1"/>
  <c r="O460" i="3" s="1"/>
  <c r="P460" i="3" s="1"/>
  <c r="H452" i="3"/>
  <c r="I452" i="3" s="1"/>
  <c r="J452" i="3" s="1"/>
  <c r="K452" i="3" s="1"/>
  <c r="L452" i="3" s="1"/>
  <c r="M452" i="3" s="1"/>
  <c r="N452" i="3" s="1"/>
  <c r="O452" i="3" s="1"/>
  <c r="P452" i="3" s="1"/>
  <c r="H444" i="3"/>
  <c r="I444" i="3" s="1"/>
  <c r="J444" i="3" s="1"/>
  <c r="K444" i="3" s="1"/>
  <c r="L444" i="3" s="1"/>
  <c r="M444" i="3" s="1"/>
  <c r="N444" i="3" s="1"/>
  <c r="O444" i="3" s="1"/>
  <c r="P444" i="3" s="1"/>
  <c r="Q700" i="3"/>
  <c r="R700" i="3" s="1"/>
  <c r="S700" i="3" s="1"/>
  <c r="H1003" i="3"/>
  <c r="I1003" i="3" s="1"/>
  <c r="J1003" i="3" s="1"/>
  <c r="K1003" i="3" s="1"/>
  <c r="L1003" i="3" s="1"/>
  <c r="M1003" i="3" s="1"/>
  <c r="N1003" i="3" s="1"/>
  <c r="O1003" i="3" s="1"/>
  <c r="P1003" i="3" s="1"/>
  <c r="H995" i="3"/>
  <c r="I995" i="3" s="1"/>
  <c r="J995" i="3" s="1"/>
  <c r="K995" i="3" s="1"/>
  <c r="L995" i="3" s="1"/>
  <c r="M995" i="3" s="1"/>
  <c r="N995" i="3" s="1"/>
  <c r="O995" i="3" s="1"/>
  <c r="P995" i="3" s="1"/>
  <c r="H987" i="3"/>
  <c r="H979" i="3"/>
  <c r="I979" i="3" s="1"/>
  <c r="J979" i="3" s="1"/>
  <c r="K979" i="3" s="1"/>
  <c r="L979" i="3" s="1"/>
  <c r="M979" i="3" s="1"/>
  <c r="N979" i="3" s="1"/>
  <c r="O979" i="3" s="1"/>
  <c r="P979" i="3" s="1"/>
  <c r="H971" i="3"/>
  <c r="I971" i="3" s="1"/>
  <c r="J971" i="3" s="1"/>
  <c r="K971" i="3" s="1"/>
  <c r="L971" i="3" s="1"/>
  <c r="M971" i="3" s="1"/>
  <c r="N971" i="3" s="1"/>
  <c r="O971" i="3" s="1"/>
  <c r="P971" i="3" s="1"/>
  <c r="H963" i="3"/>
  <c r="I963" i="3" s="1"/>
  <c r="J963" i="3" s="1"/>
  <c r="K963" i="3" s="1"/>
  <c r="L963" i="3" s="1"/>
  <c r="M963" i="3" s="1"/>
  <c r="N963" i="3" s="1"/>
  <c r="O963" i="3" s="1"/>
  <c r="P963" i="3" s="1"/>
  <c r="H955" i="3"/>
  <c r="H947" i="3"/>
  <c r="I947" i="3" s="1"/>
  <c r="J947" i="3" s="1"/>
  <c r="K947" i="3" s="1"/>
  <c r="L947" i="3" s="1"/>
  <c r="M947" i="3" s="1"/>
  <c r="N947" i="3" s="1"/>
  <c r="O947" i="3" s="1"/>
  <c r="P947" i="3" s="1"/>
  <c r="H939" i="3"/>
  <c r="I939" i="3" s="1"/>
  <c r="J939" i="3" s="1"/>
  <c r="K939" i="3" s="1"/>
  <c r="L939" i="3" s="1"/>
  <c r="M939" i="3" s="1"/>
  <c r="N939" i="3" s="1"/>
  <c r="O939" i="3" s="1"/>
  <c r="P939" i="3" s="1"/>
  <c r="H931" i="3"/>
  <c r="I931" i="3" s="1"/>
  <c r="J931" i="3" s="1"/>
  <c r="K931" i="3" s="1"/>
  <c r="L931" i="3" s="1"/>
  <c r="M931" i="3" s="1"/>
  <c r="N931" i="3" s="1"/>
  <c r="O931" i="3" s="1"/>
  <c r="P931" i="3" s="1"/>
  <c r="Q931" i="3" s="1"/>
  <c r="R931" i="3" s="1"/>
  <c r="S931" i="3" s="1"/>
  <c r="H923" i="3"/>
  <c r="H915" i="3"/>
  <c r="I915" i="3" s="1"/>
  <c r="J915" i="3" s="1"/>
  <c r="K915" i="3" s="1"/>
  <c r="L915" i="3" s="1"/>
  <c r="M915" i="3" s="1"/>
  <c r="N915" i="3" s="1"/>
  <c r="O915" i="3" s="1"/>
  <c r="P915" i="3" s="1"/>
  <c r="H907" i="3"/>
  <c r="I907" i="3" s="1"/>
  <c r="J907" i="3" s="1"/>
  <c r="K907" i="3" s="1"/>
  <c r="L907" i="3" s="1"/>
  <c r="M907" i="3" s="1"/>
  <c r="N907" i="3" s="1"/>
  <c r="O907" i="3" s="1"/>
  <c r="P907" i="3" s="1"/>
  <c r="H899" i="3"/>
  <c r="I899" i="3" s="1"/>
  <c r="J899" i="3" s="1"/>
  <c r="K899" i="3" s="1"/>
  <c r="L899" i="3" s="1"/>
  <c r="M899" i="3" s="1"/>
  <c r="N899" i="3" s="1"/>
  <c r="O899" i="3" s="1"/>
  <c r="P899" i="3" s="1"/>
  <c r="H891" i="3"/>
  <c r="H883" i="3"/>
  <c r="I883" i="3" s="1"/>
  <c r="J883" i="3" s="1"/>
  <c r="K883" i="3" s="1"/>
  <c r="L883" i="3" s="1"/>
  <c r="M883" i="3" s="1"/>
  <c r="N883" i="3" s="1"/>
  <c r="O883" i="3" s="1"/>
  <c r="P883" i="3" s="1"/>
  <c r="H875" i="3"/>
  <c r="I875" i="3" s="1"/>
  <c r="J875" i="3" s="1"/>
  <c r="K875" i="3" s="1"/>
  <c r="L875" i="3" s="1"/>
  <c r="M875" i="3" s="1"/>
  <c r="N875" i="3" s="1"/>
  <c r="O875" i="3" s="1"/>
  <c r="P875" i="3" s="1"/>
  <c r="H867" i="3"/>
  <c r="I867" i="3" s="1"/>
  <c r="J867" i="3" s="1"/>
  <c r="K867" i="3" s="1"/>
  <c r="L867" i="3" s="1"/>
  <c r="M867" i="3" s="1"/>
  <c r="N867" i="3" s="1"/>
  <c r="O867" i="3" s="1"/>
  <c r="P867" i="3" s="1"/>
  <c r="H859" i="3"/>
  <c r="H851" i="3"/>
  <c r="I851" i="3" s="1"/>
  <c r="J851" i="3" s="1"/>
  <c r="K851" i="3" s="1"/>
  <c r="L851" i="3" s="1"/>
  <c r="M851" i="3" s="1"/>
  <c r="N851" i="3" s="1"/>
  <c r="O851" i="3" s="1"/>
  <c r="P851" i="3" s="1"/>
  <c r="H843" i="3"/>
  <c r="I843" i="3" s="1"/>
  <c r="J843" i="3" s="1"/>
  <c r="K843" i="3" s="1"/>
  <c r="L843" i="3" s="1"/>
  <c r="M843" i="3" s="1"/>
  <c r="N843" i="3" s="1"/>
  <c r="O843" i="3" s="1"/>
  <c r="P843" i="3" s="1"/>
  <c r="H835" i="3"/>
  <c r="I835" i="3" s="1"/>
  <c r="J835" i="3" s="1"/>
  <c r="K835" i="3" s="1"/>
  <c r="L835" i="3" s="1"/>
  <c r="M835" i="3" s="1"/>
  <c r="N835" i="3" s="1"/>
  <c r="O835" i="3" s="1"/>
  <c r="P835" i="3" s="1"/>
  <c r="Q835" i="3" s="1"/>
  <c r="R835" i="3" s="1"/>
  <c r="S835" i="3" s="1"/>
  <c r="H827" i="3"/>
  <c r="H819" i="3"/>
  <c r="I819" i="3" s="1"/>
  <c r="J819" i="3" s="1"/>
  <c r="K819" i="3" s="1"/>
  <c r="L819" i="3" s="1"/>
  <c r="M819" i="3" s="1"/>
  <c r="N819" i="3" s="1"/>
  <c r="O819" i="3" s="1"/>
  <c r="P819" i="3" s="1"/>
  <c r="H811" i="3"/>
  <c r="I811" i="3" s="1"/>
  <c r="J811" i="3" s="1"/>
  <c r="K811" i="3" s="1"/>
  <c r="L811" i="3" s="1"/>
  <c r="M811" i="3" s="1"/>
  <c r="N811" i="3" s="1"/>
  <c r="O811" i="3" s="1"/>
  <c r="P811" i="3" s="1"/>
  <c r="H803" i="3"/>
  <c r="I803" i="3" s="1"/>
  <c r="J803" i="3" s="1"/>
  <c r="K803" i="3" s="1"/>
  <c r="L803" i="3" s="1"/>
  <c r="M803" i="3" s="1"/>
  <c r="N803" i="3" s="1"/>
  <c r="O803" i="3" s="1"/>
  <c r="P803" i="3" s="1"/>
  <c r="H795" i="3"/>
  <c r="H787" i="3"/>
  <c r="I787" i="3" s="1"/>
  <c r="J787" i="3" s="1"/>
  <c r="K787" i="3" s="1"/>
  <c r="L787" i="3" s="1"/>
  <c r="M787" i="3" s="1"/>
  <c r="N787" i="3" s="1"/>
  <c r="O787" i="3" s="1"/>
  <c r="P787" i="3" s="1"/>
  <c r="H779" i="3"/>
  <c r="I779" i="3" s="1"/>
  <c r="J779" i="3" s="1"/>
  <c r="K779" i="3" s="1"/>
  <c r="L779" i="3" s="1"/>
  <c r="M779" i="3" s="1"/>
  <c r="N779" i="3" s="1"/>
  <c r="O779" i="3" s="1"/>
  <c r="P779" i="3" s="1"/>
  <c r="H771" i="3"/>
  <c r="I771" i="3" s="1"/>
  <c r="J771" i="3" s="1"/>
  <c r="K771" i="3" s="1"/>
  <c r="L771" i="3" s="1"/>
  <c r="M771" i="3" s="1"/>
  <c r="N771" i="3" s="1"/>
  <c r="O771" i="3" s="1"/>
  <c r="P771" i="3" s="1"/>
  <c r="H763" i="3"/>
  <c r="H755" i="3"/>
  <c r="I755" i="3" s="1"/>
  <c r="J755" i="3" s="1"/>
  <c r="K755" i="3" s="1"/>
  <c r="L755" i="3" s="1"/>
  <c r="M755" i="3" s="1"/>
  <c r="N755" i="3" s="1"/>
  <c r="O755" i="3" s="1"/>
  <c r="P755" i="3" s="1"/>
  <c r="H747" i="3"/>
  <c r="I747" i="3" s="1"/>
  <c r="J747" i="3" s="1"/>
  <c r="K747" i="3" s="1"/>
  <c r="L747" i="3" s="1"/>
  <c r="M747" i="3" s="1"/>
  <c r="N747" i="3" s="1"/>
  <c r="O747" i="3" s="1"/>
  <c r="P747" i="3" s="1"/>
  <c r="H739" i="3"/>
  <c r="I739" i="3" s="1"/>
  <c r="J739" i="3" s="1"/>
  <c r="K739" i="3" s="1"/>
  <c r="L739" i="3" s="1"/>
  <c r="M739" i="3" s="1"/>
  <c r="N739" i="3" s="1"/>
  <c r="O739" i="3" s="1"/>
  <c r="P739" i="3" s="1"/>
  <c r="H731" i="3"/>
  <c r="H723" i="3"/>
  <c r="I723" i="3" s="1"/>
  <c r="J723" i="3" s="1"/>
  <c r="K723" i="3" s="1"/>
  <c r="L723" i="3" s="1"/>
  <c r="M723" i="3" s="1"/>
  <c r="N723" i="3" s="1"/>
  <c r="O723" i="3" s="1"/>
  <c r="P723" i="3" s="1"/>
  <c r="H715" i="3"/>
  <c r="I715" i="3" s="1"/>
  <c r="J715" i="3" s="1"/>
  <c r="K715" i="3" s="1"/>
  <c r="L715" i="3" s="1"/>
  <c r="M715" i="3" s="1"/>
  <c r="N715" i="3" s="1"/>
  <c r="O715" i="3" s="1"/>
  <c r="P715" i="3" s="1"/>
  <c r="H707" i="3"/>
  <c r="I707" i="3" s="1"/>
  <c r="J707" i="3" s="1"/>
  <c r="K707" i="3" s="1"/>
  <c r="L707" i="3" s="1"/>
  <c r="M707" i="3" s="1"/>
  <c r="N707" i="3" s="1"/>
  <c r="O707" i="3" s="1"/>
  <c r="P707" i="3" s="1"/>
  <c r="H699" i="3"/>
  <c r="H691" i="3"/>
  <c r="I691" i="3" s="1"/>
  <c r="J691" i="3" s="1"/>
  <c r="K691" i="3" s="1"/>
  <c r="L691" i="3" s="1"/>
  <c r="M691" i="3" s="1"/>
  <c r="N691" i="3" s="1"/>
  <c r="O691" i="3" s="1"/>
  <c r="P691" i="3" s="1"/>
  <c r="H683" i="3"/>
  <c r="I683" i="3" s="1"/>
  <c r="J683" i="3" s="1"/>
  <c r="K683" i="3" s="1"/>
  <c r="L683" i="3" s="1"/>
  <c r="M683" i="3" s="1"/>
  <c r="N683" i="3" s="1"/>
  <c r="O683" i="3" s="1"/>
  <c r="P683" i="3" s="1"/>
  <c r="H675" i="3"/>
  <c r="I675" i="3" s="1"/>
  <c r="J675" i="3" s="1"/>
  <c r="K675" i="3" s="1"/>
  <c r="L675" i="3" s="1"/>
  <c r="M675" i="3" s="1"/>
  <c r="N675" i="3" s="1"/>
  <c r="O675" i="3" s="1"/>
  <c r="P675" i="3" s="1"/>
  <c r="H667" i="3"/>
  <c r="H659" i="3"/>
  <c r="I659" i="3" s="1"/>
  <c r="J659" i="3" s="1"/>
  <c r="K659" i="3" s="1"/>
  <c r="L659" i="3" s="1"/>
  <c r="M659" i="3" s="1"/>
  <c r="N659" i="3" s="1"/>
  <c r="O659" i="3" s="1"/>
  <c r="P659" i="3" s="1"/>
  <c r="H651" i="3"/>
  <c r="I651" i="3" s="1"/>
  <c r="J651" i="3" s="1"/>
  <c r="K651" i="3" s="1"/>
  <c r="L651" i="3" s="1"/>
  <c r="M651" i="3" s="1"/>
  <c r="N651" i="3" s="1"/>
  <c r="O651" i="3" s="1"/>
  <c r="P651" i="3" s="1"/>
  <c r="H643" i="3"/>
  <c r="I643" i="3" s="1"/>
  <c r="J643" i="3" s="1"/>
  <c r="K643" i="3" s="1"/>
  <c r="L643" i="3" s="1"/>
  <c r="M643" i="3" s="1"/>
  <c r="N643" i="3" s="1"/>
  <c r="O643" i="3" s="1"/>
  <c r="P643" i="3" s="1"/>
  <c r="H635" i="3"/>
  <c r="H627" i="3"/>
  <c r="I627" i="3" s="1"/>
  <c r="J627" i="3" s="1"/>
  <c r="K627" i="3" s="1"/>
  <c r="L627" i="3" s="1"/>
  <c r="M627" i="3" s="1"/>
  <c r="N627" i="3" s="1"/>
  <c r="O627" i="3" s="1"/>
  <c r="P627" i="3" s="1"/>
  <c r="Q975" i="3"/>
  <c r="R975" i="3" s="1"/>
  <c r="S975" i="3" s="1"/>
  <c r="Q892" i="3"/>
  <c r="R892" i="3" s="1"/>
  <c r="S892" i="3" s="1"/>
  <c r="Q790" i="3"/>
  <c r="R790" i="3" s="1"/>
  <c r="S790" i="3" s="1"/>
  <c r="Q687" i="3"/>
  <c r="R687" i="3" s="1"/>
  <c r="S687" i="3" s="1"/>
  <c r="Q527" i="3"/>
  <c r="R527" i="3" s="1"/>
  <c r="S527" i="3" s="1"/>
  <c r="Q200" i="3"/>
  <c r="R200" i="3" s="1"/>
  <c r="S200" i="3" s="1"/>
  <c r="H1002" i="3"/>
  <c r="I1002" i="3" s="1"/>
  <c r="J1002" i="3" s="1"/>
  <c r="K1002" i="3" s="1"/>
  <c r="L1002" i="3" s="1"/>
  <c r="M1002" i="3" s="1"/>
  <c r="N1002" i="3" s="1"/>
  <c r="O1002" i="3" s="1"/>
  <c r="P1002" i="3" s="1"/>
  <c r="H994" i="3"/>
  <c r="I994" i="3" s="1"/>
  <c r="J994" i="3" s="1"/>
  <c r="K994" i="3" s="1"/>
  <c r="L994" i="3" s="1"/>
  <c r="M994" i="3" s="1"/>
  <c r="N994" i="3" s="1"/>
  <c r="O994" i="3" s="1"/>
  <c r="P994" i="3" s="1"/>
  <c r="H986" i="3"/>
  <c r="I986" i="3" s="1"/>
  <c r="J986" i="3" s="1"/>
  <c r="K986" i="3" s="1"/>
  <c r="L986" i="3" s="1"/>
  <c r="M986" i="3" s="1"/>
  <c r="N986" i="3" s="1"/>
  <c r="O986" i="3" s="1"/>
  <c r="P986" i="3" s="1"/>
  <c r="H978" i="3"/>
  <c r="H970" i="3"/>
  <c r="I970" i="3" s="1"/>
  <c r="J970" i="3" s="1"/>
  <c r="K970" i="3" s="1"/>
  <c r="L970" i="3" s="1"/>
  <c r="M970" i="3" s="1"/>
  <c r="N970" i="3" s="1"/>
  <c r="O970" i="3" s="1"/>
  <c r="P970" i="3" s="1"/>
  <c r="H962" i="3"/>
  <c r="I962" i="3" s="1"/>
  <c r="J962" i="3" s="1"/>
  <c r="K962" i="3" s="1"/>
  <c r="L962" i="3" s="1"/>
  <c r="M962" i="3" s="1"/>
  <c r="N962" i="3" s="1"/>
  <c r="O962" i="3" s="1"/>
  <c r="P962" i="3" s="1"/>
  <c r="H954" i="3"/>
  <c r="I954" i="3" s="1"/>
  <c r="J954" i="3" s="1"/>
  <c r="K954" i="3" s="1"/>
  <c r="L954" i="3" s="1"/>
  <c r="M954" i="3" s="1"/>
  <c r="N954" i="3" s="1"/>
  <c r="O954" i="3" s="1"/>
  <c r="P954" i="3" s="1"/>
  <c r="H946" i="3"/>
  <c r="H938" i="3"/>
  <c r="I938" i="3" s="1"/>
  <c r="J938" i="3" s="1"/>
  <c r="K938" i="3" s="1"/>
  <c r="L938" i="3" s="1"/>
  <c r="M938" i="3" s="1"/>
  <c r="N938" i="3" s="1"/>
  <c r="O938" i="3" s="1"/>
  <c r="P938" i="3" s="1"/>
  <c r="H930" i="3"/>
  <c r="I930" i="3" s="1"/>
  <c r="J930" i="3" s="1"/>
  <c r="K930" i="3" s="1"/>
  <c r="L930" i="3" s="1"/>
  <c r="M930" i="3" s="1"/>
  <c r="N930" i="3" s="1"/>
  <c r="O930" i="3" s="1"/>
  <c r="P930" i="3" s="1"/>
  <c r="H922" i="3"/>
  <c r="I922" i="3" s="1"/>
  <c r="J922" i="3" s="1"/>
  <c r="K922" i="3" s="1"/>
  <c r="L922" i="3" s="1"/>
  <c r="M922" i="3" s="1"/>
  <c r="N922" i="3" s="1"/>
  <c r="O922" i="3" s="1"/>
  <c r="P922" i="3" s="1"/>
  <c r="H914" i="3"/>
  <c r="H906" i="3"/>
  <c r="I906" i="3" s="1"/>
  <c r="J906" i="3" s="1"/>
  <c r="K906" i="3" s="1"/>
  <c r="L906" i="3" s="1"/>
  <c r="M906" i="3" s="1"/>
  <c r="N906" i="3" s="1"/>
  <c r="O906" i="3" s="1"/>
  <c r="P906" i="3" s="1"/>
  <c r="H898" i="3"/>
  <c r="I898" i="3" s="1"/>
  <c r="J898" i="3" s="1"/>
  <c r="K898" i="3" s="1"/>
  <c r="L898" i="3" s="1"/>
  <c r="M898" i="3" s="1"/>
  <c r="N898" i="3" s="1"/>
  <c r="O898" i="3" s="1"/>
  <c r="P898" i="3" s="1"/>
  <c r="H890" i="3"/>
  <c r="I890" i="3" s="1"/>
  <c r="J890" i="3" s="1"/>
  <c r="K890" i="3" s="1"/>
  <c r="L890" i="3" s="1"/>
  <c r="M890" i="3" s="1"/>
  <c r="N890" i="3" s="1"/>
  <c r="O890" i="3" s="1"/>
  <c r="P890" i="3" s="1"/>
  <c r="H882" i="3"/>
  <c r="H874" i="3"/>
  <c r="I874" i="3" s="1"/>
  <c r="J874" i="3" s="1"/>
  <c r="K874" i="3" s="1"/>
  <c r="L874" i="3" s="1"/>
  <c r="M874" i="3" s="1"/>
  <c r="N874" i="3" s="1"/>
  <c r="O874" i="3" s="1"/>
  <c r="P874" i="3" s="1"/>
  <c r="H866" i="3"/>
  <c r="I866" i="3" s="1"/>
  <c r="J866" i="3" s="1"/>
  <c r="K866" i="3" s="1"/>
  <c r="L866" i="3" s="1"/>
  <c r="M866" i="3" s="1"/>
  <c r="N866" i="3" s="1"/>
  <c r="O866" i="3" s="1"/>
  <c r="P866" i="3" s="1"/>
  <c r="H858" i="3"/>
  <c r="I858" i="3" s="1"/>
  <c r="J858" i="3" s="1"/>
  <c r="K858" i="3" s="1"/>
  <c r="L858" i="3" s="1"/>
  <c r="M858" i="3" s="1"/>
  <c r="N858" i="3" s="1"/>
  <c r="O858" i="3" s="1"/>
  <c r="P858" i="3" s="1"/>
  <c r="H850" i="3"/>
  <c r="H842" i="3"/>
  <c r="I842" i="3" s="1"/>
  <c r="J842" i="3" s="1"/>
  <c r="K842" i="3" s="1"/>
  <c r="L842" i="3" s="1"/>
  <c r="M842" i="3" s="1"/>
  <c r="N842" i="3" s="1"/>
  <c r="O842" i="3" s="1"/>
  <c r="P842" i="3" s="1"/>
  <c r="H834" i="3"/>
  <c r="I834" i="3" s="1"/>
  <c r="J834" i="3" s="1"/>
  <c r="K834" i="3" s="1"/>
  <c r="L834" i="3" s="1"/>
  <c r="M834" i="3" s="1"/>
  <c r="N834" i="3" s="1"/>
  <c r="O834" i="3" s="1"/>
  <c r="P834" i="3" s="1"/>
  <c r="H826" i="3"/>
  <c r="I826" i="3" s="1"/>
  <c r="J826" i="3" s="1"/>
  <c r="K826" i="3" s="1"/>
  <c r="L826" i="3" s="1"/>
  <c r="M826" i="3" s="1"/>
  <c r="N826" i="3" s="1"/>
  <c r="O826" i="3" s="1"/>
  <c r="P826" i="3" s="1"/>
  <c r="H818" i="3"/>
  <c r="H810" i="3"/>
  <c r="I810" i="3" s="1"/>
  <c r="J810" i="3" s="1"/>
  <c r="K810" i="3" s="1"/>
  <c r="L810" i="3" s="1"/>
  <c r="M810" i="3" s="1"/>
  <c r="N810" i="3" s="1"/>
  <c r="O810" i="3" s="1"/>
  <c r="P810" i="3" s="1"/>
  <c r="H802" i="3"/>
  <c r="I802" i="3" s="1"/>
  <c r="J802" i="3" s="1"/>
  <c r="K802" i="3" s="1"/>
  <c r="L802" i="3" s="1"/>
  <c r="M802" i="3" s="1"/>
  <c r="N802" i="3" s="1"/>
  <c r="O802" i="3" s="1"/>
  <c r="P802" i="3" s="1"/>
  <c r="H794" i="3"/>
  <c r="I794" i="3" s="1"/>
  <c r="J794" i="3" s="1"/>
  <c r="K794" i="3" s="1"/>
  <c r="L794" i="3" s="1"/>
  <c r="M794" i="3" s="1"/>
  <c r="N794" i="3" s="1"/>
  <c r="O794" i="3" s="1"/>
  <c r="P794" i="3" s="1"/>
  <c r="H786" i="3"/>
  <c r="H778" i="3"/>
  <c r="I778" i="3" s="1"/>
  <c r="J778" i="3" s="1"/>
  <c r="K778" i="3" s="1"/>
  <c r="L778" i="3" s="1"/>
  <c r="M778" i="3" s="1"/>
  <c r="N778" i="3" s="1"/>
  <c r="O778" i="3" s="1"/>
  <c r="P778" i="3" s="1"/>
  <c r="H770" i="3"/>
  <c r="I770" i="3" s="1"/>
  <c r="J770" i="3" s="1"/>
  <c r="K770" i="3" s="1"/>
  <c r="L770" i="3" s="1"/>
  <c r="M770" i="3" s="1"/>
  <c r="N770" i="3" s="1"/>
  <c r="O770" i="3" s="1"/>
  <c r="P770" i="3" s="1"/>
  <c r="H762" i="3"/>
  <c r="I762" i="3" s="1"/>
  <c r="J762" i="3" s="1"/>
  <c r="K762" i="3" s="1"/>
  <c r="L762" i="3" s="1"/>
  <c r="M762" i="3" s="1"/>
  <c r="N762" i="3" s="1"/>
  <c r="O762" i="3" s="1"/>
  <c r="P762" i="3" s="1"/>
  <c r="H754" i="3"/>
  <c r="H746" i="3"/>
  <c r="I746" i="3" s="1"/>
  <c r="J746" i="3" s="1"/>
  <c r="K746" i="3" s="1"/>
  <c r="L746" i="3" s="1"/>
  <c r="M746" i="3" s="1"/>
  <c r="N746" i="3" s="1"/>
  <c r="O746" i="3" s="1"/>
  <c r="P746" i="3" s="1"/>
  <c r="H738" i="3"/>
  <c r="I738" i="3" s="1"/>
  <c r="J738" i="3" s="1"/>
  <c r="K738" i="3" s="1"/>
  <c r="L738" i="3" s="1"/>
  <c r="M738" i="3" s="1"/>
  <c r="N738" i="3" s="1"/>
  <c r="O738" i="3" s="1"/>
  <c r="P738" i="3" s="1"/>
  <c r="H730" i="3"/>
  <c r="I730" i="3" s="1"/>
  <c r="J730" i="3" s="1"/>
  <c r="K730" i="3" s="1"/>
  <c r="L730" i="3" s="1"/>
  <c r="M730" i="3" s="1"/>
  <c r="N730" i="3" s="1"/>
  <c r="O730" i="3" s="1"/>
  <c r="P730" i="3" s="1"/>
  <c r="H722" i="3"/>
  <c r="H714" i="3"/>
  <c r="I714" i="3" s="1"/>
  <c r="J714" i="3" s="1"/>
  <c r="K714" i="3" s="1"/>
  <c r="L714" i="3" s="1"/>
  <c r="M714" i="3" s="1"/>
  <c r="N714" i="3" s="1"/>
  <c r="O714" i="3" s="1"/>
  <c r="P714" i="3" s="1"/>
  <c r="H706" i="3"/>
  <c r="I706" i="3" s="1"/>
  <c r="J706" i="3" s="1"/>
  <c r="K706" i="3" s="1"/>
  <c r="L706" i="3" s="1"/>
  <c r="M706" i="3" s="1"/>
  <c r="N706" i="3" s="1"/>
  <c r="O706" i="3" s="1"/>
  <c r="P706" i="3" s="1"/>
  <c r="H698" i="3"/>
  <c r="I698" i="3" s="1"/>
  <c r="J698" i="3" s="1"/>
  <c r="K698" i="3" s="1"/>
  <c r="L698" i="3" s="1"/>
  <c r="M698" i="3" s="1"/>
  <c r="N698" i="3" s="1"/>
  <c r="O698" i="3" s="1"/>
  <c r="P698" i="3" s="1"/>
  <c r="H690" i="3"/>
  <c r="H682" i="3"/>
  <c r="I682" i="3" s="1"/>
  <c r="J682" i="3" s="1"/>
  <c r="K682" i="3" s="1"/>
  <c r="L682" i="3" s="1"/>
  <c r="M682" i="3" s="1"/>
  <c r="N682" i="3" s="1"/>
  <c r="O682" i="3" s="1"/>
  <c r="P682" i="3" s="1"/>
  <c r="H674" i="3"/>
  <c r="I674" i="3" s="1"/>
  <c r="J674" i="3" s="1"/>
  <c r="K674" i="3" s="1"/>
  <c r="L674" i="3" s="1"/>
  <c r="M674" i="3" s="1"/>
  <c r="N674" i="3" s="1"/>
  <c r="O674" i="3" s="1"/>
  <c r="P674" i="3" s="1"/>
  <c r="H666" i="3"/>
  <c r="I666" i="3" s="1"/>
  <c r="J666" i="3" s="1"/>
  <c r="K666" i="3" s="1"/>
  <c r="L666" i="3" s="1"/>
  <c r="M666" i="3" s="1"/>
  <c r="N666" i="3" s="1"/>
  <c r="O666" i="3" s="1"/>
  <c r="P666" i="3" s="1"/>
  <c r="H658" i="3"/>
  <c r="H650" i="3"/>
  <c r="I650" i="3" s="1"/>
  <c r="J650" i="3" s="1"/>
  <c r="K650" i="3" s="1"/>
  <c r="L650" i="3" s="1"/>
  <c r="M650" i="3" s="1"/>
  <c r="N650" i="3" s="1"/>
  <c r="O650" i="3" s="1"/>
  <c r="P650" i="3" s="1"/>
  <c r="H642" i="3"/>
  <c r="I642" i="3" s="1"/>
  <c r="J642" i="3" s="1"/>
  <c r="K642" i="3" s="1"/>
  <c r="L642" i="3" s="1"/>
  <c r="M642" i="3" s="1"/>
  <c r="N642" i="3" s="1"/>
  <c r="O642" i="3" s="1"/>
  <c r="P642" i="3" s="1"/>
  <c r="H634" i="3"/>
  <c r="I634" i="3" s="1"/>
  <c r="J634" i="3" s="1"/>
  <c r="K634" i="3" s="1"/>
  <c r="L634" i="3" s="1"/>
  <c r="M634" i="3" s="1"/>
  <c r="N634" i="3" s="1"/>
  <c r="O634" i="3" s="1"/>
  <c r="P634" i="3" s="1"/>
  <c r="H626" i="3"/>
  <c r="H618" i="3"/>
  <c r="I618" i="3" s="1"/>
  <c r="J618" i="3" s="1"/>
  <c r="K618" i="3" s="1"/>
  <c r="L618" i="3" s="1"/>
  <c r="M618" i="3" s="1"/>
  <c r="N618" i="3" s="1"/>
  <c r="O618" i="3" s="1"/>
  <c r="P618" i="3" s="1"/>
  <c r="Q967" i="3"/>
  <c r="R967" i="3" s="1"/>
  <c r="S967" i="3" s="1"/>
  <c r="Q879" i="3"/>
  <c r="R879" i="3" s="1"/>
  <c r="S879" i="3" s="1"/>
  <c r="Q776" i="3"/>
  <c r="R776" i="3" s="1"/>
  <c r="S776" i="3" s="1"/>
  <c r="Q508" i="3"/>
  <c r="R508" i="3" s="1"/>
  <c r="S508" i="3" s="1"/>
  <c r="Q344" i="3"/>
  <c r="R344" i="3" s="1"/>
  <c r="S344" i="3" s="1"/>
  <c r="H1001" i="3"/>
  <c r="I1001" i="3" s="1"/>
  <c r="J1001" i="3" s="1"/>
  <c r="K1001" i="3" s="1"/>
  <c r="L1001" i="3" s="1"/>
  <c r="M1001" i="3" s="1"/>
  <c r="N1001" i="3" s="1"/>
  <c r="O1001" i="3" s="1"/>
  <c r="P1001" i="3" s="1"/>
  <c r="H993" i="3"/>
  <c r="I993" i="3" s="1"/>
  <c r="J993" i="3" s="1"/>
  <c r="K993" i="3" s="1"/>
  <c r="L993" i="3" s="1"/>
  <c r="M993" i="3" s="1"/>
  <c r="N993" i="3" s="1"/>
  <c r="O993" i="3" s="1"/>
  <c r="P993" i="3" s="1"/>
  <c r="H985" i="3"/>
  <c r="I985" i="3" s="1"/>
  <c r="J985" i="3" s="1"/>
  <c r="K985" i="3" s="1"/>
  <c r="L985" i="3" s="1"/>
  <c r="M985" i="3" s="1"/>
  <c r="N985" i="3" s="1"/>
  <c r="O985" i="3" s="1"/>
  <c r="P985" i="3" s="1"/>
  <c r="H977" i="3"/>
  <c r="I977" i="3" s="1"/>
  <c r="J977" i="3" s="1"/>
  <c r="K977" i="3" s="1"/>
  <c r="L977" i="3" s="1"/>
  <c r="M977" i="3" s="1"/>
  <c r="N977" i="3" s="1"/>
  <c r="O977" i="3" s="1"/>
  <c r="P977" i="3" s="1"/>
  <c r="H969" i="3"/>
  <c r="I969" i="3" s="1"/>
  <c r="J969" i="3" s="1"/>
  <c r="K969" i="3" s="1"/>
  <c r="L969" i="3" s="1"/>
  <c r="M969" i="3" s="1"/>
  <c r="N969" i="3" s="1"/>
  <c r="O969" i="3" s="1"/>
  <c r="P969" i="3" s="1"/>
  <c r="H961" i="3"/>
  <c r="I961" i="3" s="1"/>
  <c r="J961" i="3" s="1"/>
  <c r="K961" i="3" s="1"/>
  <c r="L961" i="3" s="1"/>
  <c r="M961" i="3" s="1"/>
  <c r="N961" i="3" s="1"/>
  <c r="O961" i="3" s="1"/>
  <c r="P961" i="3" s="1"/>
  <c r="H953" i="3"/>
  <c r="I953" i="3" s="1"/>
  <c r="J953" i="3" s="1"/>
  <c r="K953" i="3" s="1"/>
  <c r="L953" i="3" s="1"/>
  <c r="M953" i="3" s="1"/>
  <c r="N953" i="3" s="1"/>
  <c r="O953" i="3" s="1"/>
  <c r="P953" i="3" s="1"/>
  <c r="H945" i="3"/>
  <c r="I945" i="3" s="1"/>
  <c r="J945" i="3" s="1"/>
  <c r="K945" i="3" s="1"/>
  <c r="L945" i="3" s="1"/>
  <c r="M945" i="3" s="1"/>
  <c r="N945" i="3" s="1"/>
  <c r="O945" i="3" s="1"/>
  <c r="P945" i="3" s="1"/>
  <c r="H937" i="3"/>
  <c r="I937" i="3" s="1"/>
  <c r="J937" i="3" s="1"/>
  <c r="K937" i="3" s="1"/>
  <c r="L937" i="3" s="1"/>
  <c r="M937" i="3" s="1"/>
  <c r="N937" i="3" s="1"/>
  <c r="O937" i="3" s="1"/>
  <c r="P937" i="3" s="1"/>
  <c r="H921" i="3"/>
  <c r="I921" i="3" s="1"/>
  <c r="J921" i="3" s="1"/>
  <c r="K921" i="3" s="1"/>
  <c r="L921" i="3" s="1"/>
  <c r="M921" i="3" s="1"/>
  <c r="N921" i="3" s="1"/>
  <c r="O921" i="3" s="1"/>
  <c r="P921" i="3" s="1"/>
  <c r="H913" i="3"/>
  <c r="I913" i="3" s="1"/>
  <c r="J913" i="3" s="1"/>
  <c r="K913" i="3" s="1"/>
  <c r="L913" i="3" s="1"/>
  <c r="M913" i="3" s="1"/>
  <c r="N913" i="3" s="1"/>
  <c r="O913" i="3" s="1"/>
  <c r="P913" i="3" s="1"/>
  <c r="H905" i="3"/>
  <c r="I905" i="3" s="1"/>
  <c r="J905" i="3" s="1"/>
  <c r="K905" i="3" s="1"/>
  <c r="L905" i="3" s="1"/>
  <c r="M905" i="3" s="1"/>
  <c r="N905" i="3" s="1"/>
  <c r="O905" i="3" s="1"/>
  <c r="P905" i="3" s="1"/>
  <c r="H897" i="3"/>
  <c r="I897" i="3" s="1"/>
  <c r="J897" i="3" s="1"/>
  <c r="K897" i="3" s="1"/>
  <c r="L897" i="3" s="1"/>
  <c r="M897" i="3" s="1"/>
  <c r="N897" i="3" s="1"/>
  <c r="O897" i="3" s="1"/>
  <c r="P897" i="3" s="1"/>
  <c r="H889" i="3"/>
  <c r="I889" i="3" s="1"/>
  <c r="J889" i="3" s="1"/>
  <c r="K889" i="3" s="1"/>
  <c r="L889" i="3" s="1"/>
  <c r="M889" i="3" s="1"/>
  <c r="N889" i="3" s="1"/>
  <c r="O889" i="3" s="1"/>
  <c r="P889" i="3" s="1"/>
  <c r="H881" i="3"/>
  <c r="I881" i="3" s="1"/>
  <c r="J881" i="3" s="1"/>
  <c r="K881" i="3" s="1"/>
  <c r="L881" i="3" s="1"/>
  <c r="M881" i="3" s="1"/>
  <c r="N881" i="3" s="1"/>
  <c r="O881" i="3" s="1"/>
  <c r="P881" i="3" s="1"/>
  <c r="H873" i="3"/>
  <c r="I873" i="3" s="1"/>
  <c r="J873" i="3" s="1"/>
  <c r="K873" i="3" s="1"/>
  <c r="L873" i="3" s="1"/>
  <c r="M873" i="3" s="1"/>
  <c r="N873" i="3" s="1"/>
  <c r="O873" i="3" s="1"/>
  <c r="P873" i="3" s="1"/>
  <c r="H857" i="3"/>
  <c r="I857" i="3" s="1"/>
  <c r="J857" i="3" s="1"/>
  <c r="K857" i="3" s="1"/>
  <c r="L857" i="3" s="1"/>
  <c r="M857" i="3" s="1"/>
  <c r="N857" i="3" s="1"/>
  <c r="O857" i="3" s="1"/>
  <c r="P857" i="3" s="1"/>
  <c r="H849" i="3"/>
  <c r="I849" i="3" s="1"/>
  <c r="J849" i="3" s="1"/>
  <c r="K849" i="3" s="1"/>
  <c r="L849" i="3" s="1"/>
  <c r="M849" i="3" s="1"/>
  <c r="N849" i="3" s="1"/>
  <c r="O849" i="3" s="1"/>
  <c r="P849" i="3" s="1"/>
  <c r="H841" i="3"/>
  <c r="I841" i="3" s="1"/>
  <c r="J841" i="3" s="1"/>
  <c r="K841" i="3" s="1"/>
  <c r="L841" i="3" s="1"/>
  <c r="M841" i="3" s="1"/>
  <c r="N841" i="3" s="1"/>
  <c r="O841" i="3" s="1"/>
  <c r="P841" i="3" s="1"/>
  <c r="H833" i="3"/>
  <c r="I833" i="3" s="1"/>
  <c r="J833" i="3" s="1"/>
  <c r="K833" i="3" s="1"/>
  <c r="L833" i="3" s="1"/>
  <c r="M833" i="3" s="1"/>
  <c r="N833" i="3" s="1"/>
  <c r="O833" i="3" s="1"/>
  <c r="P833" i="3" s="1"/>
  <c r="H825" i="3"/>
  <c r="I825" i="3" s="1"/>
  <c r="J825" i="3" s="1"/>
  <c r="K825" i="3" s="1"/>
  <c r="L825" i="3" s="1"/>
  <c r="M825" i="3" s="1"/>
  <c r="N825" i="3" s="1"/>
  <c r="O825" i="3" s="1"/>
  <c r="P825" i="3" s="1"/>
  <c r="H817" i="3"/>
  <c r="I817" i="3" s="1"/>
  <c r="J817" i="3" s="1"/>
  <c r="K817" i="3" s="1"/>
  <c r="L817" i="3" s="1"/>
  <c r="M817" i="3" s="1"/>
  <c r="N817" i="3" s="1"/>
  <c r="O817" i="3" s="1"/>
  <c r="P817" i="3" s="1"/>
  <c r="H809" i="3"/>
  <c r="I809" i="3" s="1"/>
  <c r="J809" i="3" s="1"/>
  <c r="K809" i="3" s="1"/>
  <c r="L809" i="3" s="1"/>
  <c r="M809" i="3" s="1"/>
  <c r="N809" i="3" s="1"/>
  <c r="O809" i="3" s="1"/>
  <c r="P809" i="3" s="1"/>
  <c r="H793" i="3"/>
  <c r="I793" i="3" s="1"/>
  <c r="J793" i="3" s="1"/>
  <c r="K793" i="3" s="1"/>
  <c r="L793" i="3" s="1"/>
  <c r="M793" i="3" s="1"/>
  <c r="N793" i="3" s="1"/>
  <c r="O793" i="3" s="1"/>
  <c r="P793" i="3" s="1"/>
  <c r="H785" i="3"/>
  <c r="I785" i="3" s="1"/>
  <c r="J785" i="3" s="1"/>
  <c r="K785" i="3" s="1"/>
  <c r="L785" i="3" s="1"/>
  <c r="M785" i="3" s="1"/>
  <c r="N785" i="3" s="1"/>
  <c r="O785" i="3" s="1"/>
  <c r="P785" i="3" s="1"/>
  <c r="H777" i="3"/>
  <c r="I777" i="3" s="1"/>
  <c r="J777" i="3" s="1"/>
  <c r="K777" i="3" s="1"/>
  <c r="L777" i="3" s="1"/>
  <c r="M777" i="3" s="1"/>
  <c r="N777" i="3" s="1"/>
  <c r="O777" i="3" s="1"/>
  <c r="P777" i="3" s="1"/>
  <c r="H769" i="3"/>
  <c r="I769" i="3" s="1"/>
  <c r="J769" i="3" s="1"/>
  <c r="K769" i="3" s="1"/>
  <c r="L769" i="3" s="1"/>
  <c r="M769" i="3" s="1"/>
  <c r="N769" i="3" s="1"/>
  <c r="O769" i="3" s="1"/>
  <c r="P769" i="3" s="1"/>
  <c r="H761" i="3"/>
  <c r="I761" i="3" s="1"/>
  <c r="J761" i="3" s="1"/>
  <c r="K761" i="3" s="1"/>
  <c r="L761" i="3" s="1"/>
  <c r="M761" i="3" s="1"/>
  <c r="N761" i="3" s="1"/>
  <c r="O761" i="3" s="1"/>
  <c r="P761" i="3" s="1"/>
  <c r="H753" i="3"/>
  <c r="I753" i="3" s="1"/>
  <c r="J753" i="3" s="1"/>
  <c r="K753" i="3" s="1"/>
  <c r="L753" i="3" s="1"/>
  <c r="M753" i="3" s="1"/>
  <c r="N753" i="3" s="1"/>
  <c r="O753" i="3" s="1"/>
  <c r="P753" i="3" s="1"/>
  <c r="H745" i="3"/>
  <c r="I745" i="3" s="1"/>
  <c r="J745" i="3" s="1"/>
  <c r="K745" i="3" s="1"/>
  <c r="L745" i="3" s="1"/>
  <c r="M745" i="3" s="1"/>
  <c r="N745" i="3" s="1"/>
  <c r="O745" i="3" s="1"/>
  <c r="P745" i="3" s="1"/>
  <c r="H729" i="3"/>
  <c r="I729" i="3" s="1"/>
  <c r="J729" i="3" s="1"/>
  <c r="K729" i="3" s="1"/>
  <c r="L729" i="3" s="1"/>
  <c r="M729" i="3" s="1"/>
  <c r="N729" i="3" s="1"/>
  <c r="O729" i="3" s="1"/>
  <c r="P729" i="3" s="1"/>
  <c r="H721" i="3"/>
  <c r="I721" i="3" s="1"/>
  <c r="J721" i="3" s="1"/>
  <c r="K721" i="3" s="1"/>
  <c r="L721" i="3" s="1"/>
  <c r="M721" i="3" s="1"/>
  <c r="N721" i="3" s="1"/>
  <c r="O721" i="3" s="1"/>
  <c r="P721" i="3" s="1"/>
  <c r="H713" i="3"/>
  <c r="I713" i="3" s="1"/>
  <c r="J713" i="3" s="1"/>
  <c r="K713" i="3" s="1"/>
  <c r="L713" i="3" s="1"/>
  <c r="M713" i="3" s="1"/>
  <c r="N713" i="3" s="1"/>
  <c r="O713" i="3" s="1"/>
  <c r="P713" i="3" s="1"/>
  <c r="H705" i="3"/>
  <c r="I705" i="3" s="1"/>
  <c r="J705" i="3" s="1"/>
  <c r="K705" i="3" s="1"/>
  <c r="L705" i="3" s="1"/>
  <c r="M705" i="3" s="1"/>
  <c r="N705" i="3" s="1"/>
  <c r="O705" i="3" s="1"/>
  <c r="P705" i="3" s="1"/>
  <c r="H697" i="3"/>
  <c r="I697" i="3" s="1"/>
  <c r="J697" i="3" s="1"/>
  <c r="K697" i="3" s="1"/>
  <c r="L697" i="3" s="1"/>
  <c r="M697" i="3" s="1"/>
  <c r="N697" i="3" s="1"/>
  <c r="O697" i="3" s="1"/>
  <c r="P697" i="3" s="1"/>
  <c r="H689" i="3"/>
  <c r="I689" i="3" s="1"/>
  <c r="J689" i="3" s="1"/>
  <c r="K689" i="3" s="1"/>
  <c r="L689" i="3" s="1"/>
  <c r="M689" i="3" s="1"/>
  <c r="N689" i="3" s="1"/>
  <c r="O689" i="3" s="1"/>
  <c r="P689" i="3" s="1"/>
  <c r="H681" i="3"/>
  <c r="I681" i="3" s="1"/>
  <c r="J681" i="3" s="1"/>
  <c r="K681" i="3" s="1"/>
  <c r="L681" i="3" s="1"/>
  <c r="M681" i="3" s="1"/>
  <c r="N681" i="3" s="1"/>
  <c r="O681" i="3" s="1"/>
  <c r="P681" i="3" s="1"/>
  <c r="H673" i="3"/>
  <c r="I673" i="3" s="1"/>
  <c r="J673" i="3" s="1"/>
  <c r="K673" i="3" s="1"/>
  <c r="L673" i="3" s="1"/>
  <c r="M673" i="3" s="1"/>
  <c r="N673" i="3" s="1"/>
  <c r="O673" i="3" s="1"/>
  <c r="P673" i="3" s="1"/>
  <c r="H665" i="3"/>
  <c r="I665" i="3" s="1"/>
  <c r="J665" i="3" s="1"/>
  <c r="K665" i="3" s="1"/>
  <c r="L665" i="3" s="1"/>
  <c r="M665" i="3" s="1"/>
  <c r="N665" i="3" s="1"/>
  <c r="O665" i="3" s="1"/>
  <c r="P665" i="3" s="1"/>
  <c r="H657" i="3"/>
  <c r="I657" i="3" s="1"/>
  <c r="J657" i="3" s="1"/>
  <c r="K657" i="3" s="1"/>
  <c r="L657" i="3" s="1"/>
  <c r="M657" i="3" s="1"/>
  <c r="N657" i="3" s="1"/>
  <c r="O657" i="3" s="1"/>
  <c r="P657" i="3" s="1"/>
  <c r="H649" i="3"/>
  <c r="I649" i="3" s="1"/>
  <c r="J649" i="3" s="1"/>
  <c r="K649" i="3" s="1"/>
  <c r="L649" i="3" s="1"/>
  <c r="M649" i="3" s="1"/>
  <c r="N649" i="3" s="1"/>
  <c r="O649" i="3" s="1"/>
  <c r="P649" i="3" s="1"/>
  <c r="H641" i="3"/>
  <c r="I641" i="3" s="1"/>
  <c r="J641" i="3" s="1"/>
  <c r="K641" i="3" s="1"/>
  <c r="L641" i="3" s="1"/>
  <c r="M641" i="3" s="1"/>
  <c r="N641" i="3" s="1"/>
  <c r="O641" i="3" s="1"/>
  <c r="P641" i="3" s="1"/>
  <c r="H633" i="3"/>
  <c r="I633" i="3" s="1"/>
  <c r="J633" i="3" s="1"/>
  <c r="K633" i="3" s="1"/>
  <c r="L633" i="3" s="1"/>
  <c r="M633" i="3" s="1"/>
  <c r="N633" i="3" s="1"/>
  <c r="O633" i="3" s="1"/>
  <c r="P633" i="3" s="1"/>
  <c r="H625" i="3"/>
  <c r="I625" i="3" s="1"/>
  <c r="J625" i="3" s="1"/>
  <c r="K625" i="3" s="1"/>
  <c r="L625" i="3" s="1"/>
  <c r="M625" i="3" s="1"/>
  <c r="N625" i="3" s="1"/>
  <c r="O625" i="3" s="1"/>
  <c r="P625" i="3" s="1"/>
  <c r="H617" i="3"/>
  <c r="I617" i="3" s="1"/>
  <c r="J617" i="3" s="1"/>
  <c r="K617" i="3" s="1"/>
  <c r="L617" i="3" s="1"/>
  <c r="M617" i="3" s="1"/>
  <c r="N617" i="3" s="1"/>
  <c r="O617" i="3" s="1"/>
  <c r="P617" i="3" s="1"/>
  <c r="H601" i="3"/>
  <c r="I601" i="3" s="1"/>
  <c r="J601" i="3" s="1"/>
  <c r="K601" i="3" s="1"/>
  <c r="L601" i="3" s="1"/>
  <c r="M601" i="3" s="1"/>
  <c r="N601" i="3" s="1"/>
  <c r="O601" i="3" s="1"/>
  <c r="P601" i="3" s="1"/>
  <c r="H593" i="3"/>
  <c r="I593" i="3" s="1"/>
  <c r="J593" i="3" s="1"/>
  <c r="K593" i="3" s="1"/>
  <c r="L593" i="3" s="1"/>
  <c r="M593" i="3" s="1"/>
  <c r="N593" i="3" s="1"/>
  <c r="O593" i="3" s="1"/>
  <c r="P593" i="3" s="1"/>
  <c r="H585" i="3"/>
  <c r="I585" i="3" s="1"/>
  <c r="J585" i="3" s="1"/>
  <c r="K585" i="3" s="1"/>
  <c r="L585" i="3" s="1"/>
  <c r="M585" i="3" s="1"/>
  <c r="N585" i="3" s="1"/>
  <c r="O585" i="3" s="1"/>
  <c r="P585" i="3" s="1"/>
  <c r="H577" i="3"/>
  <c r="I577" i="3" s="1"/>
  <c r="J577" i="3" s="1"/>
  <c r="K577" i="3" s="1"/>
  <c r="L577" i="3" s="1"/>
  <c r="M577" i="3" s="1"/>
  <c r="N577" i="3" s="1"/>
  <c r="O577" i="3" s="1"/>
  <c r="P577" i="3" s="1"/>
  <c r="H569" i="3"/>
  <c r="I569" i="3" s="1"/>
  <c r="J569" i="3" s="1"/>
  <c r="K569" i="3" s="1"/>
  <c r="L569" i="3" s="1"/>
  <c r="M569" i="3" s="1"/>
  <c r="N569" i="3" s="1"/>
  <c r="O569" i="3" s="1"/>
  <c r="P569" i="3" s="1"/>
  <c r="H561" i="3"/>
  <c r="I561" i="3" s="1"/>
  <c r="J561" i="3" s="1"/>
  <c r="K561" i="3" s="1"/>
  <c r="L561" i="3" s="1"/>
  <c r="M561" i="3" s="1"/>
  <c r="N561" i="3" s="1"/>
  <c r="O561" i="3" s="1"/>
  <c r="P561" i="3" s="1"/>
  <c r="H553" i="3"/>
  <c r="I553" i="3" s="1"/>
  <c r="J553" i="3" s="1"/>
  <c r="K553" i="3" s="1"/>
  <c r="L553" i="3" s="1"/>
  <c r="M553" i="3" s="1"/>
  <c r="N553" i="3" s="1"/>
  <c r="O553" i="3" s="1"/>
  <c r="P553" i="3" s="1"/>
  <c r="H545" i="3"/>
  <c r="I545" i="3" s="1"/>
  <c r="J545" i="3" s="1"/>
  <c r="K545" i="3" s="1"/>
  <c r="L545" i="3" s="1"/>
  <c r="M545" i="3" s="1"/>
  <c r="N545" i="3" s="1"/>
  <c r="O545" i="3" s="1"/>
  <c r="P545" i="3" s="1"/>
  <c r="H537" i="3"/>
  <c r="I537" i="3" s="1"/>
  <c r="J537" i="3" s="1"/>
  <c r="K537" i="3" s="1"/>
  <c r="L537" i="3" s="1"/>
  <c r="M537" i="3" s="1"/>
  <c r="N537" i="3" s="1"/>
  <c r="O537" i="3" s="1"/>
  <c r="P537" i="3" s="1"/>
  <c r="H529" i="3"/>
  <c r="I529" i="3" s="1"/>
  <c r="J529" i="3" s="1"/>
  <c r="K529" i="3" s="1"/>
  <c r="L529" i="3" s="1"/>
  <c r="M529" i="3" s="1"/>
  <c r="N529" i="3" s="1"/>
  <c r="O529" i="3" s="1"/>
  <c r="P529" i="3" s="1"/>
  <c r="H521" i="3"/>
  <c r="I521" i="3" s="1"/>
  <c r="J521" i="3" s="1"/>
  <c r="K521" i="3" s="1"/>
  <c r="L521" i="3" s="1"/>
  <c r="M521" i="3" s="1"/>
  <c r="N521" i="3" s="1"/>
  <c r="O521" i="3" s="1"/>
  <c r="P521" i="3" s="1"/>
  <c r="H513" i="3"/>
  <c r="I513" i="3" s="1"/>
  <c r="J513" i="3" s="1"/>
  <c r="K513" i="3" s="1"/>
  <c r="L513" i="3" s="1"/>
  <c r="M513" i="3" s="1"/>
  <c r="N513" i="3" s="1"/>
  <c r="O513" i="3" s="1"/>
  <c r="P513" i="3" s="1"/>
  <c r="H505" i="3"/>
  <c r="I505" i="3" s="1"/>
  <c r="J505" i="3" s="1"/>
  <c r="K505" i="3" s="1"/>
  <c r="L505" i="3" s="1"/>
  <c r="M505" i="3" s="1"/>
  <c r="N505" i="3" s="1"/>
  <c r="O505" i="3" s="1"/>
  <c r="P505" i="3" s="1"/>
  <c r="H497" i="3"/>
  <c r="I497" i="3" s="1"/>
  <c r="J497" i="3" s="1"/>
  <c r="K497" i="3" s="1"/>
  <c r="L497" i="3" s="1"/>
  <c r="M497" i="3" s="1"/>
  <c r="N497" i="3" s="1"/>
  <c r="O497" i="3" s="1"/>
  <c r="P497" i="3" s="1"/>
  <c r="H489" i="3"/>
  <c r="I489" i="3" s="1"/>
  <c r="J489" i="3" s="1"/>
  <c r="K489" i="3" s="1"/>
  <c r="L489" i="3" s="1"/>
  <c r="M489" i="3" s="1"/>
  <c r="N489" i="3" s="1"/>
  <c r="O489" i="3" s="1"/>
  <c r="P489" i="3" s="1"/>
  <c r="H481" i="3"/>
  <c r="I481" i="3" s="1"/>
  <c r="J481" i="3" s="1"/>
  <c r="K481" i="3" s="1"/>
  <c r="L481" i="3" s="1"/>
  <c r="M481" i="3" s="1"/>
  <c r="N481" i="3" s="1"/>
  <c r="O481" i="3" s="1"/>
  <c r="P481" i="3" s="1"/>
  <c r="H473" i="3"/>
  <c r="I473" i="3" s="1"/>
  <c r="J473" i="3" s="1"/>
  <c r="K473" i="3" s="1"/>
  <c r="L473" i="3" s="1"/>
  <c r="M473" i="3" s="1"/>
  <c r="N473" i="3" s="1"/>
  <c r="O473" i="3" s="1"/>
  <c r="P473" i="3" s="1"/>
  <c r="H465" i="3"/>
  <c r="I465" i="3" s="1"/>
  <c r="J465" i="3" s="1"/>
  <c r="K465" i="3" s="1"/>
  <c r="L465" i="3" s="1"/>
  <c r="M465" i="3" s="1"/>
  <c r="N465" i="3" s="1"/>
  <c r="O465" i="3" s="1"/>
  <c r="P465" i="3" s="1"/>
  <c r="H457" i="3"/>
  <c r="I457" i="3" s="1"/>
  <c r="J457" i="3" s="1"/>
  <c r="K457" i="3" s="1"/>
  <c r="L457" i="3" s="1"/>
  <c r="M457" i="3" s="1"/>
  <c r="N457" i="3" s="1"/>
  <c r="O457" i="3" s="1"/>
  <c r="P457" i="3" s="1"/>
  <c r="H449" i="3"/>
  <c r="I449" i="3" s="1"/>
  <c r="J449" i="3" s="1"/>
  <c r="K449" i="3" s="1"/>
  <c r="L449" i="3" s="1"/>
  <c r="M449" i="3" s="1"/>
  <c r="N449" i="3" s="1"/>
  <c r="O449" i="3" s="1"/>
  <c r="P449" i="3" s="1"/>
  <c r="H441" i="3"/>
  <c r="I441" i="3" s="1"/>
  <c r="J441" i="3" s="1"/>
  <c r="K441" i="3" s="1"/>
  <c r="L441" i="3" s="1"/>
  <c r="M441" i="3" s="1"/>
  <c r="N441" i="3" s="1"/>
  <c r="O441" i="3" s="1"/>
  <c r="P441" i="3" s="1"/>
  <c r="H433" i="3"/>
  <c r="I433" i="3" s="1"/>
  <c r="J433" i="3" s="1"/>
  <c r="K433" i="3" s="1"/>
  <c r="L433" i="3" s="1"/>
  <c r="M433" i="3" s="1"/>
  <c r="N433" i="3" s="1"/>
  <c r="O433" i="3" s="1"/>
  <c r="P433" i="3" s="1"/>
  <c r="H425" i="3"/>
  <c r="I425" i="3" s="1"/>
  <c r="J425" i="3" s="1"/>
  <c r="K425" i="3" s="1"/>
  <c r="L425" i="3" s="1"/>
  <c r="M425" i="3" s="1"/>
  <c r="N425" i="3" s="1"/>
  <c r="O425" i="3" s="1"/>
  <c r="P425" i="3" s="1"/>
  <c r="H417" i="3"/>
  <c r="I417" i="3" s="1"/>
  <c r="J417" i="3" s="1"/>
  <c r="K417" i="3" s="1"/>
  <c r="L417" i="3" s="1"/>
  <c r="M417" i="3" s="1"/>
  <c r="N417" i="3" s="1"/>
  <c r="O417" i="3" s="1"/>
  <c r="P417" i="3" s="1"/>
  <c r="Q959" i="3"/>
  <c r="R959" i="3" s="1"/>
  <c r="S959" i="3" s="1"/>
  <c r="Q865" i="3"/>
  <c r="R865" i="3" s="1"/>
  <c r="S865" i="3" s="1"/>
  <c r="Q764" i="3"/>
  <c r="R764" i="3" s="1"/>
  <c r="S764" i="3" s="1"/>
  <c r="Q652" i="3"/>
  <c r="R652" i="3" s="1"/>
  <c r="S652" i="3" s="1"/>
  <c r="Q487" i="3"/>
  <c r="R487" i="3" s="1"/>
  <c r="S487" i="3" s="1"/>
  <c r="H1000" i="3"/>
  <c r="H992" i="3"/>
  <c r="I992" i="3" s="1"/>
  <c r="J992" i="3" s="1"/>
  <c r="K992" i="3" s="1"/>
  <c r="L992" i="3" s="1"/>
  <c r="M992" i="3" s="1"/>
  <c r="N992" i="3" s="1"/>
  <c r="O992" i="3" s="1"/>
  <c r="P992" i="3" s="1"/>
  <c r="H984" i="3"/>
  <c r="I984" i="3" s="1"/>
  <c r="J984" i="3" s="1"/>
  <c r="K984" i="3" s="1"/>
  <c r="L984" i="3" s="1"/>
  <c r="M984" i="3" s="1"/>
  <c r="N984" i="3" s="1"/>
  <c r="O984" i="3" s="1"/>
  <c r="P984" i="3" s="1"/>
  <c r="H976" i="3"/>
  <c r="I976" i="3" s="1"/>
  <c r="J976" i="3" s="1"/>
  <c r="K976" i="3" s="1"/>
  <c r="L976" i="3" s="1"/>
  <c r="M976" i="3" s="1"/>
  <c r="N976" i="3" s="1"/>
  <c r="O976" i="3" s="1"/>
  <c r="P976" i="3" s="1"/>
  <c r="H968" i="3"/>
  <c r="H960" i="3"/>
  <c r="I960" i="3" s="1"/>
  <c r="J960" i="3" s="1"/>
  <c r="K960" i="3" s="1"/>
  <c r="L960" i="3" s="1"/>
  <c r="M960" i="3" s="1"/>
  <c r="N960" i="3" s="1"/>
  <c r="O960" i="3" s="1"/>
  <c r="P960" i="3" s="1"/>
  <c r="H952" i="3"/>
  <c r="I952" i="3" s="1"/>
  <c r="J952" i="3" s="1"/>
  <c r="K952" i="3" s="1"/>
  <c r="L952" i="3" s="1"/>
  <c r="M952" i="3" s="1"/>
  <c r="N952" i="3" s="1"/>
  <c r="O952" i="3" s="1"/>
  <c r="P952" i="3" s="1"/>
  <c r="H944" i="3"/>
  <c r="I944" i="3" s="1"/>
  <c r="J944" i="3" s="1"/>
  <c r="K944" i="3" s="1"/>
  <c r="L944" i="3" s="1"/>
  <c r="M944" i="3" s="1"/>
  <c r="N944" i="3" s="1"/>
  <c r="O944" i="3" s="1"/>
  <c r="P944" i="3" s="1"/>
  <c r="H936" i="3"/>
  <c r="H928" i="3"/>
  <c r="I928" i="3" s="1"/>
  <c r="J928" i="3" s="1"/>
  <c r="K928" i="3" s="1"/>
  <c r="L928" i="3" s="1"/>
  <c r="M928" i="3" s="1"/>
  <c r="N928" i="3" s="1"/>
  <c r="O928" i="3" s="1"/>
  <c r="P928" i="3" s="1"/>
  <c r="H920" i="3"/>
  <c r="I920" i="3" s="1"/>
  <c r="J920" i="3" s="1"/>
  <c r="K920" i="3" s="1"/>
  <c r="L920" i="3" s="1"/>
  <c r="M920" i="3" s="1"/>
  <c r="N920" i="3" s="1"/>
  <c r="O920" i="3" s="1"/>
  <c r="P920" i="3" s="1"/>
  <c r="H912" i="3"/>
  <c r="I912" i="3" s="1"/>
  <c r="J912" i="3" s="1"/>
  <c r="K912" i="3" s="1"/>
  <c r="L912" i="3" s="1"/>
  <c r="M912" i="3" s="1"/>
  <c r="N912" i="3" s="1"/>
  <c r="O912" i="3" s="1"/>
  <c r="P912" i="3" s="1"/>
  <c r="H896" i="3"/>
  <c r="H888" i="3"/>
  <c r="I888" i="3" s="1"/>
  <c r="J888" i="3" s="1"/>
  <c r="K888" i="3" s="1"/>
  <c r="L888" i="3" s="1"/>
  <c r="M888" i="3" s="1"/>
  <c r="N888" i="3" s="1"/>
  <c r="O888" i="3" s="1"/>
  <c r="P888" i="3" s="1"/>
  <c r="H880" i="3"/>
  <c r="I880" i="3" s="1"/>
  <c r="J880" i="3" s="1"/>
  <c r="K880" i="3" s="1"/>
  <c r="L880" i="3" s="1"/>
  <c r="M880" i="3" s="1"/>
  <c r="N880" i="3" s="1"/>
  <c r="O880" i="3" s="1"/>
  <c r="P880" i="3" s="1"/>
  <c r="H872" i="3"/>
  <c r="I872" i="3" s="1"/>
  <c r="J872" i="3" s="1"/>
  <c r="K872" i="3" s="1"/>
  <c r="L872" i="3" s="1"/>
  <c r="M872" i="3" s="1"/>
  <c r="N872" i="3" s="1"/>
  <c r="O872" i="3" s="1"/>
  <c r="P872" i="3" s="1"/>
  <c r="H864" i="3"/>
  <c r="H856" i="3"/>
  <c r="I856" i="3" s="1"/>
  <c r="J856" i="3" s="1"/>
  <c r="K856" i="3" s="1"/>
  <c r="L856" i="3" s="1"/>
  <c r="M856" i="3" s="1"/>
  <c r="N856" i="3" s="1"/>
  <c r="O856" i="3" s="1"/>
  <c r="P856" i="3" s="1"/>
  <c r="H848" i="3"/>
  <c r="I848" i="3" s="1"/>
  <c r="J848" i="3" s="1"/>
  <c r="K848" i="3" s="1"/>
  <c r="L848" i="3" s="1"/>
  <c r="M848" i="3" s="1"/>
  <c r="N848" i="3" s="1"/>
  <c r="O848" i="3" s="1"/>
  <c r="P848" i="3" s="1"/>
  <c r="H832" i="3"/>
  <c r="I832" i="3" s="1"/>
  <c r="J832" i="3" s="1"/>
  <c r="K832" i="3" s="1"/>
  <c r="L832" i="3" s="1"/>
  <c r="M832" i="3" s="1"/>
  <c r="N832" i="3" s="1"/>
  <c r="O832" i="3" s="1"/>
  <c r="P832" i="3" s="1"/>
  <c r="H824" i="3"/>
  <c r="H816" i="3"/>
  <c r="I816" i="3" s="1"/>
  <c r="J816" i="3" s="1"/>
  <c r="K816" i="3" s="1"/>
  <c r="L816" i="3" s="1"/>
  <c r="M816" i="3" s="1"/>
  <c r="N816" i="3" s="1"/>
  <c r="O816" i="3" s="1"/>
  <c r="P816" i="3" s="1"/>
  <c r="H808" i="3"/>
  <c r="I808" i="3" s="1"/>
  <c r="J808" i="3" s="1"/>
  <c r="K808" i="3" s="1"/>
  <c r="L808" i="3" s="1"/>
  <c r="M808" i="3" s="1"/>
  <c r="N808" i="3" s="1"/>
  <c r="O808" i="3" s="1"/>
  <c r="P808" i="3" s="1"/>
  <c r="H800" i="3"/>
  <c r="I800" i="3" s="1"/>
  <c r="J800" i="3" s="1"/>
  <c r="K800" i="3" s="1"/>
  <c r="L800" i="3" s="1"/>
  <c r="M800" i="3" s="1"/>
  <c r="N800" i="3" s="1"/>
  <c r="O800" i="3" s="1"/>
  <c r="P800" i="3" s="1"/>
  <c r="H792" i="3"/>
  <c r="H784" i="3"/>
  <c r="I784" i="3" s="1"/>
  <c r="J784" i="3" s="1"/>
  <c r="K784" i="3" s="1"/>
  <c r="L784" i="3" s="1"/>
  <c r="M784" i="3" s="1"/>
  <c r="N784" i="3" s="1"/>
  <c r="O784" i="3" s="1"/>
  <c r="P784" i="3" s="1"/>
  <c r="H768" i="3"/>
  <c r="I768" i="3" s="1"/>
  <c r="J768" i="3" s="1"/>
  <c r="K768" i="3" s="1"/>
  <c r="L768" i="3" s="1"/>
  <c r="M768" i="3" s="1"/>
  <c r="N768" i="3" s="1"/>
  <c r="O768" i="3" s="1"/>
  <c r="P768" i="3" s="1"/>
  <c r="H760" i="3"/>
  <c r="I760" i="3" s="1"/>
  <c r="J760" i="3" s="1"/>
  <c r="K760" i="3" s="1"/>
  <c r="L760" i="3" s="1"/>
  <c r="M760" i="3" s="1"/>
  <c r="N760" i="3" s="1"/>
  <c r="O760" i="3" s="1"/>
  <c r="P760" i="3" s="1"/>
  <c r="H752" i="3"/>
  <c r="H744" i="3"/>
  <c r="I744" i="3" s="1"/>
  <c r="J744" i="3" s="1"/>
  <c r="K744" i="3" s="1"/>
  <c r="L744" i="3" s="1"/>
  <c r="M744" i="3" s="1"/>
  <c r="N744" i="3" s="1"/>
  <c r="O744" i="3" s="1"/>
  <c r="P744" i="3" s="1"/>
  <c r="H736" i="3"/>
  <c r="I736" i="3" s="1"/>
  <c r="J736" i="3" s="1"/>
  <c r="K736" i="3" s="1"/>
  <c r="L736" i="3" s="1"/>
  <c r="M736" i="3" s="1"/>
  <c r="N736" i="3" s="1"/>
  <c r="O736" i="3" s="1"/>
  <c r="P736" i="3" s="1"/>
  <c r="H728" i="3"/>
  <c r="I728" i="3" s="1"/>
  <c r="J728" i="3" s="1"/>
  <c r="K728" i="3" s="1"/>
  <c r="L728" i="3" s="1"/>
  <c r="M728" i="3" s="1"/>
  <c r="N728" i="3" s="1"/>
  <c r="O728" i="3" s="1"/>
  <c r="P728" i="3" s="1"/>
  <c r="H720" i="3"/>
  <c r="H704" i="3"/>
  <c r="I704" i="3" s="1"/>
  <c r="J704" i="3" s="1"/>
  <c r="K704" i="3" s="1"/>
  <c r="L704" i="3" s="1"/>
  <c r="M704" i="3" s="1"/>
  <c r="N704" i="3" s="1"/>
  <c r="O704" i="3" s="1"/>
  <c r="P704" i="3" s="1"/>
  <c r="H696" i="3"/>
  <c r="I696" i="3" s="1"/>
  <c r="J696" i="3" s="1"/>
  <c r="K696" i="3" s="1"/>
  <c r="L696" i="3" s="1"/>
  <c r="M696" i="3" s="1"/>
  <c r="N696" i="3" s="1"/>
  <c r="O696" i="3" s="1"/>
  <c r="P696" i="3" s="1"/>
  <c r="H688" i="3"/>
  <c r="I688" i="3" s="1"/>
  <c r="J688" i="3" s="1"/>
  <c r="K688" i="3" s="1"/>
  <c r="L688" i="3" s="1"/>
  <c r="M688" i="3" s="1"/>
  <c r="N688" i="3" s="1"/>
  <c r="O688" i="3" s="1"/>
  <c r="P688" i="3" s="1"/>
  <c r="H680" i="3"/>
  <c r="H672" i="3"/>
  <c r="I672" i="3" s="1"/>
  <c r="J672" i="3" s="1"/>
  <c r="K672" i="3" s="1"/>
  <c r="L672" i="3" s="1"/>
  <c r="M672" i="3" s="1"/>
  <c r="N672" i="3" s="1"/>
  <c r="O672" i="3" s="1"/>
  <c r="P672" i="3" s="1"/>
  <c r="H664" i="3"/>
  <c r="I664" i="3" s="1"/>
  <c r="J664" i="3" s="1"/>
  <c r="K664" i="3" s="1"/>
  <c r="L664" i="3" s="1"/>
  <c r="M664" i="3" s="1"/>
  <c r="N664" i="3" s="1"/>
  <c r="O664" i="3" s="1"/>
  <c r="P664" i="3" s="1"/>
  <c r="H656" i="3"/>
  <c r="I656" i="3" s="1"/>
  <c r="J656" i="3" s="1"/>
  <c r="K656" i="3" s="1"/>
  <c r="L656" i="3" s="1"/>
  <c r="M656" i="3" s="1"/>
  <c r="N656" i="3" s="1"/>
  <c r="O656" i="3" s="1"/>
  <c r="P656" i="3" s="1"/>
  <c r="Q656" i="3" s="1"/>
  <c r="R656" i="3" s="1"/>
  <c r="S656" i="3" s="1"/>
  <c r="H648" i="3"/>
  <c r="H640" i="3"/>
  <c r="I640" i="3" s="1"/>
  <c r="J640" i="3" s="1"/>
  <c r="K640" i="3" s="1"/>
  <c r="L640" i="3" s="1"/>
  <c r="M640" i="3" s="1"/>
  <c r="N640" i="3" s="1"/>
  <c r="O640" i="3" s="1"/>
  <c r="P640" i="3" s="1"/>
  <c r="H632" i="3"/>
  <c r="I632" i="3" s="1"/>
  <c r="J632" i="3" s="1"/>
  <c r="K632" i="3" s="1"/>
  <c r="L632" i="3" s="1"/>
  <c r="M632" i="3" s="1"/>
  <c r="N632" i="3" s="1"/>
  <c r="O632" i="3" s="1"/>
  <c r="P632" i="3" s="1"/>
  <c r="H624" i="3"/>
  <c r="I624" i="3" s="1"/>
  <c r="J624" i="3" s="1"/>
  <c r="K624" i="3" s="1"/>
  <c r="L624" i="3" s="1"/>
  <c r="M624" i="3" s="1"/>
  <c r="N624" i="3" s="1"/>
  <c r="O624" i="3" s="1"/>
  <c r="P624" i="3" s="1"/>
  <c r="H616" i="3"/>
  <c r="H608" i="3"/>
  <c r="I608" i="3" s="1"/>
  <c r="J608" i="3" s="1"/>
  <c r="K608" i="3" s="1"/>
  <c r="L608" i="3" s="1"/>
  <c r="M608" i="3" s="1"/>
  <c r="N608" i="3" s="1"/>
  <c r="O608" i="3" s="1"/>
  <c r="P608" i="3" s="1"/>
  <c r="H600" i="3"/>
  <c r="I600" i="3" s="1"/>
  <c r="J600" i="3" s="1"/>
  <c r="K600" i="3" s="1"/>
  <c r="L600" i="3" s="1"/>
  <c r="M600" i="3" s="1"/>
  <c r="N600" i="3" s="1"/>
  <c r="O600" i="3" s="1"/>
  <c r="P600" i="3" s="1"/>
  <c r="H592" i="3"/>
  <c r="I592" i="3" s="1"/>
  <c r="J592" i="3" s="1"/>
  <c r="K592" i="3" s="1"/>
  <c r="L592" i="3" s="1"/>
  <c r="M592" i="3" s="1"/>
  <c r="N592" i="3" s="1"/>
  <c r="O592" i="3" s="1"/>
  <c r="P592" i="3" s="1"/>
  <c r="H584" i="3"/>
  <c r="H576" i="3"/>
  <c r="I576" i="3" s="1"/>
  <c r="J576" i="3" s="1"/>
  <c r="K576" i="3" s="1"/>
  <c r="L576" i="3" s="1"/>
  <c r="M576" i="3" s="1"/>
  <c r="N576" i="3" s="1"/>
  <c r="O576" i="3" s="1"/>
  <c r="P576" i="3" s="1"/>
  <c r="H568" i="3"/>
  <c r="I568" i="3" s="1"/>
  <c r="J568" i="3" s="1"/>
  <c r="K568" i="3" s="1"/>
  <c r="L568" i="3" s="1"/>
  <c r="M568" i="3" s="1"/>
  <c r="N568" i="3" s="1"/>
  <c r="O568" i="3" s="1"/>
  <c r="P568" i="3" s="1"/>
  <c r="H560" i="3"/>
  <c r="I560" i="3" s="1"/>
  <c r="J560" i="3" s="1"/>
  <c r="K560" i="3" s="1"/>
  <c r="L560" i="3" s="1"/>
  <c r="M560" i="3" s="1"/>
  <c r="N560" i="3" s="1"/>
  <c r="O560" i="3" s="1"/>
  <c r="P560" i="3" s="1"/>
  <c r="H552" i="3"/>
  <c r="H544" i="3"/>
  <c r="I544" i="3" s="1"/>
  <c r="J544" i="3" s="1"/>
  <c r="K544" i="3" s="1"/>
  <c r="L544" i="3" s="1"/>
  <c r="M544" i="3" s="1"/>
  <c r="N544" i="3" s="1"/>
  <c r="O544" i="3" s="1"/>
  <c r="P544" i="3" s="1"/>
  <c r="H536" i="3"/>
  <c r="I536" i="3" s="1"/>
  <c r="J536" i="3" s="1"/>
  <c r="K536" i="3" s="1"/>
  <c r="L536" i="3" s="1"/>
  <c r="M536" i="3" s="1"/>
  <c r="N536" i="3" s="1"/>
  <c r="O536" i="3" s="1"/>
  <c r="P536" i="3" s="1"/>
  <c r="H528" i="3"/>
  <c r="I528" i="3" s="1"/>
  <c r="J528" i="3" s="1"/>
  <c r="K528" i="3" s="1"/>
  <c r="L528" i="3" s="1"/>
  <c r="M528" i="3" s="1"/>
  <c r="N528" i="3" s="1"/>
  <c r="O528" i="3" s="1"/>
  <c r="P528" i="3" s="1"/>
  <c r="H520" i="3"/>
  <c r="H512" i="3"/>
  <c r="I512" i="3" s="1"/>
  <c r="J512" i="3" s="1"/>
  <c r="K512" i="3" s="1"/>
  <c r="L512" i="3" s="1"/>
  <c r="M512" i="3" s="1"/>
  <c r="N512" i="3" s="1"/>
  <c r="O512" i="3" s="1"/>
  <c r="P512" i="3" s="1"/>
  <c r="H504" i="3"/>
  <c r="I504" i="3" s="1"/>
  <c r="J504" i="3" s="1"/>
  <c r="K504" i="3" s="1"/>
  <c r="L504" i="3" s="1"/>
  <c r="M504" i="3" s="1"/>
  <c r="N504" i="3" s="1"/>
  <c r="O504" i="3" s="1"/>
  <c r="P504" i="3" s="1"/>
  <c r="H496" i="3"/>
  <c r="I496" i="3" s="1"/>
  <c r="J496" i="3" s="1"/>
  <c r="K496" i="3" s="1"/>
  <c r="L496" i="3" s="1"/>
  <c r="M496" i="3" s="1"/>
  <c r="N496" i="3" s="1"/>
  <c r="O496" i="3" s="1"/>
  <c r="P496" i="3" s="1"/>
  <c r="H488" i="3"/>
  <c r="H480" i="3"/>
  <c r="I480" i="3" s="1"/>
  <c r="J480" i="3" s="1"/>
  <c r="K480" i="3" s="1"/>
  <c r="L480" i="3" s="1"/>
  <c r="M480" i="3" s="1"/>
  <c r="N480" i="3" s="1"/>
  <c r="O480" i="3" s="1"/>
  <c r="P480" i="3" s="1"/>
  <c r="H472" i="3"/>
  <c r="I472" i="3" s="1"/>
  <c r="J472" i="3" s="1"/>
  <c r="K472" i="3" s="1"/>
  <c r="L472" i="3" s="1"/>
  <c r="M472" i="3" s="1"/>
  <c r="N472" i="3" s="1"/>
  <c r="O472" i="3" s="1"/>
  <c r="P472" i="3" s="1"/>
  <c r="H456" i="3"/>
  <c r="I456" i="3" s="1"/>
  <c r="J456" i="3" s="1"/>
  <c r="K456" i="3" s="1"/>
  <c r="L456" i="3" s="1"/>
  <c r="M456" i="3" s="1"/>
  <c r="N456" i="3" s="1"/>
  <c r="O456" i="3" s="1"/>
  <c r="P456" i="3" s="1"/>
  <c r="H448" i="3"/>
  <c r="H440" i="3"/>
  <c r="I440" i="3" s="1"/>
  <c r="J440" i="3" s="1"/>
  <c r="K440" i="3" s="1"/>
  <c r="L440" i="3" s="1"/>
  <c r="M440" i="3" s="1"/>
  <c r="N440" i="3" s="1"/>
  <c r="O440" i="3" s="1"/>
  <c r="P440" i="3" s="1"/>
  <c r="H432" i="3"/>
  <c r="I432" i="3" s="1"/>
  <c r="J432" i="3" s="1"/>
  <c r="K432" i="3" s="1"/>
  <c r="L432" i="3" s="1"/>
  <c r="M432" i="3" s="1"/>
  <c r="N432" i="3" s="1"/>
  <c r="O432" i="3" s="1"/>
  <c r="P432" i="3" s="1"/>
  <c r="H416" i="3"/>
  <c r="I416" i="3" s="1"/>
  <c r="J416" i="3" s="1"/>
  <c r="K416" i="3" s="1"/>
  <c r="L416" i="3" s="1"/>
  <c r="M416" i="3" s="1"/>
  <c r="N416" i="3" s="1"/>
  <c r="O416" i="3" s="1"/>
  <c r="P416" i="3" s="1"/>
  <c r="H408" i="3"/>
  <c r="H400" i="3"/>
  <c r="I400" i="3" s="1"/>
  <c r="J400" i="3" s="1"/>
  <c r="K400" i="3" s="1"/>
  <c r="L400" i="3" s="1"/>
  <c r="M400" i="3" s="1"/>
  <c r="N400" i="3" s="1"/>
  <c r="O400" i="3" s="1"/>
  <c r="P400" i="3" s="1"/>
  <c r="H392" i="3"/>
  <c r="I392" i="3" s="1"/>
  <c r="J392" i="3" s="1"/>
  <c r="K392" i="3" s="1"/>
  <c r="L392" i="3" s="1"/>
  <c r="M392" i="3" s="1"/>
  <c r="N392" i="3" s="1"/>
  <c r="O392" i="3" s="1"/>
  <c r="P392" i="3" s="1"/>
  <c r="H376" i="3"/>
  <c r="I376" i="3" s="1"/>
  <c r="J376" i="3" s="1"/>
  <c r="K376" i="3" s="1"/>
  <c r="L376" i="3" s="1"/>
  <c r="M376" i="3" s="1"/>
  <c r="N376" i="3" s="1"/>
  <c r="O376" i="3" s="1"/>
  <c r="P376" i="3" s="1"/>
  <c r="H368" i="3"/>
  <c r="H360" i="3"/>
  <c r="I360" i="3" s="1"/>
  <c r="J360" i="3" s="1"/>
  <c r="K360" i="3" s="1"/>
  <c r="L360" i="3" s="1"/>
  <c r="M360" i="3" s="1"/>
  <c r="N360" i="3" s="1"/>
  <c r="O360" i="3" s="1"/>
  <c r="P360" i="3" s="1"/>
  <c r="H352" i="3"/>
  <c r="I352" i="3" s="1"/>
  <c r="J352" i="3" s="1"/>
  <c r="K352" i="3" s="1"/>
  <c r="L352" i="3" s="1"/>
  <c r="M352" i="3" s="1"/>
  <c r="N352" i="3" s="1"/>
  <c r="O352" i="3" s="1"/>
  <c r="P352" i="3" s="1"/>
  <c r="H336" i="3"/>
  <c r="I336" i="3" s="1"/>
  <c r="J336" i="3" s="1"/>
  <c r="K336" i="3" s="1"/>
  <c r="L336" i="3" s="1"/>
  <c r="M336" i="3" s="1"/>
  <c r="N336" i="3" s="1"/>
  <c r="O336" i="3" s="1"/>
  <c r="P336" i="3" s="1"/>
  <c r="H328" i="3"/>
  <c r="H320" i="3"/>
  <c r="I320" i="3" s="1"/>
  <c r="J320" i="3" s="1"/>
  <c r="K320" i="3" s="1"/>
  <c r="L320" i="3" s="1"/>
  <c r="M320" i="3" s="1"/>
  <c r="N320" i="3" s="1"/>
  <c r="O320" i="3" s="1"/>
  <c r="P320" i="3" s="1"/>
  <c r="H312" i="3"/>
  <c r="I312" i="3" s="1"/>
  <c r="J312" i="3" s="1"/>
  <c r="K312" i="3" s="1"/>
  <c r="L312" i="3" s="1"/>
  <c r="M312" i="3" s="1"/>
  <c r="N312" i="3" s="1"/>
  <c r="O312" i="3" s="1"/>
  <c r="P312" i="3" s="1"/>
  <c r="H304" i="3"/>
  <c r="I304" i="3" s="1"/>
  <c r="J304" i="3" s="1"/>
  <c r="K304" i="3" s="1"/>
  <c r="L304" i="3" s="1"/>
  <c r="M304" i="3" s="1"/>
  <c r="N304" i="3" s="1"/>
  <c r="O304" i="3" s="1"/>
  <c r="P304" i="3" s="1"/>
  <c r="H296" i="3"/>
  <c r="H288" i="3"/>
  <c r="I288" i="3" s="1"/>
  <c r="J288" i="3" s="1"/>
  <c r="K288" i="3" s="1"/>
  <c r="L288" i="3" s="1"/>
  <c r="M288" i="3" s="1"/>
  <c r="N288" i="3" s="1"/>
  <c r="O288" i="3" s="1"/>
  <c r="P288" i="3" s="1"/>
  <c r="H280" i="3"/>
  <c r="I280" i="3" s="1"/>
  <c r="J280" i="3" s="1"/>
  <c r="K280" i="3" s="1"/>
  <c r="L280" i="3" s="1"/>
  <c r="M280" i="3" s="1"/>
  <c r="N280" i="3" s="1"/>
  <c r="O280" i="3" s="1"/>
  <c r="P280" i="3" s="1"/>
  <c r="H272" i="3"/>
  <c r="I272" i="3" s="1"/>
  <c r="J272" i="3" s="1"/>
  <c r="K272" i="3" s="1"/>
  <c r="L272" i="3" s="1"/>
  <c r="M272" i="3" s="1"/>
  <c r="N272" i="3" s="1"/>
  <c r="O272" i="3" s="1"/>
  <c r="P272" i="3" s="1"/>
  <c r="H264" i="3"/>
  <c r="H256" i="3"/>
  <c r="I256" i="3" s="1"/>
  <c r="J256" i="3" s="1"/>
  <c r="K256" i="3" s="1"/>
  <c r="L256" i="3" s="1"/>
  <c r="M256" i="3" s="1"/>
  <c r="N256" i="3" s="1"/>
  <c r="O256" i="3" s="1"/>
  <c r="P256" i="3" s="1"/>
  <c r="H248" i="3"/>
  <c r="I248" i="3" s="1"/>
  <c r="J248" i="3" s="1"/>
  <c r="K248" i="3" s="1"/>
  <c r="L248" i="3" s="1"/>
  <c r="M248" i="3" s="1"/>
  <c r="N248" i="3" s="1"/>
  <c r="O248" i="3" s="1"/>
  <c r="P248" i="3" s="1"/>
  <c r="H240" i="3"/>
  <c r="I240" i="3" s="1"/>
  <c r="J240" i="3" s="1"/>
  <c r="K240" i="3" s="1"/>
  <c r="L240" i="3" s="1"/>
  <c r="M240" i="3" s="1"/>
  <c r="N240" i="3" s="1"/>
  <c r="O240" i="3" s="1"/>
  <c r="P240" i="3" s="1"/>
  <c r="H232" i="3"/>
  <c r="H224" i="3"/>
  <c r="I224" i="3" s="1"/>
  <c r="J224" i="3" s="1"/>
  <c r="K224" i="3" s="1"/>
  <c r="L224" i="3" s="1"/>
  <c r="M224" i="3" s="1"/>
  <c r="N224" i="3" s="1"/>
  <c r="O224" i="3" s="1"/>
  <c r="P224" i="3" s="1"/>
  <c r="H216" i="3"/>
  <c r="I216" i="3" s="1"/>
  <c r="J216" i="3" s="1"/>
  <c r="K216" i="3" s="1"/>
  <c r="L216" i="3" s="1"/>
  <c r="M216" i="3" s="1"/>
  <c r="N216" i="3" s="1"/>
  <c r="O216" i="3" s="1"/>
  <c r="P216" i="3" s="1"/>
  <c r="H208" i="3"/>
  <c r="I208" i="3" s="1"/>
  <c r="J208" i="3" s="1"/>
  <c r="K208" i="3" s="1"/>
  <c r="L208" i="3" s="1"/>
  <c r="M208" i="3" s="1"/>
  <c r="N208" i="3" s="1"/>
  <c r="O208" i="3" s="1"/>
  <c r="P208" i="3" s="1"/>
  <c r="H192" i="3"/>
  <c r="H184" i="3"/>
  <c r="I184" i="3" s="1"/>
  <c r="J184" i="3" s="1"/>
  <c r="K184" i="3" s="1"/>
  <c r="L184" i="3" s="1"/>
  <c r="M184" i="3" s="1"/>
  <c r="N184" i="3" s="1"/>
  <c r="O184" i="3" s="1"/>
  <c r="P184" i="3" s="1"/>
  <c r="H176" i="3"/>
  <c r="I176" i="3" s="1"/>
  <c r="J176" i="3" s="1"/>
  <c r="K176" i="3" s="1"/>
  <c r="L176" i="3" s="1"/>
  <c r="M176" i="3" s="1"/>
  <c r="N176" i="3" s="1"/>
  <c r="O176" i="3" s="1"/>
  <c r="P176" i="3" s="1"/>
  <c r="H168" i="3"/>
  <c r="I168" i="3" s="1"/>
  <c r="J168" i="3" s="1"/>
  <c r="K168" i="3" s="1"/>
  <c r="L168" i="3" s="1"/>
  <c r="M168" i="3" s="1"/>
  <c r="N168" i="3" s="1"/>
  <c r="O168" i="3" s="1"/>
  <c r="P168" i="3" s="1"/>
  <c r="H160" i="3"/>
  <c r="H152" i="3"/>
  <c r="I152" i="3" s="1"/>
  <c r="J152" i="3" s="1"/>
  <c r="K152" i="3" s="1"/>
  <c r="L152" i="3" s="1"/>
  <c r="M152" i="3" s="1"/>
  <c r="N152" i="3" s="1"/>
  <c r="O152" i="3" s="1"/>
  <c r="P152" i="3" s="1"/>
  <c r="H144" i="3"/>
  <c r="I144" i="3" s="1"/>
  <c r="J144" i="3" s="1"/>
  <c r="K144" i="3" s="1"/>
  <c r="L144" i="3" s="1"/>
  <c r="M144" i="3" s="1"/>
  <c r="N144" i="3" s="1"/>
  <c r="O144" i="3" s="1"/>
  <c r="P144" i="3" s="1"/>
  <c r="H136" i="3"/>
  <c r="I136" i="3" s="1"/>
  <c r="J136" i="3" s="1"/>
  <c r="K136" i="3" s="1"/>
  <c r="L136" i="3" s="1"/>
  <c r="M136" i="3" s="1"/>
  <c r="N136" i="3" s="1"/>
  <c r="O136" i="3" s="1"/>
  <c r="P136" i="3" s="1"/>
  <c r="H128" i="3"/>
  <c r="H120" i="3"/>
  <c r="I120" i="3" s="1"/>
  <c r="J120" i="3" s="1"/>
  <c r="K120" i="3" s="1"/>
  <c r="L120" i="3" s="1"/>
  <c r="M120" i="3" s="1"/>
  <c r="N120" i="3" s="1"/>
  <c r="O120" i="3" s="1"/>
  <c r="P120" i="3" s="1"/>
  <c r="H112" i="3"/>
  <c r="I112" i="3" s="1"/>
  <c r="J112" i="3" s="1"/>
  <c r="K112" i="3" s="1"/>
  <c r="L112" i="3" s="1"/>
  <c r="M112" i="3" s="1"/>
  <c r="N112" i="3" s="1"/>
  <c r="O112" i="3" s="1"/>
  <c r="P112" i="3" s="1"/>
  <c r="H104" i="3"/>
  <c r="I104" i="3" s="1"/>
  <c r="J104" i="3" s="1"/>
  <c r="K104" i="3" s="1"/>
  <c r="L104" i="3" s="1"/>
  <c r="M104" i="3" s="1"/>
  <c r="N104" i="3" s="1"/>
  <c r="O104" i="3" s="1"/>
  <c r="P104" i="3" s="1"/>
  <c r="H96" i="3"/>
  <c r="H88" i="3"/>
  <c r="I88" i="3" s="1"/>
  <c r="J88" i="3" s="1"/>
  <c r="K88" i="3" s="1"/>
  <c r="L88" i="3" s="1"/>
  <c r="M88" i="3" s="1"/>
  <c r="N88" i="3" s="1"/>
  <c r="O88" i="3" s="1"/>
  <c r="P88" i="3" s="1"/>
  <c r="H80" i="3"/>
  <c r="I80" i="3" s="1"/>
  <c r="J80" i="3" s="1"/>
  <c r="K80" i="3" s="1"/>
  <c r="L80" i="3" s="1"/>
  <c r="M80" i="3" s="1"/>
  <c r="N80" i="3" s="1"/>
  <c r="O80" i="3" s="1"/>
  <c r="P80" i="3" s="1"/>
  <c r="H72" i="3"/>
  <c r="I72" i="3" s="1"/>
  <c r="J72" i="3" s="1"/>
  <c r="K72" i="3" s="1"/>
  <c r="L72" i="3" s="1"/>
  <c r="M72" i="3" s="1"/>
  <c r="N72" i="3" s="1"/>
  <c r="O72" i="3" s="1"/>
  <c r="P72" i="3" s="1"/>
  <c r="H64" i="3"/>
  <c r="H56" i="3"/>
  <c r="I56" i="3" s="1"/>
  <c r="J56" i="3" s="1"/>
  <c r="K56" i="3" s="1"/>
  <c r="L56" i="3" s="1"/>
  <c r="M56" i="3" s="1"/>
  <c r="N56" i="3" s="1"/>
  <c r="O56" i="3" s="1"/>
  <c r="P56" i="3" s="1"/>
  <c r="H48" i="3"/>
  <c r="I48" i="3" s="1"/>
  <c r="J48" i="3" s="1"/>
  <c r="K48" i="3" s="1"/>
  <c r="L48" i="3" s="1"/>
  <c r="M48" i="3" s="1"/>
  <c r="N48" i="3" s="1"/>
  <c r="O48" i="3" s="1"/>
  <c r="P48" i="3" s="1"/>
  <c r="H40" i="3"/>
  <c r="I40" i="3" s="1"/>
  <c r="J40" i="3" s="1"/>
  <c r="K40" i="3" s="1"/>
  <c r="L40" i="3" s="1"/>
  <c r="M40" i="3" s="1"/>
  <c r="N40" i="3" s="1"/>
  <c r="O40" i="3" s="1"/>
  <c r="P40" i="3" s="1"/>
  <c r="H32" i="3"/>
  <c r="H24" i="3"/>
  <c r="I24" i="3" s="1"/>
  <c r="J24" i="3" s="1"/>
  <c r="K24" i="3" s="1"/>
  <c r="L24" i="3" s="1"/>
  <c r="M24" i="3" s="1"/>
  <c r="N24" i="3" s="1"/>
  <c r="O24" i="3" s="1"/>
  <c r="P24" i="3" s="1"/>
  <c r="H16" i="3"/>
  <c r="I16" i="3" s="1"/>
  <c r="J16" i="3" s="1"/>
  <c r="K16" i="3" s="1"/>
  <c r="L16" i="3" s="1"/>
  <c r="M16" i="3" s="1"/>
  <c r="N16" i="3" s="1"/>
  <c r="O16" i="3" s="1"/>
  <c r="P16" i="3" s="1"/>
  <c r="H8" i="3"/>
  <c r="I8" i="3" s="1"/>
  <c r="J8" i="3" s="1"/>
  <c r="K8" i="3" s="1"/>
  <c r="L8" i="3" s="1"/>
  <c r="M8" i="3" s="1"/>
  <c r="N8" i="3" s="1"/>
  <c r="O8" i="3" s="1"/>
  <c r="P8" i="3" s="1"/>
  <c r="Q951" i="3"/>
  <c r="R951" i="3" s="1"/>
  <c r="S951" i="3" s="1"/>
  <c r="Q854" i="3"/>
  <c r="R854" i="3" s="1"/>
  <c r="S854" i="3" s="1"/>
  <c r="Q751" i="3"/>
  <c r="R751" i="3" s="1"/>
  <c r="S751" i="3" s="1"/>
  <c r="Q630" i="3"/>
  <c r="R630" i="3" s="1"/>
  <c r="S630" i="3" s="1"/>
  <c r="Q464" i="3"/>
  <c r="R464" i="3" s="1"/>
  <c r="S464" i="3" s="1"/>
  <c r="H943" i="3"/>
  <c r="I943" i="3" s="1"/>
  <c r="J943" i="3" s="1"/>
  <c r="K943" i="3" s="1"/>
  <c r="L943" i="3" s="1"/>
  <c r="M943" i="3" s="1"/>
  <c r="N943" i="3" s="1"/>
  <c r="O943" i="3" s="1"/>
  <c r="P943" i="3" s="1"/>
  <c r="H935" i="3"/>
  <c r="I935" i="3" s="1"/>
  <c r="J935" i="3" s="1"/>
  <c r="K935" i="3" s="1"/>
  <c r="L935" i="3" s="1"/>
  <c r="M935" i="3" s="1"/>
  <c r="N935" i="3" s="1"/>
  <c r="O935" i="3" s="1"/>
  <c r="P935" i="3" s="1"/>
  <c r="H927" i="3"/>
  <c r="I927" i="3" s="1"/>
  <c r="J927" i="3" s="1"/>
  <c r="K927" i="3" s="1"/>
  <c r="L927" i="3" s="1"/>
  <c r="M927" i="3" s="1"/>
  <c r="N927" i="3" s="1"/>
  <c r="O927" i="3" s="1"/>
  <c r="P927" i="3" s="1"/>
  <c r="H919" i="3"/>
  <c r="I919" i="3" s="1"/>
  <c r="J919" i="3" s="1"/>
  <c r="K919" i="3" s="1"/>
  <c r="L919" i="3" s="1"/>
  <c r="M919" i="3" s="1"/>
  <c r="N919" i="3" s="1"/>
  <c r="O919" i="3" s="1"/>
  <c r="P919" i="3" s="1"/>
  <c r="H911" i="3"/>
  <c r="I911" i="3" s="1"/>
  <c r="J911" i="3" s="1"/>
  <c r="K911" i="3" s="1"/>
  <c r="L911" i="3" s="1"/>
  <c r="M911" i="3" s="1"/>
  <c r="N911" i="3" s="1"/>
  <c r="O911" i="3" s="1"/>
  <c r="P911" i="3" s="1"/>
  <c r="H903" i="3"/>
  <c r="I903" i="3" s="1"/>
  <c r="J903" i="3" s="1"/>
  <c r="K903" i="3" s="1"/>
  <c r="L903" i="3" s="1"/>
  <c r="M903" i="3" s="1"/>
  <c r="N903" i="3" s="1"/>
  <c r="O903" i="3" s="1"/>
  <c r="P903" i="3" s="1"/>
  <c r="H895" i="3"/>
  <c r="I895" i="3" s="1"/>
  <c r="J895" i="3" s="1"/>
  <c r="K895" i="3" s="1"/>
  <c r="L895" i="3" s="1"/>
  <c r="M895" i="3" s="1"/>
  <c r="N895" i="3" s="1"/>
  <c r="O895" i="3" s="1"/>
  <c r="P895" i="3" s="1"/>
  <c r="H887" i="3"/>
  <c r="I887" i="3" s="1"/>
  <c r="J887" i="3" s="1"/>
  <c r="K887" i="3" s="1"/>
  <c r="L887" i="3" s="1"/>
  <c r="M887" i="3" s="1"/>
  <c r="N887" i="3" s="1"/>
  <c r="O887" i="3" s="1"/>
  <c r="P887" i="3" s="1"/>
  <c r="H871" i="3"/>
  <c r="I871" i="3" s="1"/>
  <c r="J871" i="3" s="1"/>
  <c r="K871" i="3" s="1"/>
  <c r="L871" i="3" s="1"/>
  <c r="M871" i="3" s="1"/>
  <c r="N871" i="3" s="1"/>
  <c r="O871" i="3" s="1"/>
  <c r="P871" i="3" s="1"/>
  <c r="H863" i="3"/>
  <c r="I863" i="3" s="1"/>
  <c r="J863" i="3" s="1"/>
  <c r="K863" i="3" s="1"/>
  <c r="L863" i="3" s="1"/>
  <c r="M863" i="3" s="1"/>
  <c r="N863" i="3" s="1"/>
  <c r="O863" i="3" s="1"/>
  <c r="P863" i="3" s="1"/>
  <c r="H855" i="3"/>
  <c r="I855" i="3" s="1"/>
  <c r="J855" i="3" s="1"/>
  <c r="K855" i="3" s="1"/>
  <c r="L855" i="3" s="1"/>
  <c r="M855" i="3" s="1"/>
  <c r="N855" i="3" s="1"/>
  <c r="O855" i="3" s="1"/>
  <c r="P855" i="3" s="1"/>
  <c r="H847" i="3"/>
  <c r="I847" i="3" s="1"/>
  <c r="J847" i="3" s="1"/>
  <c r="K847" i="3" s="1"/>
  <c r="L847" i="3" s="1"/>
  <c r="M847" i="3" s="1"/>
  <c r="N847" i="3" s="1"/>
  <c r="O847" i="3" s="1"/>
  <c r="P847" i="3" s="1"/>
  <c r="H839" i="3"/>
  <c r="I839" i="3" s="1"/>
  <c r="J839" i="3" s="1"/>
  <c r="K839" i="3" s="1"/>
  <c r="L839" i="3" s="1"/>
  <c r="M839" i="3" s="1"/>
  <c r="N839" i="3" s="1"/>
  <c r="O839" i="3" s="1"/>
  <c r="P839" i="3" s="1"/>
  <c r="H831" i="3"/>
  <c r="I831" i="3" s="1"/>
  <c r="J831" i="3" s="1"/>
  <c r="K831" i="3" s="1"/>
  <c r="L831" i="3" s="1"/>
  <c r="M831" i="3" s="1"/>
  <c r="N831" i="3" s="1"/>
  <c r="O831" i="3" s="1"/>
  <c r="P831" i="3" s="1"/>
  <c r="H823" i="3"/>
  <c r="I823" i="3" s="1"/>
  <c r="J823" i="3" s="1"/>
  <c r="K823" i="3" s="1"/>
  <c r="L823" i="3" s="1"/>
  <c r="M823" i="3" s="1"/>
  <c r="N823" i="3" s="1"/>
  <c r="O823" i="3" s="1"/>
  <c r="P823" i="3" s="1"/>
  <c r="H807" i="3"/>
  <c r="I807" i="3" s="1"/>
  <c r="J807" i="3" s="1"/>
  <c r="K807" i="3" s="1"/>
  <c r="L807" i="3" s="1"/>
  <c r="M807" i="3" s="1"/>
  <c r="N807" i="3" s="1"/>
  <c r="O807" i="3" s="1"/>
  <c r="P807" i="3" s="1"/>
  <c r="H799" i="3"/>
  <c r="I799" i="3" s="1"/>
  <c r="J799" i="3" s="1"/>
  <c r="K799" i="3" s="1"/>
  <c r="L799" i="3" s="1"/>
  <c r="M799" i="3" s="1"/>
  <c r="N799" i="3" s="1"/>
  <c r="O799" i="3" s="1"/>
  <c r="P799" i="3" s="1"/>
  <c r="H791" i="3"/>
  <c r="I791" i="3" s="1"/>
  <c r="J791" i="3" s="1"/>
  <c r="K791" i="3" s="1"/>
  <c r="L791" i="3" s="1"/>
  <c r="M791" i="3" s="1"/>
  <c r="N791" i="3" s="1"/>
  <c r="O791" i="3" s="1"/>
  <c r="P791" i="3" s="1"/>
  <c r="H783" i="3"/>
  <c r="I783" i="3" s="1"/>
  <c r="J783" i="3" s="1"/>
  <c r="K783" i="3" s="1"/>
  <c r="L783" i="3" s="1"/>
  <c r="M783" i="3" s="1"/>
  <c r="N783" i="3" s="1"/>
  <c r="O783" i="3" s="1"/>
  <c r="P783" i="3" s="1"/>
  <c r="H775" i="3"/>
  <c r="I775" i="3" s="1"/>
  <c r="J775" i="3" s="1"/>
  <c r="K775" i="3" s="1"/>
  <c r="L775" i="3" s="1"/>
  <c r="M775" i="3" s="1"/>
  <c r="N775" i="3" s="1"/>
  <c r="O775" i="3" s="1"/>
  <c r="P775" i="3" s="1"/>
  <c r="H767" i="3"/>
  <c r="I767" i="3" s="1"/>
  <c r="J767" i="3" s="1"/>
  <c r="K767" i="3" s="1"/>
  <c r="L767" i="3" s="1"/>
  <c r="M767" i="3" s="1"/>
  <c r="N767" i="3" s="1"/>
  <c r="O767" i="3" s="1"/>
  <c r="P767" i="3" s="1"/>
  <c r="H759" i="3"/>
  <c r="I759" i="3" s="1"/>
  <c r="J759" i="3" s="1"/>
  <c r="K759" i="3" s="1"/>
  <c r="L759" i="3" s="1"/>
  <c r="M759" i="3" s="1"/>
  <c r="N759" i="3" s="1"/>
  <c r="O759" i="3" s="1"/>
  <c r="P759" i="3" s="1"/>
  <c r="H743" i="3"/>
  <c r="I743" i="3" s="1"/>
  <c r="J743" i="3" s="1"/>
  <c r="K743" i="3" s="1"/>
  <c r="L743" i="3" s="1"/>
  <c r="M743" i="3" s="1"/>
  <c r="N743" i="3" s="1"/>
  <c r="O743" i="3" s="1"/>
  <c r="P743" i="3" s="1"/>
  <c r="H735" i="3"/>
  <c r="I735" i="3" s="1"/>
  <c r="J735" i="3" s="1"/>
  <c r="K735" i="3" s="1"/>
  <c r="L735" i="3" s="1"/>
  <c r="M735" i="3" s="1"/>
  <c r="N735" i="3" s="1"/>
  <c r="O735" i="3" s="1"/>
  <c r="P735" i="3" s="1"/>
  <c r="H727" i="3"/>
  <c r="I727" i="3" s="1"/>
  <c r="J727" i="3" s="1"/>
  <c r="K727" i="3" s="1"/>
  <c r="L727" i="3" s="1"/>
  <c r="M727" i="3" s="1"/>
  <c r="N727" i="3" s="1"/>
  <c r="O727" i="3" s="1"/>
  <c r="P727" i="3" s="1"/>
  <c r="H719" i="3"/>
  <c r="I719" i="3" s="1"/>
  <c r="J719" i="3" s="1"/>
  <c r="K719" i="3" s="1"/>
  <c r="L719" i="3" s="1"/>
  <c r="M719" i="3" s="1"/>
  <c r="N719" i="3" s="1"/>
  <c r="O719" i="3" s="1"/>
  <c r="P719" i="3" s="1"/>
  <c r="H711" i="3"/>
  <c r="I711" i="3" s="1"/>
  <c r="J711" i="3" s="1"/>
  <c r="K711" i="3" s="1"/>
  <c r="L711" i="3" s="1"/>
  <c r="M711" i="3" s="1"/>
  <c r="N711" i="3" s="1"/>
  <c r="O711" i="3" s="1"/>
  <c r="P711" i="3" s="1"/>
  <c r="H703" i="3"/>
  <c r="I703" i="3" s="1"/>
  <c r="J703" i="3" s="1"/>
  <c r="K703" i="3" s="1"/>
  <c r="L703" i="3" s="1"/>
  <c r="M703" i="3" s="1"/>
  <c r="N703" i="3" s="1"/>
  <c r="O703" i="3" s="1"/>
  <c r="P703" i="3" s="1"/>
  <c r="H695" i="3"/>
  <c r="I695" i="3" s="1"/>
  <c r="J695" i="3" s="1"/>
  <c r="K695" i="3" s="1"/>
  <c r="L695" i="3" s="1"/>
  <c r="M695" i="3" s="1"/>
  <c r="N695" i="3" s="1"/>
  <c r="O695" i="3" s="1"/>
  <c r="P695" i="3" s="1"/>
  <c r="H679" i="3"/>
  <c r="I679" i="3" s="1"/>
  <c r="J679" i="3" s="1"/>
  <c r="K679" i="3" s="1"/>
  <c r="L679" i="3" s="1"/>
  <c r="M679" i="3" s="1"/>
  <c r="N679" i="3" s="1"/>
  <c r="O679" i="3" s="1"/>
  <c r="P679" i="3" s="1"/>
  <c r="H671" i="3"/>
  <c r="I671" i="3" s="1"/>
  <c r="J671" i="3" s="1"/>
  <c r="K671" i="3" s="1"/>
  <c r="L671" i="3" s="1"/>
  <c r="M671" i="3" s="1"/>
  <c r="N671" i="3" s="1"/>
  <c r="O671" i="3" s="1"/>
  <c r="P671" i="3" s="1"/>
  <c r="H663" i="3"/>
  <c r="I663" i="3" s="1"/>
  <c r="J663" i="3" s="1"/>
  <c r="K663" i="3" s="1"/>
  <c r="L663" i="3" s="1"/>
  <c r="M663" i="3" s="1"/>
  <c r="N663" i="3" s="1"/>
  <c r="O663" i="3" s="1"/>
  <c r="P663" i="3" s="1"/>
  <c r="H655" i="3"/>
  <c r="I655" i="3" s="1"/>
  <c r="J655" i="3" s="1"/>
  <c r="K655" i="3" s="1"/>
  <c r="L655" i="3" s="1"/>
  <c r="M655" i="3" s="1"/>
  <c r="N655" i="3" s="1"/>
  <c r="O655" i="3" s="1"/>
  <c r="P655" i="3" s="1"/>
  <c r="H647" i="3"/>
  <c r="I647" i="3" s="1"/>
  <c r="J647" i="3" s="1"/>
  <c r="K647" i="3" s="1"/>
  <c r="L647" i="3" s="1"/>
  <c r="M647" i="3" s="1"/>
  <c r="N647" i="3" s="1"/>
  <c r="O647" i="3" s="1"/>
  <c r="P647" i="3" s="1"/>
  <c r="H639" i="3"/>
  <c r="I639" i="3" s="1"/>
  <c r="J639" i="3" s="1"/>
  <c r="K639" i="3" s="1"/>
  <c r="L639" i="3" s="1"/>
  <c r="M639" i="3" s="1"/>
  <c r="N639" i="3" s="1"/>
  <c r="O639" i="3" s="1"/>
  <c r="P639" i="3" s="1"/>
  <c r="H631" i="3"/>
  <c r="I631" i="3" s="1"/>
  <c r="J631" i="3" s="1"/>
  <c r="K631" i="3" s="1"/>
  <c r="L631" i="3" s="1"/>
  <c r="M631" i="3" s="1"/>
  <c r="N631" i="3" s="1"/>
  <c r="O631" i="3" s="1"/>
  <c r="P631" i="3" s="1"/>
  <c r="H623" i="3"/>
  <c r="I623" i="3" s="1"/>
  <c r="J623" i="3" s="1"/>
  <c r="K623" i="3" s="1"/>
  <c r="L623" i="3" s="1"/>
  <c r="M623" i="3" s="1"/>
  <c r="N623" i="3" s="1"/>
  <c r="O623" i="3" s="1"/>
  <c r="P623" i="3" s="1"/>
  <c r="H615" i="3"/>
  <c r="I615" i="3" s="1"/>
  <c r="J615" i="3" s="1"/>
  <c r="K615" i="3" s="1"/>
  <c r="L615" i="3" s="1"/>
  <c r="M615" i="3" s="1"/>
  <c r="N615" i="3" s="1"/>
  <c r="O615" i="3" s="1"/>
  <c r="P615" i="3" s="1"/>
  <c r="H607" i="3"/>
  <c r="I607" i="3" s="1"/>
  <c r="J607" i="3" s="1"/>
  <c r="K607" i="3" s="1"/>
  <c r="L607" i="3" s="1"/>
  <c r="M607" i="3" s="1"/>
  <c r="N607" i="3" s="1"/>
  <c r="O607" i="3" s="1"/>
  <c r="P607" i="3" s="1"/>
  <c r="H599" i="3"/>
  <c r="I599" i="3" s="1"/>
  <c r="J599" i="3" s="1"/>
  <c r="K599" i="3" s="1"/>
  <c r="L599" i="3" s="1"/>
  <c r="M599" i="3" s="1"/>
  <c r="N599" i="3" s="1"/>
  <c r="O599" i="3" s="1"/>
  <c r="P599" i="3" s="1"/>
  <c r="H591" i="3"/>
  <c r="I591" i="3" s="1"/>
  <c r="J591" i="3" s="1"/>
  <c r="K591" i="3" s="1"/>
  <c r="L591" i="3" s="1"/>
  <c r="M591" i="3" s="1"/>
  <c r="N591" i="3" s="1"/>
  <c r="O591" i="3" s="1"/>
  <c r="P591" i="3" s="1"/>
  <c r="H583" i="3"/>
  <c r="I583" i="3" s="1"/>
  <c r="J583" i="3" s="1"/>
  <c r="K583" i="3" s="1"/>
  <c r="L583" i="3" s="1"/>
  <c r="M583" i="3" s="1"/>
  <c r="N583" i="3" s="1"/>
  <c r="O583" i="3" s="1"/>
  <c r="P583" i="3" s="1"/>
  <c r="H575" i="3"/>
  <c r="I575" i="3" s="1"/>
  <c r="J575" i="3" s="1"/>
  <c r="K575" i="3" s="1"/>
  <c r="L575" i="3" s="1"/>
  <c r="M575" i="3" s="1"/>
  <c r="N575" i="3" s="1"/>
  <c r="O575" i="3" s="1"/>
  <c r="P575" i="3" s="1"/>
  <c r="H559" i="3"/>
  <c r="I559" i="3" s="1"/>
  <c r="J559" i="3" s="1"/>
  <c r="K559" i="3" s="1"/>
  <c r="L559" i="3" s="1"/>
  <c r="M559" i="3" s="1"/>
  <c r="N559" i="3" s="1"/>
  <c r="O559" i="3" s="1"/>
  <c r="P559" i="3" s="1"/>
  <c r="H551" i="3"/>
  <c r="I551" i="3" s="1"/>
  <c r="J551" i="3" s="1"/>
  <c r="K551" i="3" s="1"/>
  <c r="L551" i="3" s="1"/>
  <c r="M551" i="3" s="1"/>
  <c r="N551" i="3" s="1"/>
  <c r="O551" i="3" s="1"/>
  <c r="P551" i="3" s="1"/>
  <c r="H543" i="3"/>
  <c r="I543" i="3" s="1"/>
  <c r="J543" i="3" s="1"/>
  <c r="K543" i="3" s="1"/>
  <c r="L543" i="3" s="1"/>
  <c r="M543" i="3" s="1"/>
  <c r="N543" i="3" s="1"/>
  <c r="O543" i="3" s="1"/>
  <c r="P543" i="3" s="1"/>
  <c r="H535" i="3"/>
  <c r="I535" i="3" s="1"/>
  <c r="J535" i="3" s="1"/>
  <c r="K535" i="3" s="1"/>
  <c r="L535" i="3" s="1"/>
  <c r="M535" i="3" s="1"/>
  <c r="N535" i="3" s="1"/>
  <c r="O535" i="3" s="1"/>
  <c r="P535" i="3" s="1"/>
  <c r="H519" i="3"/>
  <c r="I519" i="3" s="1"/>
  <c r="J519" i="3" s="1"/>
  <c r="K519" i="3" s="1"/>
  <c r="L519" i="3" s="1"/>
  <c r="M519" i="3" s="1"/>
  <c r="N519" i="3" s="1"/>
  <c r="O519" i="3" s="1"/>
  <c r="P519" i="3" s="1"/>
  <c r="H511" i="3"/>
  <c r="I511" i="3" s="1"/>
  <c r="J511" i="3" s="1"/>
  <c r="K511" i="3" s="1"/>
  <c r="L511" i="3" s="1"/>
  <c r="M511" i="3" s="1"/>
  <c r="N511" i="3" s="1"/>
  <c r="O511" i="3" s="1"/>
  <c r="P511" i="3" s="1"/>
  <c r="H503" i="3"/>
  <c r="I503" i="3" s="1"/>
  <c r="J503" i="3" s="1"/>
  <c r="K503" i="3" s="1"/>
  <c r="L503" i="3" s="1"/>
  <c r="M503" i="3" s="1"/>
  <c r="N503" i="3" s="1"/>
  <c r="O503" i="3" s="1"/>
  <c r="P503" i="3" s="1"/>
  <c r="H495" i="3"/>
  <c r="I495" i="3" s="1"/>
  <c r="J495" i="3" s="1"/>
  <c r="K495" i="3" s="1"/>
  <c r="L495" i="3" s="1"/>
  <c r="M495" i="3" s="1"/>
  <c r="N495" i="3" s="1"/>
  <c r="O495" i="3" s="1"/>
  <c r="P495" i="3" s="1"/>
  <c r="H479" i="3"/>
  <c r="I479" i="3" s="1"/>
  <c r="J479" i="3" s="1"/>
  <c r="K479" i="3" s="1"/>
  <c r="L479" i="3" s="1"/>
  <c r="M479" i="3" s="1"/>
  <c r="N479" i="3" s="1"/>
  <c r="O479" i="3" s="1"/>
  <c r="P479" i="3" s="1"/>
  <c r="H471" i="3"/>
  <c r="I471" i="3" s="1"/>
  <c r="J471" i="3" s="1"/>
  <c r="K471" i="3" s="1"/>
  <c r="L471" i="3" s="1"/>
  <c r="M471" i="3" s="1"/>
  <c r="N471" i="3" s="1"/>
  <c r="O471" i="3" s="1"/>
  <c r="P471" i="3" s="1"/>
  <c r="H463" i="3"/>
  <c r="I463" i="3" s="1"/>
  <c r="J463" i="3" s="1"/>
  <c r="K463" i="3" s="1"/>
  <c r="L463" i="3" s="1"/>
  <c r="M463" i="3" s="1"/>
  <c r="N463" i="3" s="1"/>
  <c r="O463" i="3" s="1"/>
  <c r="P463" i="3" s="1"/>
  <c r="H455" i="3"/>
  <c r="I455" i="3" s="1"/>
  <c r="J455" i="3" s="1"/>
  <c r="K455" i="3" s="1"/>
  <c r="L455" i="3" s="1"/>
  <c r="M455" i="3" s="1"/>
  <c r="N455" i="3" s="1"/>
  <c r="O455" i="3" s="1"/>
  <c r="P455" i="3" s="1"/>
  <c r="Q455" i="3" s="1"/>
  <c r="R455" i="3" s="1"/>
  <c r="S455" i="3" s="1"/>
  <c r="H439" i="3"/>
  <c r="I439" i="3" s="1"/>
  <c r="J439" i="3" s="1"/>
  <c r="K439" i="3" s="1"/>
  <c r="L439" i="3" s="1"/>
  <c r="M439" i="3" s="1"/>
  <c r="N439" i="3" s="1"/>
  <c r="O439" i="3" s="1"/>
  <c r="P439" i="3" s="1"/>
  <c r="Q942" i="3"/>
  <c r="R942" i="3" s="1"/>
  <c r="S942" i="3" s="1"/>
  <c r="Q840" i="3"/>
  <c r="R840" i="3" s="1"/>
  <c r="S840" i="3" s="1"/>
  <c r="Q447" i="3"/>
  <c r="R447" i="3" s="1"/>
  <c r="S447" i="3" s="1"/>
  <c r="H998" i="3"/>
  <c r="H990" i="3"/>
  <c r="I990" i="3" s="1"/>
  <c r="J990" i="3" s="1"/>
  <c r="K990" i="3" s="1"/>
  <c r="L990" i="3" s="1"/>
  <c r="M990" i="3" s="1"/>
  <c r="N990" i="3" s="1"/>
  <c r="O990" i="3" s="1"/>
  <c r="P990" i="3" s="1"/>
  <c r="H982" i="3"/>
  <c r="I982" i="3" s="1"/>
  <c r="J982" i="3" s="1"/>
  <c r="K982" i="3" s="1"/>
  <c r="L982" i="3" s="1"/>
  <c r="M982" i="3" s="1"/>
  <c r="N982" i="3" s="1"/>
  <c r="O982" i="3" s="1"/>
  <c r="P982" i="3" s="1"/>
  <c r="H974" i="3"/>
  <c r="I974" i="3" s="1"/>
  <c r="J974" i="3" s="1"/>
  <c r="K974" i="3" s="1"/>
  <c r="L974" i="3" s="1"/>
  <c r="M974" i="3" s="1"/>
  <c r="N974" i="3" s="1"/>
  <c r="O974" i="3" s="1"/>
  <c r="P974" i="3" s="1"/>
  <c r="H966" i="3"/>
  <c r="H958" i="3"/>
  <c r="I958" i="3" s="1"/>
  <c r="J958" i="3" s="1"/>
  <c r="K958" i="3" s="1"/>
  <c r="L958" i="3" s="1"/>
  <c r="M958" i="3" s="1"/>
  <c r="N958" i="3" s="1"/>
  <c r="O958" i="3" s="1"/>
  <c r="P958" i="3" s="1"/>
  <c r="H950" i="3"/>
  <c r="I950" i="3" s="1"/>
  <c r="J950" i="3" s="1"/>
  <c r="K950" i="3" s="1"/>
  <c r="L950" i="3" s="1"/>
  <c r="M950" i="3" s="1"/>
  <c r="N950" i="3" s="1"/>
  <c r="O950" i="3" s="1"/>
  <c r="P950" i="3" s="1"/>
  <c r="H934" i="3"/>
  <c r="I934" i="3" s="1"/>
  <c r="J934" i="3" s="1"/>
  <c r="K934" i="3" s="1"/>
  <c r="L934" i="3" s="1"/>
  <c r="M934" i="3" s="1"/>
  <c r="N934" i="3" s="1"/>
  <c r="O934" i="3" s="1"/>
  <c r="P934" i="3" s="1"/>
  <c r="H926" i="3"/>
  <c r="H910" i="3"/>
  <c r="I910" i="3" s="1"/>
  <c r="J910" i="3" s="1"/>
  <c r="K910" i="3" s="1"/>
  <c r="L910" i="3" s="1"/>
  <c r="M910" i="3" s="1"/>
  <c r="N910" i="3" s="1"/>
  <c r="O910" i="3" s="1"/>
  <c r="P910" i="3" s="1"/>
  <c r="H902" i="3"/>
  <c r="I902" i="3" s="1"/>
  <c r="J902" i="3" s="1"/>
  <c r="K902" i="3" s="1"/>
  <c r="L902" i="3" s="1"/>
  <c r="M902" i="3" s="1"/>
  <c r="N902" i="3" s="1"/>
  <c r="O902" i="3" s="1"/>
  <c r="P902" i="3" s="1"/>
  <c r="H894" i="3"/>
  <c r="H886" i="3"/>
  <c r="H878" i="3"/>
  <c r="H870" i="3"/>
  <c r="H862" i="3"/>
  <c r="H846" i="3"/>
  <c r="H838" i="3"/>
  <c r="H830" i="3"/>
  <c r="H822" i="3"/>
  <c r="H814" i="3"/>
  <c r="H806" i="3"/>
  <c r="H798" i="3"/>
  <c r="H782" i="3"/>
  <c r="H774" i="3"/>
  <c r="H766" i="3"/>
  <c r="H758" i="3"/>
  <c r="H750" i="3"/>
  <c r="H742" i="3"/>
  <c r="H734" i="3"/>
  <c r="H718" i="3"/>
  <c r="H710" i="3"/>
  <c r="H702" i="3"/>
  <c r="H694" i="3"/>
  <c r="H686" i="3"/>
  <c r="H678" i="3"/>
  <c r="H670" i="3"/>
  <c r="H662" i="3"/>
  <c r="H654" i="3"/>
  <c r="H646" i="3"/>
  <c r="H638" i="3"/>
  <c r="H622" i="3"/>
  <c r="H614" i="3"/>
  <c r="H606" i="3"/>
  <c r="H598" i="3"/>
  <c r="H582" i="3"/>
  <c r="H574" i="3"/>
  <c r="H566" i="3"/>
  <c r="H558" i="3"/>
  <c r="H542" i="3"/>
  <c r="H534" i="3"/>
  <c r="H526" i="3"/>
  <c r="H518" i="3"/>
  <c r="H510" i="3"/>
  <c r="H502" i="3"/>
  <c r="H494" i="3"/>
  <c r="H486" i="3"/>
  <c r="H478" i="3"/>
  <c r="H470" i="3"/>
  <c r="H462" i="3"/>
  <c r="H454" i="3"/>
  <c r="H446" i="3"/>
  <c r="H438" i="3"/>
  <c r="H430" i="3"/>
  <c r="H422" i="3"/>
  <c r="H414" i="3"/>
  <c r="Q999" i="3"/>
  <c r="R999" i="3" s="1"/>
  <c r="S999" i="3" s="1"/>
  <c r="Q929" i="3"/>
  <c r="R929" i="3" s="1"/>
  <c r="S929" i="3" s="1"/>
  <c r="Q828" i="3"/>
  <c r="R828" i="3" s="1"/>
  <c r="S828" i="3" s="1"/>
  <c r="Q726" i="3"/>
  <c r="R726" i="3" s="1"/>
  <c r="S726" i="3" s="1"/>
  <c r="Q590" i="3"/>
  <c r="R590" i="3" s="1"/>
  <c r="S590" i="3" s="1"/>
  <c r="Q424" i="3"/>
  <c r="R424" i="3" s="1"/>
  <c r="S424" i="3" s="1"/>
  <c r="Q991" i="3"/>
  <c r="R991" i="3" s="1"/>
  <c r="S991" i="3" s="1"/>
  <c r="Q918" i="3"/>
  <c r="R918" i="3" s="1"/>
  <c r="S918" i="3" s="1"/>
  <c r="Q815" i="3"/>
  <c r="R815" i="3" s="1"/>
  <c r="S815" i="3" s="1"/>
  <c r="Q712" i="3"/>
  <c r="R712" i="3" s="1"/>
  <c r="S712" i="3" s="1"/>
  <c r="Q567" i="3"/>
  <c r="R567" i="3" s="1"/>
  <c r="S567" i="3" s="1"/>
  <c r="Q406" i="3"/>
  <c r="R406" i="3" s="1"/>
  <c r="S406" i="3" s="1"/>
  <c r="H415" i="3"/>
  <c r="H407" i="3"/>
  <c r="H391" i="3"/>
  <c r="H351" i="3"/>
  <c r="H343" i="3"/>
  <c r="H327" i="3"/>
  <c r="H287" i="3"/>
  <c r="H279" i="3"/>
  <c r="H263" i="3"/>
  <c r="H223" i="3"/>
  <c r="H215" i="3"/>
  <c r="H199" i="3"/>
  <c r="H159" i="3"/>
  <c r="H151" i="3"/>
  <c r="H135" i="3"/>
  <c r="H111" i="3"/>
  <c r="H103" i="3"/>
  <c r="H95" i="3"/>
  <c r="H87" i="3"/>
  <c r="H71" i="3"/>
  <c r="H47" i="3"/>
  <c r="H39" i="3"/>
  <c r="H31" i="3"/>
  <c r="H23" i="3"/>
  <c r="H7" i="3"/>
  <c r="Q423" i="3"/>
  <c r="R423" i="3" s="1"/>
  <c r="S423" i="3" s="1"/>
  <c r="Q383" i="3"/>
  <c r="R383" i="3" s="1"/>
  <c r="S383" i="3" s="1"/>
  <c r="Q342" i="3"/>
  <c r="R342" i="3" s="1"/>
  <c r="S342" i="3" s="1"/>
  <c r="Q297" i="3"/>
  <c r="R297" i="3" s="1"/>
  <c r="S297" i="3" s="1"/>
  <c r="Q257" i="3"/>
  <c r="R257" i="3" s="1"/>
  <c r="S257" i="3" s="1"/>
  <c r="Q239" i="3"/>
  <c r="R239" i="3" s="1"/>
  <c r="S239" i="3" s="1"/>
  <c r="Q217" i="3"/>
  <c r="R217" i="3" s="1"/>
  <c r="S217" i="3" s="1"/>
  <c r="Q196" i="3"/>
  <c r="R196" i="3" s="1"/>
  <c r="S196" i="3" s="1"/>
  <c r="Q177" i="3"/>
  <c r="R177" i="3" s="1"/>
  <c r="S177" i="3" s="1"/>
  <c r="Q156" i="3"/>
  <c r="R156" i="3" s="1"/>
  <c r="S156" i="3" s="1"/>
  <c r="Q105" i="3"/>
  <c r="R105" i="3" s="1"/>
  <c r="S105" i="3" s="1"/>
  <c r="Q76" i="3"/>
  <c r="R76" i="3" s="1"/>
  <c r="S76" i="3" s="1"/>
  <c r="H390" i="3"/>
  <c r="H382" i="3"/>
  <c r="H366" i="3"/>
  <c r="H326" i="3"/>
  <c r="H318" i="3"/>
  <c r="H302" i="3"/>
  <c r="H262" i="3"/>
  <c r="H254" i="3"/>
  <c r="H238" i="3"/>
  <c r="H198" i="3"/>
  <c r="H190" i="3"/>
  <c r="H174" i="3"/>
  <c r="H134" i="3"/>
  <c r="H126" i="3"/>
  <c r="H110" i="3"/>
  <c r="H86" i="3"/>
  <c r="H78" i="3"/>
  <c r="H70" i="3"/>
  <c r="H62" i="3"/>
  <c r="H46" i="3"/>
  <c r="H22" i="3"/>
  <c r="H14" i="3"/>
  <c r="Q1005" i="3"/>
  <c r="R1005" i="3" s="1"/>
  <c r="S1005" i="3" s="1"/>
  <c r="Q997" i="3"/>
  <c r="R997" i="3" s="1"/>
  <c r="S997" i="3" s="1"/>
  <c r="Q989" i="3"/>
  <c r="R989" i="3" s="1"/>
  <c r="S989" i="3" s="1"/>
  <c r="Q981" i="3"/>
  <c r="R981" i="3" s="1"/>
  <c r="S981" i="3" s="1"/>
  <c r="Q973" i="3"/>
  <c r="R973" i="3" s="1"/>
  <c r="S973" i="3" s="1"/>
  <c r="Q965" i="3"/>
  <c r="R965" i="3" s="1"/>
  <c r="S965" i="3" s="1"/>
  <c r="Q957" i="3"/>
  <c r="R957" i="3" s="1"/>
  <c r="S957" i="3" s="1"/>
  <c r="Q949" i="3"/>
  <c r="R949" i="3" s="1"/>
  <c r="S949" i="3" s="1"/>
  <c r="Q399" i="3"/>
  <c r="R399" i="3" s="1"/>
  <c r="S399" i="3" s="1"/>
  <c r="Q380" i="3"/>
  <c r="R380" i="3" s="1"/>
  <c r="S380" i="3" s="1"/>
  <c r="Q359" i="3"/>
  <c r="R359" i="3" s="1"/>
  <c r="S359" i="3" s="1"/>
  <c r="Q319" i="3"/>
  <c r="R319" i="3" s="1"/>
  <c r="S319" i="3" s="1"/>
  <c r="Q278" i="3"/>
  <c r="R278" i="3" s="1"/>
  <c r="S278" i="3" s="1"/>
  <c r="Q233" i="3"/>
  <c r="R233" i="3" s="1"/>
  <c r="S233" i="3" s="1"/>
  <c r="Q193" i="3"/>
  <c r="R193" i="3" s="1"/>
  <c r="S193" i="3" s="1"/>
  <c r="Q175" i="3"/>
  <c r="R175" i="3" s="1"/>
  <c r="S175" i="3" s="1"/>
  <c r="Q153" i="3"/>
  <c r="R153" i="3" s="1"/>
  <c r="S153" i="3" s="1"/>
  <c r="Q132" i="3"/>
  <c r="R132" i="3" s="1"/>
  <c r="S132" i="3" s="1"/>
  <c r="Q68" i="3"/>
  <c r="R68" i="3" s="1"/>
  <c r="S68" i="3" s="1"/>
  <c r="Q38" i="3"/>
  <c r="R38" i="3" s="1"/>
  <c r="S38" i="3" s="1"/>
  <c r="H941" i="3"/>
  <c r="H933" i="3"/>
  <c r="H925" i="3"/>
  <c r="I925" i="3" s="1"/>
  <c r="J925" i="3" s="1"/>
  <c r="K925" i="3" s="1"/>
  <c r="L925" i="3" s="1"/>
  <c r="M925" i="3" s="1"/>
  <c r="N925" i="3" s="1"/>
  <c r="O925" i="3" s="1"/>
  <c r="P925" i="3" s="1"/>
  <c r="H917" i="3"/>
  <c r="H909" i="3"/>
  <c r="H901" i="3"/>
  <c r="H893" i="3"/>
  <c r="I893" i="3" s="1"/>
  <c r="J893" i="3" s="1"/>
  <c r="K893" i="3" s="1"/>
  <c r="L893" i="3" s="1"/>
  <c r="M893" i="3" s="1"/>
  <c r="N893" i="3" s="1"/>
  <c r="O893" i="3" s="1"/>
  <c r="P893" i="3" s="1"/>
  <c r="H885" i="3"/>
  <c r="H877" i="3"/>
  <c r="H869" i="3"/>
  <c r="I869" i="3" s="1"/>
  <c r="J869" i="3" s="1"/>
  <c r="K869" i="3" s="1"/>
  <c r="L869" i="3" s="1"/>
  <c r="M869" i="3" s="1"/>
  <c r="N869" i="3" s="1"/>
  <c r="O869" i="3" s="1"/>
  <c r="P869" i="3" s="1"/>
  <c r="H861" i="3"/>
  <c r="I861" i="3" s="1"/>
  <c r="J861" i="3" s="1"/>
  <c r="K861" i="3" s="1"/>
  <c r="L861" i="3" s="1"/>
  <c r="M861" i="3" s="1"/>
  <c r="N861" i="3" s="1"/>
  <c r="O861" i="3" s="1"/>
  <c r="P861" i="3" s="1"/>
  <c r="H853" i="3"/>
  <c r="H845" i="3"/>
  <c r="H837" i="3"/>
  <c r="I837" i="3" s="1"/>
  <c r="J837" i="3" s="1"/>
  <c r="K837" i="3" s="1"/>
  <c r="L837" i="3" s="1"/>
  <c r="M837" i="3" s="1"/>
  <c r="N837" i="3" s="1"/>
  <c r="O837" i="3" s="1"/>
  <c r="P837" i="3" s="1"/>
  <c r="H829" i="3"/>
  <c r="I829" i="3" s="1"/>
  <c r="J829" i="3" s="1"/>
  <c r="K829" i="3" s="1"/>
  <c r="L829" i="3" s="1"/>
  <c r="M829" i="3" s="1"/>
  <c r="N829" i="3" s="1"/>
  <c r="O829" i="3" s="1"/>
  <c r="P829" i="3" s="1"/>
  <c r="H821" i="3"/>
  <c r="H813" i="3"/>
  <c r="H805" i="3"/>
  <c r="I805" i="3" s="1"/>
  <c r="J805" i="3" s="1"/>
  <c r="K805" i="3" s="1"/>
  <c r="L805" i="3" s="1"/>
  <c r="M805" i="3" s="1"/>
  <c r="N805" i="3" s="1"/>
  <c r="O805" i="3" s="1"/>
  <c r="P805" i="3" s="1"/>
  <c r="H797" i="3"/>
  <c r="I797" i="3" s="1"/>
  <c r="J797" i="3" s="1"/>
  <c r="K797" i="3" s="1"/>
  <c r="L797" i="3" s="1"/>
  <c r="M797" i="3" s="1"/>
  <c r="N797" i="3" s="1"/>
  <c r="O797" i="3" s="1"/>
  <c r="P797" i="3" s="1"/>
  <c r="H789" i="3"/>
  <c r="H781" i="3"/>
  <c r="H773" i="3"/>
  <c r="I773" i="3" s="1"/>
  <c r="J773" i="3" s="1"/>
  <c r="K773" i="3" s="1"/>
  <c r="L773" i="3" s="1"/>
  <c r="M773" i="3" s="1"/>
  <c r="N773" i="3" s="1"/>
  <c r="O773" i="3" s="1"/>
  <c r="P773" i="3" s="1"/>
  <c r="H765" i="3"/>
  <c r="I765" i="3" s="1"/>
  <c r="J765" i="3" s="1"/>
  <c r="K765" i="3" s="1"/>
  <c r="L765" i="3" s="1"/>
  <c r="M765" i="3" s="1"/>
  <c r="N765" i="3" s="1"/>
  <c r="O765" i="3" s="1"/>
  <c r="P765" i="3" s="1"/>
  <c r="H757" i="3"/>
  <c r="H749" i="3"/>
  <c r="H741" i="3"/>
  <c r="I741" i="3" s="1"/>
  <c r="J741" i="3" s="1"/>
  <c r="K741" i="3" s="1"/>
  <c r="L741" i="3" s="1"/>
  <c r="M741" i="3" s="1"/>
  <c r="N741" i="3" s="1"/>
  <c r="O741" i="3" s="1"/>
  <c r="P741" i="3" s="1"/>
  <c r="H733" i="3"/>
  <c r="I733" i="3" s="1"/>
  <c r="J733" i="3" s="1"/>
  <c r="K733" i="3" s="1"/>
  <c r="L733" i="3" s="1"/>
  <c r="M733" i="3" s="1"/>
  <c r="N733" i="3" s="1"/>
  <c r="O733" i="3" s="1"/>
  <c r="P733" i="3" s="1"/>
  <c r="H725" i="3"/>
  <c r="H717" i="3"/>
  <c r="H709" i="3"/>
  <c r="I709" i="3" s="1"/>
  <c r="J709" i="3" s="1"/>
  <c r="K709" i="3" s="1"/>
  <c r="L709" i="3" s="1"/>
  <c r="M709" i="3" s="1"/>
  <c r="N709" i="3" s="1"/>
  <c r="O709" i="3" s="1"/>
  <c r="P709" i="3" s="1"/>
  <c r="H701" i="3"/>
  <c r="I701" i="3" s="1"/>
  <c r="J701" i="3" s="1"/>
  <c r="K701" i="3" s="1"/>
  <c r="L701" i="3" s="1"/>
  <c r="M701" i="3" s="1"/>
  <c r="N701" i="3" s="1"/>
  <c r="O701" i="3" s="1"/>
  <c r="P701" i="3" s="1"/>
  <c r="H693" i="3"/>
  <c r="H685" i="3"/>
  <c r="H661" i="3"/>
  <c r="I661" i="3" s="1"/>
  <c r="J661" i="3" s="1"/>
  <c r="K661" i="3" s="1"/>
  <c r="L661" i="3" s="1"/>
  <c r="M661" i="3" s="1"/>
  <c r="N661" i="3" s="1"/>
  <c r="O661" i="3" s="1"/>
  <c r="P661" i="3" s="1"/>
  <c r="H653" i="3"/>
  <c r="I653" i="3" s="1"/>
  <c r="J653" i="3" s="1"/>
  <c r="K653" i="3" s="1"/>
  <c r="L653" i="3" s="1"/>
  <c r="M653" i="3" s="1"/>
  <c r="N653" i="3" s="1"/>
  <c r="O653" i="3" s="1"/>
  <c r="P653" i="3" s="1"/>
  <c r="H645" i="3"/>
  <c r="H637" i="3"/>
  <c r="H629" i="3"/>
  <c r="I629" i="3" s="1"/>
  <c r="J629" i="3" s="1"/>
  <c r="K629" i="3" s="1"/>
  <c r="L629" i="3" s="1"/>
  <c r="M629" i="3" s="1"/>
  <c r="N629" i="3" s="1"/>
  <c r="O629" i="3" s="1"/>
  <c r="P629" i="3" s="1"/>
  <c r="H621" i="3"/>
  <c r="I621" i="3" s="1"/>
  <c r="J621" i="3" s="1"/>
  <c r="K621" i="3" s="1"/>
  <c r="L621" i="3" s="1"/>
  <c r="M621" i="3" s="1"/>
  <c r="N621" i="3" s="1"/>
  <c r="O621" i="3" s="1"/>
  <c r="P621" i="3" s="1"/>
  <c r="H613" i="3"/>
  <c r="H605" i="3"/>
  <c r="H597" i="3"/>
  <c r="I597" i="3" s="1"/>
  <c r="J597" i="3" s="1"/>
  <c r="K597" i="3" s="1"/>
  <c r="L597" i="3" s="1"/>
  <c r="M597" i="3" s="1"/>
  <c r="N597" i="3" s="1"/>
  <c r="O597" i="3" s="1"/>
  <c r="P597" i="3" s="1"/>
  <c r="H589" i="3"/>
  <c r="I589" i="3" s="1"/>
  <c r="J589" i="3" s="1"/>
  <c r="K589" i="3" s="1"/>
  <c r="L589" i="3" s="1"/>
  <c r="M589" i="3" s="1"/>
  <c r="N589" i="3" s="1"/>
  <c r="O589" i="3" s="1"/>
  <c r="P589" i="3" s="1"/>
  <c r="H581" i="3"/>
  <c r="H573" i="3"/>
  <c r="H565" i="3"/>
  <c r="I565" i="3" s="1"/>
  <c r="J565" i="3" s="1"/>
  <c r="K565" i="3" s="1"/>
  <c r="L565" i="3" s="1"/>
  <c r="M565" i="3" s="1"/>
  <c r="N565" i="3" s="1"/>
  <c r="O565" i="3" s="1"/>
  <c r="P565" i="3" s="1"/>
  <c r="H557" i="3"/>
  <c r="I557" i="3" s="1"/>
  <c r="J557" i="3" s="1"/>
  <c r="K557" i="3" s="1"/>
  <c r="L557" i="3" s="1"/>
  <c r="M557" i="3" s="1"/>
  <c r="N557" i="3" s="1"/>
  <c r="O557" i="3" s="1"/>
  <c r="P557" i="3" s="1"/>
  <c r="H549" i="3"/>
  <c r="H541" i="3"/>
  <c r="H533" i="3"/>
  <c r="I533" i="3" s="1"/>
  <c r="J533" i="3" s="1"/>
  <c r="K533" i="3" s="1"/>
  <c r="L533" i="3" s="1"/>
  <c r="M533" i="3" s="1"/>
  <c r="N533" i="3" s="1"/>
  <c r="O533" i="3" s="1"/>
  <c r="P533" i="3" s="1"/>
  <c r="H525" i="3"/>
  <c r="I525" i="3" s="1"/>
  <c r="J525" i="3" s="1"/>
  <c r="K525" i="3" s="1"/>
  <c r="L525" i="3" s="1"/>
  <c r="M525" i="3" s="1"/>
  <c r="N525" i="3" s="1"/>
  <c r="O525" i="3" s="1"/>
  <c r="P525" i="3" s="1"/>
  <c r="H517" i="3"/>
  <c r="H509" i="3"/>
  <c r="H501" i="3"/>
  <c r="I501" i="3" s="1"/>
  <c r="J501" i="3" s="1"/>
  <c r="K501" i="3" s="1"/>
  <c r="L501" i="3" s="1"/>
  <c r="M501" i="3" s="1"/>
  <c r="N501" i="3" s="1"/>
  <c r="O501" i="3" s="1"/>
  <c r="P501" i="3" s="1"/>
  <c r="H493" i="3"/>
  <c r="I493" i="3" s="1"/>
  <c r="J493" i="3" s="1"/>
  <c r="K493" i="3" s="1"/>
  <c r="L493" i="3" s="1"/>
  <c r="M493" i="3" s="1"/>
  <c r="N493" i="3" s="1"/>
  <c r="O493" i="3" s="1"/>
  <c r="P493" i="3" s="1"/>
  <c r="H485" i="3"/>
  <c r="H477" i="3"/>
  <c r="H469" i="3"/>
  <c r="I469" i="3" s="1"/>
  <c r="J469" i="3" s="1"/>
  <c r="K469" i="3" s="1"/>
  <c r="L469" i="3" s="1"/>
  <c r="M469" i="3" s="1"/>
  <c r="N469" i="3" s="1"/>
  <c r="O469" i="3" s="1"/>
  <c r="P469" i="3" s="1"/>
  <c r="H461" i="3"/>
  <c r="I461" i="3" s="1"/>
  <c r="J461" i="3" s="1"/>
  <c r="K461" i="3" s="1"/>
  <c r="L461" i="3" s="1"/>
  <c r="M461" i="3" s="1"/>
  <c r="N461" i="3" s="1"/>
  <c r="O461" i="3" s="1"/>
  <c r="P461" i="3" s="1"/>
  <c r="H453" i="3"/>
  <c r="H445" i="3"/>
  <c r="H437" i="3"/>
  <c r="I437" i="3" s="1"/>
  <c r="J437" i="3" s="1"/>
  <c r="K437" i="3" s="1"/>
  <c r="L437" i="3" s="1"/>
  <c r="M437" i="3" s="1"/>
  <c r="N437" i="3" s="1"/>
  <c r="O437" i="3" s="1"/>
  <c r="P437" i="3" s="1"/>
  <c r="H429" i="3"/>
  <c r="I429" i="3" s="1"/>
  <c r="J429" i="3" s="1"/>
  <c r="K429" i="3" s="1"/>
  <c r="L429" i="3" s="1"/>
  <c r="M429" i="3" s="1"/>
  <c r="N429" i="3" s="1"/>
  <c r="O429" i="3" s="1"/>
  <c r="P429" i="3" s="1"/>
  <c r="H421" i="3"/>
  <c r="H413" i="3"/>
  <c r="H405" i="3"/>
  <c r="I405" i="3" s="1"/>
  <c r="J405" i="3" s="1"/>
  <c r="K405" i="3" s="1"/>
  <c r="L405" i="3" s="1"/>
  <c r="M405" i="3" s="1"/>
  <c r="N405" i="3" s="1"/>
  <c r="O405" i="3" s="1"/>
  <c r="P405" i="3" s="1"/>
  <c r="H397" i="3"/>
  <c r="I397" i="3" s="1"/>
  <c r="J397" i="3" s="1"/>
  <c r="K397" i="3" s="1"/>
  <c r="L397" i="3" s="1"/>
  <c r="M397" i="3" s="1"/>
  <c r="N397" i="3" s="1"/>
  <c r="O397" i="3" s="1"/>
  <c r="P397" i="3" s="1"/>
  <c r="H389" i="3"/>
  <c r="H381" i="3"/>
  <c r="H373" i="3"/>
  <c r="I373" i="3" s="1"/>
  <c r="J373" i="3" s="1"/>
  <c r="K373" i="3" s="1"/>
  <c r="L373" i="3" s="1"/>
  <c r="M373" i="3" s="1"/>
  <c r="N373" i="3" s="1"/>
  <c r="O373" i="3" s="1"/>
  <c r="P373" i="3" s="1"/>
  <c r="H365" i="3"/>
  <c r="I365" i="3" s="1"/>
  <c r="J365" i="3" s="1"/>
  <c r="K365" i="3" s="1"/>
  <c r="L365" i="3" s="1"/>
  <c r="M365" i="3" s="1"/>
  <c r="N365" i="3" s="1"/>
  <c r="O365" i="3" s="1"/>
  <c r="P365" i="3" s="1"/>
  <c r="H357" i="3"/>
  <c r="H349" i="3"/>
  <c r="H341" i="3"/>
  <c r="I341" i="3" s="1"/>
  <c r="J341" i="3" s="1"/>
  <c r="K341" i="3" s="1"/>
  <c r="L341" i="3" s="1"/>
  <c r="M341" i="3" s="1"/>
  <c r="N341" i="3" s="1"/>
  <c r="O341" i="3" s="1"/>
  <c r="P341" i="3" s="1"/>
  <c r="H333" i="3"/>
  <c r="I333" i="3" s="1"/>
  <c r="J333" i="3" s="1"/>
  <c r="K333" i="3" s="1"/>
  <c r="L333" i="3" s="1"/>
  <c r="M333" i="3" s="1"/>
  <c r="N333" i="3" s="1"/>
  <c r="O333" i="3" s="1"/>
  <c r="P333" i="3" s="1"/>
  <c r="H325" i="3"/>
  <c r="H317" i="3"/>
  <c r="H309" i="3"/>
  <c r="I309" i="3" s="1"/>
  <c r="J309" i="3" s="1"/>
  <c r="K309" i="3" s="1"/>
  <c r="L309" i="3" s="1"/>
  <c r="M309" i="3" s="1"/>
  <c r="N309" i="3" s="1"/>
  <c r="O309" i="3" s="1"/>
  <c r="P309" i="3" s="1"/>
  <c r="H301" i="3"/>
  <c r="I301" i="3" s="1"/>
  <c r="J301" i="3" s="1"/>
  <c r="K301" i="3" s="1"/>
  <c r="L301" i="3" s="1"/>
  <c r="M301" i="3" s="1"/>
  <c r="N301" i="3" s="1"/>
  <c r="O301" i="3" s="1"/>
  <c r="P301" i="3" s="1"/>
  <c r="H293" i="3"/>
  <c r="H285" i="3"/>
  <c r="H277" i="3"/>
  <c r="I277" i="3" s="1"/>
  <c r="J277" i="3" s="1"/>
  <c r="K277" i="3" s="1"/>
  <c r="L277" i="3" s="1"/>
  <c r="M277" i="3" s="1"/>
  <c r="N277" i="3" s="1"/>
  <c r="O277" i="3" s="1"/>
  <c r="P277" i="3" s="1"/>
  <c r="H269" i="3"/>
  <c r="I269" i="3" s="1"/>
  <c r="J269" i="3" s="1"/>
  <c r="K269" i="3" s="1"/>
  <c r="L269" i="3" s="1"/>
  <c r="M269" i="3" s="1"/>
  <c r="N269" i="3" s="1"/>
  <c r="O269" i="3" s="1"/>
  <c r="P269" i="3" s="1"/>
  <c r="H261" i="3"/>
  <c r="H253" i="3"/>
  <c r="H245" i="3"/>
  <c r="I245" i="3" s="1"/>
  <c r="J245" i="3" s="1"/>
  <c r="K245" i="3" s="1"/>
  <c r="L245" i="3" s="1"/>
  <c r="M245" i="3" s="1"/>
  <c r="N245" i="3" s="1"/>
  <c r="O245" i="3" s="1"/>
  <c r="P245" i="3" s="1"/>
  <c r="H237" i="3"/>
  <c r="I237" i="3" s="1"/>
  <c r="J237" i="3" s="1"/>
  <c r="K237" i="3" s="1"/>
  <c r="L237" i="3" s="1"/>
  <c r="M237" i="3" s="1"/>
  <c r="N237" i="3" s="1"/>
  <c r="O237" i="3" s="1"/>
  <c r="P237" i="3" s="1"/>
  <c r="H229" i="3"/>
  <c r="H221" i="3"/>
  <c r="H213" i="3"/>
  <c r="I213" i="3" s="1"/>
  <c r="J213" i="3" s="1"/>
  <c r="K213" i="3" s="1"/>
  <c r="L213" i="3" s="1"/>
  <c r="M213" i="3" s="1"/>
  <c r="N213" i="3" s="1"/>
  <c r="O213" i="3" s="1"/>
  <c r="P213" i="3" s="1"/>
  <c r="H205" i="3"/>
  <c r="I205" i="3" s="1"/>
  <c r="J205" i="3" s="1"/>
  <c r="K205" i="3" s="1"/>
  <c r="L205" i="3" s="1"/>
  <c r="M205" i="3" s="1"/>
  <c r="N205" i="3" s="1"/>
  <c r="O205" i="3" s="1"/>
  <c r="P205" i="3" s="1"/>
  <c r="H197" i="3"/>
  <c r="H189" i="3"/>
  <c r="H181" i="3"/>
  <c r="I181" i="3" s="1"/>
  <c r="J181" i="3" s="1"/>
  <c r="K181" i="3" s="1"/>
  <c r="L181" i="3" s="1"/>
  <c r="M181" i="3" s="1"/>
  <c r="N181" i="3" s="1"/>
  <c r="O181" i="3" s="1"/>
  <c r="P181" i="3" s="1"/>
  <c r="H173" i="3"/>
  <c r="I173" i="3" s="1"/>
  <c r="J173" i="3" s="1"/>
  <c r="K173" i="3" s="1"/>
  <c r="L173" i="3" s="1"/>
  <c r="M173" i="3" s="1"/>
  <c r="N173" i="3" s="1"/>
  <c r="O173" i="3" s="1"/>
  <c r="P173" i="3" s="1"/>
  <c r="H165" i="3"/>
  <c r="H157" i="3"/>
  <c r="H149" i="3"/>
  <c r="I149" i="3" s="1"/>
  <c r="J149" i="3" s="1"/>
  <c r="K149" i="3" s="1"/>
  <c r="L149" i="3" s="1"/>
  <c r="M149" i="3" s="1"/>
  <c r="N149" i="3" s="1"/>
  <c r="O149" i="3" s="1"/>
  <c r="P149" i="3" s="1"/>
  <c r="H141" i="3"/>
  <c r="I141" i="3" s="1"/>
  <c r="J141" i="3" s="1"/>
  <c r="K141" i="3" s="1"/>
  <c r="L141" i="3" s="1"/>
  <c r="M141" i="3" s="1"/>
  <c r="N141" i="3" s="1"/>
  <c r="O141" i="3" s="1"/>
  <c r="P141" i="3" s="1"/>
  <c r="H133" i="3"/>
  <c r="H125" i="3"/>
  <c r="H117" i="3"/>
  <c r="I117" i="3" s="1"/>
  <c r="J117" i="3" s="1"/>
  <c r="K117" i="3" s="1"/>
  <c r="L117" i="3" s="1"/>
  <c r="M117" i="3" s="1"/>
  <c r="N117" i="3" s="1"/>
  <c r="O117" i="3" s="1"/>
  <c r="P117" i="3" s="1"/>
  <c r="H109" i="3"/>
  <c r="I109" i="3" s="1"/>
  <c r="J109" i="3" s="1"/>
  <c r="K109" i="3" s="1"/>
  <c r="L109" i="3" s="1"/>
  <c r="M109" i="3" s="1"/>
  <c r="N109" i="3" s="1"/>
  <c r="O109" i="3" s="1"/>
  <c r="P109" i="3" s="1"/>
  <c r="H101" i="3"/>
  <c r="H93" i="3"/>
  <c r="H85" i="3"/>
  <c r="I85" i="3" s="1"/>
  <c r="J85" i="3" s="1"/>
  <c r="K85" i="3" s="1"/>
  <c r="L85" i="3" s="1"/>
  <c r="M85" i="3" s="1"/>
  <c r="N85" i="3" s="1"/>
  <c r="O85" i="3" s="1"/>
  <c r="P85" i="3" s="1"/>
  <c r="H77" i="3"/>
  <c r="I77" i="3" s="1"/>
  <c r="J77" i="3" s="1"/>
  <c r="K77" i="3" s="1"/>
  <c r="L77" i="3" s="1"/>
  <c r="M77" i="3" s="1"/>
  <c r="N77" i="3" s="1"/>
  <c r="O77" i="3" s="1"/>
  <c r="P77" i="3" s="1"/>
  <c r="H69" i="3"/>
  <c r="H61" i="3"/>
  <c r="H53" i="3"/>
  <c r="I53" i="3" s="1"/>
  <c r="J53" i="3" s="1"/>
  <c r="K53" i="3" s="1"/>
  <c r="L53" i="3" s="1"/>
  <c r="M53" i="3" s="1"/>
  <c r="N53" i="3" s="1"/>
  <c r="O53" i="3" s="1"/>
  <c r="P53" i="3" s="1"/>
  <c r="H45" i="3"/>
  <c r="I45" i="3" s="1"/>
  <c r="J45" i="3" s="1"/>
  <c r="K45" i="3" s="1"/>
  <c r="L45" i="3" s="1"/>
  <c r="M45" i="3" s="1"/>
  <c r="N45" i="3" s="1"/>
  <c r="O45" i="3" s="1"/>
  <c r="P45" i="3" s="1"/>
  <c r="H37" i="3"/>
  <c r="H29" i="3"/>
  <c r="H21" i="3"/>
  <c r="I21" i="3" s="1"/>
  <c r="J21" i="3" s="1"/>
  <c r="K21" i="3" s="1"/>
  <c r="L21" i="3" s="1"/>
  <c r="M21" i="3" s="1"/>
  <c r="N21" i="3" s="1"/>
  <c r="O21" i="3" s="1"/>
  <c r="P21" i="3" s="1"/>
  <c r="H13" i="3"/>
  <c r="I13" i="3" s="1"/>
  <c r="J13" i="3" s="1"/>
  <c r="K13" i="3" s="1"/>
  <c r="L13" i="3" s="1"/>
  <c r="M13" i="3" s="1"/>
  <c r="N13" i="3" s="1"/>
  <c r="O13" i="3" s="1"/>
  <c r="P13" i="3" s="1"/>
  <c r="Q398" i="3"/>
  <c r="R398" i="3" s="1"/>
  <c r="S398" i="3" s="1"/>
  <c r="Q375" i="3"/>
  <c r="R375" i="3" s="1"/>
  <c r="S375" i="3" s="1"/>
  <c r="Q358" i="3"/>
  <c r="R358" i="3" s="1"/>
  <c r="S358" i="3" s="1"/>
  <c r="Q335" i="3"/>
  <c r="R335" i="3" s="1"/>
  <c r="S335" i="3" s="1"/>
  <c r="Q316" i="3"/>
  <c r="R316" i="3" s="1"/>
  <c r="S316" i="3" s="1"/>
  <c r="Q295" i="3"/>
  <c r="R295" i="3" s="1"/>
  <c r="S295" i="3" s="1"/>
  <c r="Q255" i="3"/>
  <c r="R255" i="3" s="1"/>
  <c r="S255" i="3" s="1"/>
  <c r="Q214" i="3"/>
  <c r="R214" i="3" s="1"/>
  <c r="S214" i="3" s="1"/>
  <c r="Q169" i="3"/>
  <c r="R169" i="3" s="1"/>
  <c r="S169" i="3" s="1"/>
  <c r="Q129" i="3"/>
  <c r="R129" i="3" s="1"/>
  <c r="S129" i="3" s="1"/>
  <c r="Q102" i="3"/>
  <c r="R102" i="3" s="1"/>
  <c r="S102" i="3" s="1"/>
  <c r="Q65" i="3"/>
  <c r="R65" i="3" s="1"/>
  <c r="S65" i="3" s="1"/>
  <c r="Q30" i="3"/>
  <c r="R30" i="3" s="1"/>
  <c r="S30" i="3" s="1"/>
  <c r="H428" i="3"/>
  <c r="I428" i="3" s="1"/>
  <c r="J428" i="3" s="1"/>
  <c r="K428" i="3" s="1"/>
  <c r="L428" i="3" s="1"/>
  <c r="M428" i="3" s="1"/>
  <c r="N428" i="3" s="1"/>
  <c r="O428" i="3" s="1"/>
  <c r="P428" i="3" s="1"/>
  <c r="H420" i="3"/>
  <c r="I420" i="3" s="1"/>
  <c r="J420" i="3" s="1"/>
  <c r="K420" i="3" s="1"/>
  <c r="L420" i="3" s="1"/>
  <c r="M420" i="3" s="1"/>
  <c r="N420" i="3" s="1"/>
  <c r="O420" i="3" s="1"/>
  <c r="P420" i="3" s="1"/>
  <c r="H404" i="3"/>
  <c r="I404" i="3" s="1"/>
  <c r="J404" i="3" s="1"/>
  <c r="K404" i="3" s="1"/>
  <c r="L404" i="3" s="1"/>
  <c r="M404" i="3" s="1"/>
  <c r="N404" i="3" s="1"/>
  <c r="O404" i="3" s="1"/>
  <c r="P404" i="3" s="1"/>
  <c r="H364" i="3"/>
  <c r="I364" i="3" s="1"/>
  <c r="J364" i="3" s="1"/>
  <c r="K364" i="3" s="1"/>
  <c r="L364" i="3" s="1"/>
  <c r="M364" i="3" s="1"/>
  <c r="N364" i="3" s="1"/>
  <c r="O364" i="3" s="1"/>
  <c r="P364" i="3" s="1"/>
  <c r="H356" i="3"/>
  <c r="I356" i="3" s="1"/>
  <c r="J356" i="3" s="1"/>
  <c r="K356" i="3" s="1"/>
  <c r="L356" i="3" s="1"/>
  <c r="M356" i="3" s="1"/>
  <c r="N356" i="3" s="1"/>
  <c r="O356" i="3" s="1"/>
  <c r="P356" i="3" s="1"/>
  <c r="H340" i="3"/>
  <c r="I340" i="3" s="1"/>
  <c r="J340" i="3" s="1"/>
  <c r="K340" i="3" s="1"/>
  <c r="L340" i="3" s="1"/>
  <c r="M340" i="3" s="1"/>
  <c r="N340" i="3" s="1"/>
  <c r="O340" i="3" s="1"/>
  <c r="P340" i="3" s="1"/>
  <c r="H300" i="3"/>
  <c r="I300" i="3" s="1"/>
  <c r="J300" i="3" s="1"/>
  <c r="K300" i="3" s="1"/>
  <c r="L300" i="3" s="1"/>
  <c r="M300" i="3" s="1"/>
  <c r="N300" i="3" s="1"/>
  <c r="O300" i="3" s="1"/>
  <c r="P300" i="3" s="1"/>
  <c r="H292" i="3"/>
  <c r="I292" i="3" s="1"/>
  <c r="J292" i="3" s="1"/>
  <c r="K292" i="3" s="1"/>
  <c r="L292" i="3" s="1"/>
  <c r="M292" i="3" s="1"/>
  <c r="N292" i="3" s="1"/>
  <c r="O292" i="3" s="1"/>
  <c r="P292" i="3" s="1"/>
  <c r="H276" i="3"/>
  <c r="I276" i="3" s="1"/>
  <c r="J276" i="3" s="1"/>
  <c r="K276" i="3" s="1"/>
  <c r="L276" i="3" s="1"/>
  <c r="M276" i="3" s="1"/>
  <c r="N276" i="3" s="1"/>
  <c r="O276" i="3" s="1"/>
  <c r="P276" i="3" s="1"/>
  <c r="H236" i="3"/>
  <c r="I236" i="3" s="1"/>
  <c r="J236" i="3" s="1"/>
  <c r="K236" i="3" s="1"/>
  <c r="L236" i="3" s="1"/>
  <c r="M236" i="3" s="1"/>
  <c r="N236" i="3" s="1"/>
  <c r="O236" i="3" s="1"/>
  <c r="P236" i="3" s="1"/>
  <c r="H228" i="3"/>
  <c r="I228" i="3" s="1"/>
  <c r="J228" i="3" s="1"/>
  <c r="K228" i="3" s="1"/>
  <c r="L228" i="3" s="1"/>
  <c r="M228" i="3" s="1"/>
  <c r="N228" i="3" s="1"/>
  <c r="O228" i="3" s="1"/>
  <c r="P228" i="3" s="1"/>
  <c r="H212" i="3"/>
  <c r="I212" i="3" s="1"/>
  <c r="J212" i="3" s="1"/>
  <c r="K212" i="3" s="1"/>
  <c r="L212" i="3" s="1"/>
  <c r="M212" i="3" s="1"/>
  <c r="N212" i="3" s="1"/>
  <c r="O212" i="3" s="1"/>
  <c r="P212" i="3" s="1"/>
  <c r="H172" i="3"/>
  <c r="I172" i="3" s="1"/>
  <c r="J172" i="3" s="1"/>
  <c r="K172" i="3" s="1"/>
  <c r="L172" i="3" s="1"/>
  <c r="M172" i="3" s="1"/>
  <c r="N172" i="3" s="1"/>
  <c r="O172" i="3" s="1"/>
  <c r="P172" i="3" s="1"/>
  <c r="H164" i="3"/>
  <c r="I164" i="3" s="1"/>
  <c r="J164" i="3" s="1"/>
  <c r="K164" i="3" s="1"/>
  <c r="L164" i="3" s="1"/>
  <c r="M164" i="3" s="1"/>
  <c r="N164" i="3" s="1"/>
  <c r="O164" i="3" s="1"/>
  <c r="P164" i="3" s="1"/>
  <c r="H148" i="3"/>
  <c r="I148" i="3" s="1"/>
  <c r="J148" i="3" s="1"/>
  <c r="K148" i="3" s="1"/>
  <c r="L148" i="3" s="1"/>
  <c r="M148" i="3" s="1"/>
  <c r="N148" i="3" s="1"/>
  <c r="O148" i="3" s="1"/>
  <c r="P148" i="3" s="1"/>
  <c r="H124" i="3"/>
  <c r="I124" i="3" s="1"/>
  <c r="J124" i="3" s="1"/>
  <c r="K124" i="3" s="1"/>
  <c r="L124" i="3" s="1"/>
  <c r="M124" i="3" s="1"/>
  <c r="N124" i="3" s="1"/>
  <c r="O124" i="3" s="1"/>
  <c r="P124" i="3" s="1"/>
  <c r="H116" i="3"/>
  <c r="I116" i="3" s="1"/>
  <c r="J116" i="3" s="1"/>
  <c r="K116" i="3" s="1"/>
  <c r="L116" i="3" s="1"/>
  <c r="M116" i="3" s="1"/>
  <c r="N116" i="3" s="1"/>
  <c r="O116" i="3" s="1"/>
  <c r="P116" i="3" s="1"/>
  <c r="H108" i="3"/>
  <c r="I108" i="3" s="1"/>
  <c r="J108" i="3" s="1"/>
  <c r="K108" i="3" s="1"/>
  <c r="L108" i="3" s="1"/>
  <c r="M108" i="3" s="1"/>
  <c r="N108" i="3" s="1"/>
  <c r="O108" i="3" s="1"/>
  <c r="P108" i="3" s="1"/>
  <c r="H100" i="3"/>
  <c r="I100" i="3" s="1"/>
  <c r="J100" i="3" s="1"/>
  <c r="K100" i="3" s="1"/>
  <c r="L100" i="3" s="1"/>
  <c r="M100" i="3" s="1"/>
  <c r="N100" i="3" s="1"/>
  <c r="O100" i="3" s="1"/>
  <c r="P100" i="3" s="1"/>
  <c r="H84" i="3"/>
  <c r="I84" i="3" s="1"/>
  <c r="J84" i="3" s="1"/>
  <c r="K84" i="3" s="1"/>
  <c r="L84" i="3" s="1"/>
  <c r="M84" i="3" s="1"/>
  <c r="N84" i="3" s="1"/>
  <c r="O84" i="3" s="1"/>
  <c r="P84" i="3" s="1"/>
  <c r="H60" i="3"/>
  <c r="I60" i="3" s="1"/>
  <c r="J60" i="3" s="1"/>
  <c r="K60" i="3" s="1"/>
  <c r="L60" i="3" s="1"/>
  <c r="M60" i="3" s="1"/>
  <c r="N60" i="3" s="1"/>
  <c r="O60" i="3" s="1"/>
  <c r="P60" i="3" s="1"/>
  <c r="H52" i="3"/>
  <c r="I52" i="3" s="1"/>
  <c r="J52" i="3" s="1"/>
  <c r="K52" i="3" s="1"/>
  <c r="L52" i="3" s="1"/>
  <c r="M52" i="3" s="1"/>
  <c r="N52" i="3" s="1"/>
  <c r="O52" i="3" s="1"/>
  <c r="P52" i="3" s="1"/>
  <c r="H44" i="3"/>
  <c r="I44" i="3" s="1"/>
  <c r="J44" i="3" s="1"/>
  <c r="K44" i="3" s="1"/>
  <c r="L44" i="3" s="1"/>
  <c r="M44" i="3" s="1"/>
  <c r="N44" i="3" s="1"/>
  <c r="O44" i="3" s="1"/>
  <c r="P44" i="3" s="1"/>
  <c r="H36" i="3"/>
  <c r="I36" i="3" s="1"/>
  <c r="J36" i="3" s="1"/>
  <c r="K36" i="3" s="1"/>
  <c r="L36" i="3" s="1"/>
  <c r="M36" i="3" s="1"/>
  <c r="N36" i="3" s="1"/>
  <c r="O36" i="3" s="1"/>
  <c r="P36" i="3" s="1"/>
  <c r="H20" i="3"/>
  <c r="I20" i="3" s="1"/>
  <c r="J20" i="3" s="1"/>
  <c r="K20" i="3" s="1"/>
  <c r="L20" i="3" s="1"/>
  <c r="M20" i="3" s="1"/>
  <c r="N20" i="3" s="1"/>
  <c r="O20" i="3" s="1"/>
  <c r="P20" i="3" s="1"/>
  <c r="H12" i="3"/>
  <c r="I12" i="3" s="1"/>
  <c r="J12" i="3" s="1"/>
  <c r="K12" i="3" s="1"/>
  <c r="L12" i="3" s="1"/>
  <c r="M12" i="3" s="1"/>
  <c r="N12" i="3" s="1"/>
  <c r="O12" i="3" s="1"/>
  <c r="P12" i="3" s="1"/>
  <c r="Q436" i="3"/>
  <c r="R436" i="3" s="1"/>
  <c r="S436" i="3" s="1"/>
  <c r="Q396" i="3"/>
  <c r="R396" i="3" s="1"/>
  <c r="S396" i="3" s="1"/>
  <c r="Q374" i="3"/>
  <c r="R374" i="3" s="1"/>
  <c r="S374" i="3" s="1"/>
  <c r="Q353" i="3"/>
  <c r="R353" i="3" s="1"/>
  <c r="S353" i="3" s="1"/>
  <c r="Q334" i="3"/>
  <c r="R334" i="3" s="1"/>
  <c r="S334" i="3" s="1"/>
  <c r="Q311" i="3"/>
  <c r="R311" i="3" s="1"/>
  <c r="S311" i="3" s="1"/>
  <c r="Q294" i="3"/>
  <c r="R294" i="3" s="1"/>
  <c r="S294" i="3" s="1"/>
  <c r="Q271" i="3"/>
  <c r="R271" i="3" s="1"/>
  <c r="S271" i="3" s="1"/>
  <c r="Q252" i="3"/>
  <c r="R252" i="3" s="1"/>
  <c r="S252" i="3" s="1"/>
  <c r="Q231" i="3"/>
  <c r="R231" i="3" s="1"/>
  <c r="S231" i="3" s="1"/>
  <c r="Q191" i="3"/>
  <c r="R191" i="3" s="1"/>
  <c r="S191" i="3" s="1"/>
  <c r="Q150" i="3"/>
  <c r="R150" i="3" s="1"/>
  <c r="S150" i="3" s="1"/>
  <c r="Q94" i="3"/>
  <c r="R94" i="3" s="1"/>
  <c r="S94" i="3" s="1"/>
  <c r="Q63" i="3"/>
  <c r="R63" i="3" s="1"/>
  <c r="S63" i="3" s="1"/>
  <c r="Q28" i="3"/>
  <c r="R28" i="3" s="1"/>
  <c r="S28" i="3" s="1"/>
  <c r="H619" i="3"/>
  <c r="H611" i="3"/>
  <c r="I611" i="3" s="1"/>
  <c r="J611" i="3" s="1"/>
  <c r="K611" i="3" s="1"/>
  <c r="L611" i="3" s="1"/>
  <c r="M611" i="3" s="1"/>
  <c r="N611" i="3" s="1"/>
  <c r="O611" i="3" s="1"/>
  <c r="P611" i="3" s="1"/>
  <c r="H603" i="3"/>
  <c r="I603" i="3" s="1"/>
  <c r="J603" i="3" s="1"/>
  <c r="K603" i="3" s="1"/>
  <c r="L603" i="3" s="1"/>
  <c r="M603" i="3" s="1"/>
  <c r="N603" i="3" s="1"/>
  <c r="O603" i="3" s="1"/>
  <c r="P603" i="3" s="1"/>
  <c r="H595" i="3"/>
  <c r="I595" i="3" s="1"/>
  <c r="J595" i="3" s="1"/>
  <c r="K595" i="3" s="1"/>
  <c r="L595" i="3" s="1"/>
  <c r="M595" i="3" s="1"/>
  <c r="N595" i="3" s="1"/>
  <c r="O595" i="3" s="1"/>
  <c r="P595" i="3" s="1"/>
  <c r="H587" i="3"/>
  <c r="I587" i="3" s="1"/>
  <c r="J587" i="3" s="1"/>
  <c r="K587" i="3" s="1"/>
  <c r="L587" i="3" s="1"/>
  <c r="M587" i="3" s="1"/>
  <c r="N587" i="3" s="1"/>
  <c r="O587" i="3" s="1"/>
  <c r="P587" i="3" s="1"/>
  <c r="H579" i="3"/>
  <c r="I579" i="3" s="1"/>
  <c r="J579" i="3" s="1"/>
  <c r="K579" i="3" s="1"/>
  <c r="L579" i="3" s="1"/>
  <c r="M579" i="3" s="1"/>
  <c r="N579" i="3" s="1"/>
  <c r="O579" i="3" s="1"/>
  <c r="P579" i="3" s="1"/>
  <c r="H571" i="3"/>
  <c r="I571" i="3" s="1"/>
  <c r="J571" i="3" s="1"/>
  <c r="K571" i="3" s="1"/>
  <c r="L571" i="3" s="1"/>
  <c r="M571" i="3" s="1"/>
  <c r="N571" i="3" s="1"/>
  <c r="O571" i="3" s="1"/>
  <c r="P571" i="3" s="1"/>
  <c r="H563" i="3"/>
  <c r="I563" i="3" s="1"/>
  <c r="J563" i="3" s="1"/>
  <c r="K563" i="3" s="1"/>
  <c r="L563" i="3" s="1"/>
  <c r="M563" i="3" s="1"/>
  <c r="N563" i="3" s="1"/>
  <c r="O563" i="3" s="1"/>
  <c r="P563" i="3" s="1"/>
  <c r="H555" i="3"/>
  <c r="I555" i="3" s="1"/>
  <c r="J555" i="3" s="1"/>
  <c r="K555" i="3" s="1"/>
  <c r="L555" i="3" s="1"/>
  <c r="M555" i="3" s="1"/>
  <c r="N555" i="3" s="1"/>
  <c r="O555" i="3" s="1"/>
  <c r="P555" i="3" s="1"/>
  <c r="H547" i="3"/>
  <c r="I547" i="3" s="1"/>
  <c r="J547" i="3" s="1"/>
  <c r="K547" i="3" s="1"/>
  <c r="L547" i="3" s="1"/>
  <c r="M547" i="3" s="1"/>
  <c r="N547" i="3" s="1"/>
  <c r="O547" i="3" s="1"/>
  <c r="P547" i="3" s="1"/>
  <c r="H539" i="3"/>
  <c r="I539" i="3" s="1"/>
  <c r="J539" i="3" s="1"/>
  <c r="K539" i="3" s="1"/>
  <c r="L539" i="3" s="1"/>
  <c r="M539" i="3" s="1"/>
  <c r="N539" i="3" s="1"/>
  <c r="O539" i="3" s="1"/>
  <c r="P539" i="3" s="1"/>
  <c r="H531" i="3"/>
  <c r="I531" i="3" s="1"/>
  <c r="J531" i="3" s="1"/>
  <c r="K531" i="3" s="1"/>
  <c r="L531" i="3" s="1"/>
  <c r="M531" i="3" s="1"/>
  <c r="N531" i="3" s="1"/>
  <c r="O531" i="3" s="1"/>
  <c r="P531" i="3" s="1"/>
  <c r="H523" i="3"/>
  <c r="I523" i="3" s="1"/>
  <c r="J523" i="3" s="1"/>
  <c r="K523" i="3" s="1"/>
  <c r="L523" i="3" s="1"/>
  <c r="M523" i="3" s="1"/>
  <c r="N523" i="3" s="1"/>
  <c r="O523" i="3" s="1"/>
  <c r="P523" i="3" s="1"/>
  <c r="H515" i="3"/>
  <c r="I515" i="3" s="1"/>
  <c r="J515" i="3" s="1"/>
  <c r="K515" i="3" s="1"/>
  <c r="L515" i="3" s="1"/>
  <c r="M515" i="3" s="1"/>
  <c r="N515" i="3" s="1"/>
  <c r="O515" i="3" s="1"/>
  <c r="P515" i="3" s="1"/>
  <c r="H507" i="3"/>
  <c r="I507" i="3" s="1"/>
  <c r="J507" i="3" s="1"/>
  <c r="K507" i="3" s="1"/>
  <c r="L507" i="3" s="1"/>
  <c r="M507" i="3" s="1"/>
  <c r="N507" i="3" s="1"/>
  <c r="O507" i="3" s="1"/>
  <c r="P507" i="3" s="1"/>
  <c r="H499" i="3"/>
  <c r="I499" i="3" s="1"/>
  <c r="J499" i="3" s="1"/>
  <c r="K499" i="3" s="1"/>
  <c r="L499" i="3" s="1"/>
  <c r="M499" i="3" s="1"/>
  <c r="N499" i="3" s="1"/>
  <c r="O499" i="3" s="1"/>
  <c r="P499" i="3" s="1"/>
  <c r="H491" i="3"/>
  <c r="I491" i="3" s="1"/>
  <c r="J491" i="3" s="1"/>
  <c r="K491" i="3" s="1"/>
  <c r="L491" i="3" s="1"/>
  <c r="M491" i="3" s="1"/>
  <c r="N491" i="3" s="1"/>
  <c r="O491" i="3" s="1"/>
  <c r="P491" i="3" s="1"/>
  <c r="H483" i="3"/>
  <c r="I483" i="3" s="1"/>
  <c r="J483" i="3" s="1"/>
  <c r="K483" i="3" s="1"/>
  <c r="L483" i="3" s="1"/>
  <c r="M483" i="3" s="1"/>
  <c r="N483" i="3" s="1"/>
  <c r="O483" i="3" s="1"/>
  <c r="P483" i="3" s="1"/>
  <c r="H475" i="3"/>
  <c r="I475" i="3" s="1"/>
  <c r="J475" i="3" s="1"/>
  <c r="K475" i="3" s="1"/>
  <c r="L475" i="3" s="1"/>
  <c r="M475" i="3" s="1"/>
  <c r="N475" i="3" s="1"/>
  <c r="O475" i="3" s="1"/>
  <c r="P475" i="3" s="1"/>
  <c r="H467" i="3"/>
  <c r="I467" i="3" s="1"/>
  <c r="J467" i="3" s="1"/>
  <c r="K467" i="3" s="1"/>
  <c r="L467" i="3" s="1"/>
  <c r="M467" i="3" s="1"/>
  <c r="N467" i="3" s="1"/>
  <c r="O467" i="3" s="1"/>
  <c r="P467" i="3" s="1"/>
  <c r="H459" i="3"/>
  <c r="I459" i="3" s="1"/>
  <c r="J459" i="3" s="1"/>
  <c r="K459" i="3" s="1"/>
  <c r="L459" i="3" s="1"/>
  <c r="M459" i="3" s="1"/>
  <c r="N459" i="3" s="1"/>
  <c r="O459" i="3" s="1"/>
  <c r="P459" i="3" s="1"/>
  <c r="H451" i="3"/>
  <c r="I451" i="3" s="1"/>
  <c r="J451" i="3" s="1"/>
  <c r="K451" i="3" s="1"/>
  <c r="L451" i="3" s="1"/>
  <c r="M451" i="3" s="1"/>
  <c r="N451" i="3" s="1"/>
  <c r="O451" i="3" s="1"/>
  <c r="P451" i="3" s="1"/>
  <c r="H443" i="3"/>
  <c r="I443" i="3" s="1"/>
  <c r="J443" i="3" s="1"/>
  <c r="K443" i="3" s="1"/>
  <c r="L443" i="3" s="1"/>
  <c r="M443" i="3" s="1"/>
  <c r="N443" i="3" s="1"/>
  <c r="O443" i="3" s="1"/>
  <c r="P443" i="3" s="1"/>
  <c r="H435" i="3"/>
  <c r="I435" i="3" s="1"/>
  <c r="J435" i="3" s="1"/>
  <c r="K435" i="3" s="1"/>
  <c r="L435" i="3" s="1"/>
  <c r="M435" i="3" s="1"/>
  <c r="N435" i="3" s="1"/>
  <c r="O435" i="3" s="1"/>
  <c r="P435" i="3" s="1"/>
  <c r="H427" i="3"/>
  <c r="I427" i="3" s="1"/>
  <c r="J427" i="3" s="1"/>
  <c r="K427" i="3" s="1"/>
  <c r="L427" i="3" s="1"/>
  <c r="M427" i="3" s="1"/>
  <c r="N427" i="3" s="1"/>
  <c r="O427" i="3" s="1"/>
  <c r="P427" i="3" s="1"/>
  <c r="H419" i="3"/>
  <c r="I419" i="3" s="1"/>
  <c r="J419" i="3" s="1"/>
  <c r="K419" i="3" s="1"/>
  <c r="L419" i="3" s="1"/>
  <c r="M419" i="3" s="1"/>
  <c r="N419" i="3" s="1"/>
  <c r="O419" i="3" s="1"/>
  <c r="P419" i="3" s="1"/>
  <c r="H411" i="3"/>
  <c r="I411" i="3" s="1"/>
  <c r="J411" i="3" s="1"/>
  <c r="K411" i="3" s="1"/>
  <c r="L411" i="3" s="1"/>
  <c r="M411" i="3" s="1"/>
  <c r="N411" i="3" s="1"/>
  <c r="O411" i="3" s="1"/>
  <c r="P411" i="3" s="1"/>
  <c r="H403" i="3"/>
  <c r="I403" i="3" s="1"/>
  <c r="J403" i="3" s="1"/>
  <c r="K403" i="3" s="1"/>
  <c r="L403" i="3" s="1"/>
  <c r="M403" i="3" s="1"/>
  <c r="N403" i="3" s="1"/>
  <c r="O403" i="3" s="1"/>
  <c r="P403" i="3" s="1"/>
  <c r="H395" i="3"/>
  <c r="I395" i="3" s="1"/>
  <c r="J395" i="3" s="1"/>
  <c r="K395" i="3" s="1"/>
  <c r="L395" i="3" s="1"/>
  <c r="M395" i="3" s="1"/>
  <c r="N395" i="3" s="1"/>
  <c r="O395" i="3" s="1"/>
  <c r="P395" i="3" s="1"/>
  <c r="H387" i="3"/>
  <c r="I387" i="3" s="1"/>
  <c r="J387" i="3" s="1"/>
  <c r="K387" i="3" s="1"/>
  <c r="L387" i="3" s="1"/>
  <c r="M387" i="3" s="1"/>
  <c r="N387" i="3" s="1"/>
  <c r="O387" i="3" s="1"/>
  <c r="P387" i="3" s="1"/>
  <c r="H379" i="3"/>
  <c r="I379" i="3" s="1"/>
  <c r="J379" i="3" s="1"/>
  <c r="K379" i="3" s="1"/>
  <c r="L379" i="3" s="1"/>
  <c r="M379" i="3" s="1"/>
  <c r="N379" i="3" s="1"/>
  <c r="O379" i="3" s="1"/>
  <c r="P379" i="3" s="1"/>
  <c r="H371" i="3"/>
  <c r="I371" i="3" s="1"/>
  <c r="J371" i="3" s="1"/>
  <c r="K371" i="3" s="1"/>
  <c r="L371" i="3" s="1"/>
  <c r="M371" i="3" s="1"/>
  <c r="N371" i="3" s="1"/>
  <c r="O371" i="3" s="1"/>
  <c r="P371" i="3" s="1"/>
  <c r="H363" i="3"/>
  <c r="I363" i="3" s="1"/>
  <c r="J363" i="3" s="1"/>
  <c r="K363" i="3" s="1"/>
  <c r="L363" i="3" s="1"/>
  <c r="M363" i="3" s="1"/>
  <c r="N363" i="3" s="1"/>
  <c r="O363" i="3" s="1"/>
  <c r="P363" i="3" s="1"/>
  <c r="H355" i="3"/>
  <c r="I355" i="3" s="1"/>
  <c r="J355" i="3" s="1"/>
  <c r="K355" i="3" s="1"/>
  <c r="L355" i="3" s="1"/>
  <c r="M355" i="3" s="1"/>
  <c r="N355" i="3" s="1"/>
  <c r="O355" i="3" s="1"/>
  <c r="P355" i="3" s="1"/>
  <c r="H347" i="3"/>
  <c r="I347" i="3" s="1"/>
  <c r="J347" i="3" s="1"/>
  <c r="K347" i="3" s="1"/>
  <c r="L347" i="3" s="1"/>
  <c r="M347" i="3" s="1"/>
  <c r="N347" i="3" s="1"/>
  <c r="O347" i="3" s="1"/>
  <c r="P347" i="3" s="1"/>
  <c r="H339" i="3"/>
  <c r="I339" i="3" s="1"/>
  <c r="J339" i="3" s="1"/>
  <c r="K339" i="3" s="1"/>
  <c r="L339" i="3" s="1"/>
  <c r="M339" i="3" s="1"/>
  <c r="N339" i="3" s="1"/>
  <c r="O339" i="3" s="1"/>
  <c r="P339" i="3" s="1"/>
  <c r="Q339" i="3" s="1"/>
  <c r="R339" i="3" s="1"/>
  <c r="S339" i="3" s="1"/>
  <c r="H331" i="3"/>
  <c r="I331" i="3" s="1"/>
  <c r="J331" i="3" s="1"/>
  <c r="K331" i="3" s="1"/>
  <c r="L331" i="3" s="1"/>
  <c r="M331" i="3" s="1"/>
  <c r="N331" i="3" s="1"/>
  <c r="O331" i="3" s="1"/>
  <c r="P331" i="3" s="1"/>
  <c r="H323" i="3"/>
  <c r="I323" i="3" s="1"/>
  <c r="J323" i="3" s="1"/>
  <c r="K323" i="3" s="1"/>
  <c r="L323" i="3" s="1"/>
  <c r="M323" i="3" s="1"/>
  <c r="N323" i="3" s="1"/>
  <c r="O323" i="3" s="1"/>
  <c r="P323" i="3" s="1"/>
  <c r="H315" i="3"/>
  <c r="I315" i="3" s="1"/>
  <c r="J315" i="3" s="1"/>
  <c r="K315" i="3" s="1"/>
  <c r="L315" i="3" s="1"/>
  <c r="M315" i="3" s="1"/>
  <c r="N315" i="3" s="1"/>
  <c r="O315" i="3" s="1"/>
  <c r="P315" i="3" s="1"/>
  <c r="H307" i="3"/>
  <c r="I307" i="3" s="1"/>
  <c r="J307" i="3" s="1"/>
  <c r="K307" i="3" s="1"/>
  <c r="L307" i="3" s="1"/>
  <c r="M307" i="3" s="1"/>
  <c r="N307" i="3" s="1"/>
  <c r="O307" i="3" s="1"/>
  <c r="P307" i="3" s="1"/>
  <c r="H299" i="3"/>
  <c r="I299" i="3" s="1"/>
  <c r="J299" i="3" s="1"/>
  <c r="K299" i="3" s="1"/>
  <c r="L299" i="3" s="1"/>
  <c r="M299" i="3" s="1"/>
  <c r="N299" i="3" s="1"/>
  <c r="O299" i="3" s="1"/>
  <c r="P299" i="3" s="1"/>
  <c r="H291" i="3"/>
  <c r="I291" i="3" s="1"/>
  <c r="J291" i="3" s="1"/>
  <c r="K291" i="3" s="1"/>
  <c r="L291" i="3" s="1"/>
  <c r="M291" i="3" s="1"/>
  <c r="N291" i="3" s="1"/>
  <c r="O291" i="3" s="1"/>
  <c r="P291" i="3" s="1"/>
  <c r="H283" i="3"/>
  <c r="I283" i="3" s="1"/>
  <c r="J283" i="3" s="1"/>
  <c r="K283" i="3" s="1"/>
  <c r="L283" i="3" s="1"/>
  <c r="M283" i="3" s="1"/>
  <c r="N283" i="3" s="1"/>
  <c r="O283" i="3" s="1"/>
  <c r="P283" i="3" s="1"/>
  <c r="H275" i="3"/>
  <c r="I275" i="3" s="1"/>
  <c r="J275" i="3" s="1"/>
  <c r="K275" i="3" s="1"/>
  <c r="L275" i="3" s="1"/>
  <c r="M275" i="3" s="1"/>
  <c r="N275" i="3" s="1"/>
  <c r="O275" i="3" s="1"/>
  <c r="P275" i="3" s="1"/>
  <c r="H267" i="3"/>
  <c r="I267" i="3" s="1"/>
  <c r="J267" i="3" s="1"/>
  <c r="K267" i="3" s="1"/>
  <c r="L267" i="3" s="1"/>
  <c r="M267" i="3" s="1"/>
  <c r="N267" i="3" s="1"/>
  <c r="O267" i="3" s="1"/>
  <c r="P267" i="3" s="1"/>
  <c r="H259" i="3"/>
  <c r="I259" i="3" s="1"/>
  <c r="J259" i="3" s="1"/>
  <c r="K259" i="3" s="1"/>
  <c r="L259" i="3" s="1"/>
  <c r="M259" i="3" s="1"/>
  <c r="N259" i="3" s="1"/>
  <c r="O259" i="3" s="1"/>
  <c r="P259" i="3" s="1"/>
  <c r="H251" i="3"/>
  <c r="I251" i="3" s="1"/>
  <c r="J251" i="3" s="1"/>
  <c r="K251" i="3" s="1"/>
  <c r="L251" i="3" s="1"/>
  <c r="M251" i="3" s="1"/>
  <c r="N251" i="3" s="1"/>
  <c r="O251" i="3" s="1"/>
  <c r="P251" i="3" s="1"/>
  <c r="H243" i="3"/>
  <c r="I243" i="3" s="1"/>
  <c r="J243" i="3" s="1"/>
  <c r="K243" i="3" s="1"/>
  <c r="L243" i="3" s="1"/>
  <c r="M243" i="3" s="1"/>
  <c r="N243" i="3" s="1"/>
  <c r="O243" i="3" s="1"/>
  <c r="P243" i="3" s="1"/>
  <c r="H235" i="3"/>
  <c r="I235" i="3" s="1"/>
  <c r="J235" i="3" s="1"/>
  <c r="K235" i="3" s="1"/>
  <c r="L235" i="3" s="1"/>
  <c r="M235" i="3" s="1"/>
  <c r="N235" i="3" s="1"/>
  <c r="O235" i="3" s="1"/>
  <c r="P235" i="3" s="1"/>
  <c r="H227" i="3"/>
  <c r="I227" i="3" s="1"/>
  <c r="J227" i="3" s="1"/>
  <c r="K227" i="3" s="1"/>
  <c r="L227" i="3" s="1"/>
  <c r="M227" i="3" s="1"/>
  <c r="N227" i="3" s="1"/>
  <c r="O227" i="3" s="1"/>
  <c r="P227" i="3" s="1"/>
  <c r="H219" i="3"/>
  <c r="I219" i="3" s="1"/>
  <c r="J219" i="3" s="1"/>
  <c r="K219" i="3" s="1"/>
  <c r="L219" i="3" s="1"/>
  <c r="M219" i="3" s="1"/>
  <c r="N219" i="3" s="1"/>
  <c r="O219" i="3" s="1"/>
  <c r="P219" i="3" s="1"/>
  <c r="H211" i="3"/>
  <c r="I211" i="3" s="1"/>
  <c r="J211" i="3" s="1"/>
  <c r="K211" i="3" s="1"/>
  <c r="L211" i="3" s="1"/>
  <c r="M211" i="3" s="1"/>
  <c r="N211" i="3" s="1"/>
  <c r="O211" i="3" s="1"/>
  <c r="P211" i="3" s="1"/>
  <c r="H203" i="3"/>
  <c r="I203" i="3" s="1"/>
  <c r="J203" i="3" s="1"/>
  <c r="K203" i="3" s="1"/>
  <c r="L203" i="3" s="1"/>
  <c r="M203" i="3" s="1"/>
  <c r="N203" i="3" s="1"/>
  <c r="O203" i="3" s="1"/>
  <c r="P203" i="3" s="1"/>
  <c r="H195" i="3"/>
  <c r="I195" i="3" s="1"/>
  <c r="J195" i="3" s="1"/>
  <c r="K195" i="3" s="1"/>
  <c r="L195" i="3" s="1"/>
  <c r="M195" i="3" s="1"/>
  <c r="N195" i="3" s="1"/>
  <c r="O195" i="3" s="1"/>
  <c r="P195" i="3" s="1"/>
  <c r="H187" i="3"/>
  <c r="I187" i="3" s="1"/>
  <c r="J187" i="3" s="1"/>
  <c r="K187" i="3" s="1"/>
  <c r="L187" i="3" s="1"/>
  <c r="M187" i="3" s="1"/>
  <c r="N187" i="3" s="1"/>
  <c r="O187" i="3" s="1"/>
  <c r="P187" i="3" s="1"/>
  <c r="H179" i="3"/>
  <c r="I179" i="3" s="1"/>
  <c r="J179" i="3" s="1"/>
  <c r="K179" i="3" s="1"/>
  <c r="L179" i="3" s="1"/>
  <c r="M179" i="3" s="1"/>
  <c r="N179" i="3" s="1"/>
  <c r="O179" i="3" s="1"/>
  <c r="P179" i="3" s="1"/>
  <c r="H171" i="3"/>
  <c r="I171" i="3" s="1"/>
  <c r="J171" i="3" s="1"/>
  <c r="K171" i="3" s="1"/>
  <c r="L171" i="3" s="1"/>
  <c r="M171" i="3" s="1"/>
  <c r="N171" i="3" s="1"/>
  <c r="O171" i="3" s="1"/>
  <c r="P171" i="3" s="1"/>
  <c r="H163" i="3"/>
  <c r="I163" i="3" s="1"/>
  <c r="J163" i="3" s="1"/>
  <c r="K163" i="3" s="1"/>
  <c r="L163" i="3" s="1"/>
  <c r="M163" i="3" s="1"/>
  <c r="N163" i="3" s="1"/>
  <c r="O163" i="3" s="1"/>
  <c r="P163" i="3" s="1"/>
  <c r="H155" i="3"/>
  <c r="I155" i="3" s="1"/>
  <c r="J155" i="3" s="1"/>
  <c r="K155" i="3" s="1"/>
  <c r="L155" i="3" s="1"/>
  <c r="M155" i="3" s="1"/>
  <c r="N155" i="3" s="1"/>
  <c r="O155" i="3" s="1"/>
  <c r="P155" i="3" s="1"/>
  <c r="H147" i="3"/>
  <c r="I147" i="3" s="1"/>
  <c r="J147" i="3" s="1"/>
  <c r="K147" i="3" s="1"/>
  <c r="L147" i="3" s="1"/>
  <c r="M147" i="3" s="1"/>
  <c r="N147" i="3" s="1"/>
  <c r="O147" i="3" s="1"/>
  <c r="P147" i="3" s="1"/>
  <c r="H139" i="3"/>
  <c r="I139" i="3" s="1"/>
  <c r="J139" i="3" s="1"/>
  <c r="K139" i="3" s="1"/>
  <c r="L139" i="3" s="1"/>
  <c r="M139" i="3" s="1"/>
  <c r="N139" i="3" s="1"/>
  <c r="O139" i="3" s="1"/>
  <c r="P139" i="3" s="1"/>
  <c r="H131" i="3"/>
  <c r="I131" i="3" s="1"/>
  <c r="J131" i="3" s="1"/>
  <c r="K131" i="3" s="1"/>
  <c r="L131" i="3" s="1"/>
  <c r="M131" i="3" s="1"/>
  <c r="N131" i="3" s="1"/>
  <c r="O131" i="3" s="1"/>
  <c r="P131" i="3" s="1"/>
  <c r="H123" i="3"/>
  <c r="I123" i="3" s="1"/>
  <c r="J123" i="3" s="1"/>
  <c r="K123" i="3" s="1"/>
  <c r="L123" i="3" s="1"/>
  <c r="M123" i="3" s="1"/>
  <c r="N123" i="3" s="1"/>
  <c r="O123" i="3" s="1"/>
  <c r="P123" i="3" s="1"/>
  <c r="H115" i="3"/>
  <c r="I115" i="3" s="1"/>
  <c r="J115" i="3" s="1"/>
  <c r="K115" i="3" s="1"/>
  <c r="L115" i="3" s="1"/>
  <c r="M115" i="3" s="1"/>
  <c r="N115" i="3" s="1"/>
  <c r="O115" i="3" s="1"/>
  <c r="P115" i="3" s="1"/>
  <c r="H107" i="3"/>
  <c r="I107" i="3" s="1"/>
  <c r="J107" i="3" s="1"/>
  <c r="K107" i="3" s="1"/>
  <c r="L107" i="3" s="1"/>
  <c r="M107" i="3" s="1"/>
  <c r="N107" i="3" s="1"/>
  <c r="O107" i="3" s="1"/>
  <c r="P107" i="3" s="1"/>
  <c r="H99" i="3"/>
  <c r="I99" i="3" s="1"/>
  <c r="J99" i="3" s="1"/>
  <c r="K99" i="3" s="1"/>
  <c r="L99" i="3" s="1"/>
  <c r="M99" i="3" s="1"/>
  <c r="N99" i="3" s="1"/>
  <c r="O99" i="3" s="1"/>
  <c r="P99" i="3" s="1"/>
  <c r="H91" i="3"/>
  <c r="I91" i="3" s="1"/>
  <c r="J91" i="3" s="1"/>
  <c r="K91" i="3" s="1"/>
  <c r="L91" i="3" s="1"/>
  <c r="M91" i="3" s="1"/>
  <c r="N91" i="3" s="1"/>
  <c r="O91" i="3" s="1"/>
  <c r="P91" i="3" s="1"/>
  <c r="H83" i="3"/>
  <c r="I83" i="3" s="1"/>
  <c r="J83" i="3" s="1"/>
  <c r="K83" i="3" s="1"/>
  <c r="L83" i="3" s="1"/>
  <c r="M83" i="3" s="1"/>
  <c r="N83" i="3" s="1"/>
  <c r="O83" i="3" s="1"/>
  <c r="P83" i="3" s="1"/>
  <c r="H75" i="3"/>
  <c r="I75" i="3" s="1"/>
  <c r="J75" i="3" s="1"/>
  <c r="K75" i="3" s="1"/>
  <c r="L75" i="3" s="1"/>
  <c r="M75" i="3" s="1"/>
  <c r="N75" i="3" s="1"/>
  <c r="O75" i="3" s="1"/>
  <c r="P75" i="3" s="1"/>
  <c r="H67" i="3"/>
  <c r="I67" i="3" s="1"/>
  <c r="J67" i="3" s="1"/>
  <c r="K67" i="3" s="1"/>
  <c r="L67" i="3" s="1"/>
  <c r="M67" i="3" s="1"/>
  <c r="N67" i="3" s="1"/>
  <c r="O67" i="3" s="1"/>
  <c r="P67" i="3" s="1"/>
  <c r="H59" i="3"/>
  <c r="I59" i="3" s="1"/>
  <c r="J59" i="3" s="1"/>
  <c r="K59" i="3" s="1"/>
  <c r="L59" i="3" s="1"/>
  <c r="M59" i="3" s="1"/>
  <c r="N59" i="3" s="1"/>
  <c r="O59" i="3" s="1"/>
  <c r="P59" i="3" s="1"/>
  <c r="H51" i="3"/>
  <c r="I51" i="3" s="1"/>
  <c r="J51" i="3" s="1"/>
  <c r="K51" i="3" s="1"/>
  <c r="L51" i="3" s="1"/>
  <c r="M51" i="3" s="1"/>
  <c r="N51" i="3" s="1"/>
  <c r="O51" i="3" s="1"/>
  <c r="P51" i="3" s="1"/>
  <c r="H43" i="3"/>
  <c r="I43" i="3" s="1"/>
  <c r="J43" i="3" s="1"/>
  <c r="K43" i="3" s="1"/>
  <c r="L43" i="3" s="1"/>
  <c r="M43" i="3" s="1"/>
  <c r="N43" i="3" s="1"/>
  <c r="O43" i="3" s="1"/>
  <c r="P43" i="3" s="1"/>
  <c r="H35" i="3"/>
  <c r="I35" i="3" s="1"/>
  <c r="J35" i="3" s="1"/>
  <c r="K35" i="3" s="1"/>
  <c r="L35" i="3" s="1"/>
  <c r="M35" i="3" s="1"/>
  <c r="N35" i="3" s="1"/>
  <c r="O35" i="3" s="1"/>
  <c r="P35" i="3" s="1"/>
  <c r="H27" i="3"/>
  <c r="I27" i="3" s="1"/>
  <c r="J27" i="3" s="1"/>
  <c r="K27" i="3" s="1"/>
  <c r="L27" i="3" s="1"/>
  <c r="M27" i="3" s="1"/>
  <c r="N27" i="3" s="1"/>
  <c r="O27" i="3" s="1"/>
  <c r="P27" i="3" s="1"/>
  <c r="H19" i="3"/>
  <c r="I19" i="3" s="1"/>
  <c r="J19" i="3" s="1"/>
  <c r="K19" i="3" s="1"/>
  <c r="L19" i="3" s="1"/>
  <c r="M19" i="3" s="1"/>
  <c r="N19" i="3" s="1"/>
  <c r="O19" i="3" s="1"/>
  <c r="P19" i="3" s="1"/>
  <c r="H11" i="3"/>
  <c r="I11" i="3" s="1"/>
  <c r="J11" i="3" s="1"/>
  <c r="K11" i="3" s="1"/>
  <c r="L11" i="3" s="1"/>
  <c r="M11" i="3" s="1"/>
  <c r="N11" i="3" s="1"/>
  <c r="O11" i="3" s="1"/>
  <c r="P11" i="3" s="1"/>
  <c r="Q677" i="3"/>
  <c r="R677" i="3" s="1"/>
  <c r="S677" i="3" s="1"/>
  <c r="Q412" i="3"/>
  <c r="R412" i="3" s="1"/>
  <c r="S412" i="3" s="1"/>
  <c r="Q372" i="3"/>
  <c r="R372" i="3" s="1"/>
  <c r="S372" i="3" s="1"/>
  <c r="Q350" i="3"/>
  <c r="R350" i="3" s="1"/>
  <c r="S350" i="3" s="1"/>
  <c r="Q332" i="3"/>
  <c r="R332" i="3" s="1"/>
  <c r="S332" i="3" s="1"/>
  <c r="Q310" i="3"/>
  <c r="R310" i="3" s="1"/>
  <c r="S310" i="3" s="1"/>
  <c r="Q289" i="3"/>
  <c r="R289" i="3" s="1"/>
  <c r="S289" i="3" s="1"/>
  <c r="Q270" i="3"/>
  <c r="R270" i="3" s="1"/>
  <c r="S270" i="3" s="1"/>
  <c r="Q247" i="3"/>
  <c r="R247" i="3" s="1"/>
  <c r="S247" i="3" s="1"/>
  <c r="Q230" i="3"/>
  <c r="R230" i="3" s="1"/>
  <c r="S230" i="3" s="1"/>
  <c r="Q207" i="3"/>
  <c r="R207" i="3" s="1"/>
  <c r="S207" i="3" s="1"/>
  <c r="Q188" i="3"/>
  <c r="R188" i="3" s="1"/>
  <c r="S188" i="3" s="1"/>
  <c r="Q167" i="3"/>
  <c r="R167" i="3" s="1"/>
  <c r="S167" i="3" s="1"/>
  <c r="Q127" i="3"/>
  <c r="R127" i="3" s="1"/>
  <c r="S127" i="3" s="1"/>
  <c r="Q92" i="3"/>
  <c r="R92" i="3" s="1"/>
  <c r="S92" i="3" s="1"/>
  <c r="Q55" i="3"/>
  <c r="R55" i="3" s="1"/>
  <c r="S55" i="3" s="1"/>
  <c r="H610" i="3"/>
  <c r="I610" i="3" s="1"/>
  <c r="J610" i="3" s="1"/>
  <c r="K610" i="3" s="1"/>
  <c r="L610" i="3" s="1"/>
  <c r="M610" i="3" s="1"/>
  <c r="N610" i="3" s="1"/>
  <c r="O610" i="3" s="1"/>
  <c r="P610" i="3" s="1"/>
  <c r="H602" i="3"/>
  <c r="I602" i="3" s="1"/>
  <c r="J602" i="3" s="1"/>
  <c r="K602" i="3" s="1"/>
  <c r="L602" i="3" s="1"/>
  <c r="M602" i="3" s="1"/>
  <c r="N602" i="3" s="1"/>
  <c r="O602" i="3" s="1"/>
  <c r="P602" i="3" s="1"/>
  <c r="H594" i="3"/>
  <c r="I594" i="3" s="1"/>
  <c r="J594" i="3" s="1"/>
  <c r="K594" i="3" s="1"/>
  <c r="L594" i="3" s="1"/>
  <c r="M594" i="3" s="1"/>
  <c r="N594" i="3" s="1"/>
  <c r="O594" i="3" s="1"/>
  <c r="P594" i="3" s="1"/>
  <c r="H586" i="3"/>
  <c r="I586" i="3" s="1"/>
  <c r="J586" i="3" s="1"/>
  <c r="K586" i="3" s="1"/>
  <c r="L586" i="3" s="1"/>
  <c r="M586" i="3" s="1"/>
  <c r="N586" i="3" s="1"/>
  <c r="O586" i="3" s="1"/>
  <c r="P586" i="3" s="1"/>
  <c r="H578" i="3"/>
  <c r="I578" i="3" s="1"/>
  <c r="J578" i="3" s="1"/>
  <c r="K578" i="3" s="1"/>
  <c r="L578" i="3" s="1"/>
  <c r="M578" i="3" s="1"/>
  <c r="N578" i="3" s="1"/>
  <c r="O578" i="3" s="1"/>
  <c r="P578" i="3" s="1"/>
  <c r="H570" i="3"/>
  <c r="I570" i="3" s="1"/>
  <c r="J570" i="3" s="1"/>
  <c r="K570" i="3" s="1"/>
  <c r="L570" i="3" s="1"/>
  <c r="M570" i="3" s="1"/>
  <c r="N570" i="3" s="1"/>
  <c r="O570" i="3" s="1"/>
  <c r="P570" i="3" s="1"/>
  <c r="H562" i="3"/>
  <c r="I562" i="3" s="1"/>
  <c r="J562" i="3" s="1"/>
  <c r="K562" i="3" s="1"/>
  <c r="L562" i="3" s="1"/>
  <c r="M562" i="3" s="1"/>
  <c r="N562" i="3" s="1"/>
  <c r="O562" i="3" s="1"/>
  <c r="P562" i="3" s="1"/>
  <c r="H554" i="3"/>
  <c r="I554" i="3" s="1"/>
  <c r="J554" i="3" s="1"/>
  <c r="K554" i="3" s="1"/>
  <c r="L554" i="3" s="1"/>
  <c r="M554" i="3" s="1"/>
  <c r="N554" i="3" s="1"/>
  <c r="O554" i="3" s="1"/>
  <c r="P554" i="3" s="1"/>
  <c r="H546" i="3"/>
  <c r="I546" i="3" s="1"/>
  <c r="J546" i="3" s="1"/>
  <c r="K546" i="3" s="1"/>
  <c r="L546" i="3" s="1"/>
  <c r="M546" i="3" s="1"/>
  <c r="N546" i="3" s="1"/>
  <c r="O546" i="3" s="1"/>
  <c r="P546" i="3" s="1"/>
  <c r="H538" i="3"/>
  <c r="I538" i="3" s="1"/>
  <c r="J538" i="3" s="1"/>
  <c r="K538" i="3" s="1"/>
  <c r="L538" i="3" s="1"/>
  <c r="M538" i="3" s="1"/>
  <c r="N538" i="3" s="1"/>
  <c r="O538" i="3" s="1"/>
  <c r="P538" i="3" s="1"/>
  <c r="H530" i="3"/>
  <c r="I530" i="3" s="1"/>
  <c r="J530" i="3" s="1"/>
  <c r="K530" i="3" s="1"/>
  <c r="L530" i="3" s="1"/>
  <c r="M530" i="3" s="1"/>
  <c r="N530" i="3" s="1"/>
  <c r="O530" i="3" s="1"/>
  <c r="P530" i="3" s="1"/>
  <c r="H522" i="3"/>
  <c r="I522" i="3" s="1"/>
  <c r="J522" i="3" s="1"/>
  <c r="K522" i="3" s="1"/>
  <c r="L522" i="3" s="1"/>
  <c r="M522" i="3" s="1"/>
  <c r="N522" i="3" s="1"/>
  <c r="O522" i="3" s="1"/>
  <c r="P522" i="3" s="1"/>
  <c r="H514" i="3"/>
  <c r="I514" i="3" s="1"/>
  <c r="J514" i="3" s="1"/>
  <c r="K514" i="3" s="1"/>
  <c r="L514" i="3" s="1"/>
  <c r="M514" i="3" s="1"/>
  <c r="N514" i="3" s="1"/>
  <c r="O514" i="3" s="1"/>
  <c r="P514" i="3" s="1"/>
  <c r="H506" i="3"/>
  <c r="I506" i="3" s="1"/>
  <c r="J506" i="3" s="1"/>
  <c r="K506" i="3" s="1"/>
  <c r="L506" i="3" s="1"/>
  <c r="M506" i="3" s="1"/>
  <c r="N506" i="3" s="1"/>
  <c r="O506" i="3" s="1"/>
  <c r="P506" i="3" s="1"/>
  <c r="H498" i="3"/>
  <c r="I498" i="3" s="1"/>
  <c r="J498" i="3" s="1"/>
  <c r="K498" i="3" s="1"/>
  <c r="L498" i="3" s="1"/>
  <c r="M498" i="3" s="1"/>
  <c r="N498" i="3" s="1"/>
  <c r="O498" i="3" s="1"/>
  <c r="P498" i="3" s="1"/>
  <c r="H490" i="3"/>
  <c r="I490" i="3" s="1"/>
  <c r="J490" i="3" s="1"/>
  <c r="K490" i="3" s="1"/>
  <c r="L490" i="3" s="1"/>
  <c r="M490" i="3" s="1"/>
  <c r="N490" i="3" s="1"/>
  <c r="O490" i="3" s="1"/>
  <c r="P490" i="3" s="1"/>
  <c r="H482" i="3"/>
  <c r="I482" i="3" s="1"/>
  <c r="J482" i="3" s="1"/>
  <c r="K482" i="3" s="1"/>
  <c r="L482" i="3" s="1"/>
  <c r="M482" i="3" s="1"/>
  <c r="N482" i="3" s="1"/>
  <c r="O482" i="3" s="1"/>
  <c r="P482" i="3" s="1"/>
  <c r="H474" i="3"/>
  <c r="I474" i="3" s="1"/>
  <c r="J474" i="3" s="1"/>
  <c r="K474" i="3" s="1"/>
  <c r="L474" i="3" s="1"/>
  <c r="M474" i="3" s="1"/>
  <c r="N474" i="3" s="1"/>
  <c r="O474" i="3" s="1"/>
  <c r="P474" i="3" s="1"/>
  <c r="H466" i="3"/>
  <c r="I466" i="3" s="1"/>
  <c r="J466" i="3" s="1"/>
  <c r="K466" i="3" s="1"/>
  <c r="L466" i="3" s="1"/>
  <c r="M466" i="3" s="1"/>
  <c r="N466" i="3" s="1"/>
  <c r="O466" i="3" s="1"/>
  <c r="P466" i="3" s="1"/>
  <c r="H458" i="3"/>
  <c r="I458" i="3" s="1"/>
  <c r="J458" i="3" s="1"/>
  <c r="K458" i="3" s="1"/>
  <c r="L458" i="3" s="1"/>
  <c r="M458" i="3" s="1"/>
  <c r="N458" i="3" s="1"/>
  <c r="O458" i="3" s="1"/>
  <c r="P458" i="3" s="1"/>
  <c r="H450" i="3"/>
  <c r="I450" i="3" s="1"/>
  <c r="J450" i="3" s="1"/>
  <c r="K450" i="3" s="1"/>
  <c r="L450" i="3" s="1"/>
  <c r="M450" i="3" s="1"/>
  <c r="N450" i="3" s="1"/>
  <c r="O450" i="3" s="1"/>
  <c r="P450" i="3" s="1"/>
  <c r="H442" i="3"/>
  <c r="I442" i="3" s="1"/>
  <c r="J442" i="3" s="1"/>
  <c r="K442" i="3" s="1"/>
  <c r="L442" i="3" s="1"/>
  <c r="M442" i="3" s="1"/>
  <c r="N442" i="3" s="1"/>
  <c r="O442" i="3" s="1"/>
  <c r="P442" i="3" s="1"/>
  <c r="H434" i="3"/>
  <c r="I434" i="3" s="1"/>
  <c r="J434" i="3" s="1"/>
  <c r="K434" i="3" s="1"/>
  <c r="L434" i="3" s="1"/>
  <c r="M434" i="3" s="1"/>
  <c r="N434" i="3" s="1"/>
  <c r="O434" i="3" s="1"/>
  <c r="P434" i="3" s="1"/>
  <c r="H426" i="3"/>
  <c r="I426" i="3" s="1"/>
  <c r="J426" i="3" s="1"/>
  <c r="K426" i="3" s="1"/>
  <c r="L426" i="3" s="1"/>
  <c r="M426" i="3" s="1"/>
  <c r="N426" i="3" s="1"/>
  <c r="O426" i="3" s="1"/>
  <c r="P426" i="3" s="1"/>
  <c r="H418" i="3"/>
  <c r="I418" i="3" s="1"/>
  <c r="J418" i="3" s="1"/>
  <c r="K418" i="3" s="1"/>
  <c r="L418" i="3" s="1"/>
  <c r="M418" i="3" s="1"/>
  <c r="N418" i="3" s="1"/>
  <c r="O418" i="3" s="1"/>
  <c r="P418" i="3" s="1"/>
  <c r="H410" i="3"/>
  <c r="I410" i="3" s="1"/>
  <c r="J410" i="3" s="1"/>
  <c r="K410" i="3" s="1"/>
  <c r="L410" i="3" s="1"/>
  <c r="M410" i="3" s="1"/>
  <c r="N410" i="3" s="1"/>
  <c r="O410" i="3" s="1"/>
  <c r="P410" i="3" s="1"/>
  <c r="H402" i="3"/>
  <c r="I402" i="3" s="1"/>
  <c r="J402" i="3" s="1"/>
  <c r="K402" i="3" s="1"/>
  <c r="L402" i="3" s="1"/>
  <c r="M402" i="3" s="1"/>
  <c r="N402" i="3" s="1"/>
  <c r="O402" i="3" s="1"/>
  <c r="P402" i="3" s="1"/>
  <c r="H394" i="3"/>
  <c r="I394" i="3" s="1"/>
  <c r="J394" i="3" s="1"/>
  <c r="K394" i="3" s="1"/>
  <c r="L394" i="3" s="1"/>
  <c r="M394" i="3" s="1"/>
  <c r="N394" i="3" s="1"/>
  <c r="O394" i="3" s="1"/>
  <c r="P394" i="3" s="1"/>
  <c r="H386" i="3"/>
  <c r="I386" i="3" s="1"/>
  <c r="J386" i="3" s="1"/>
  <c r="K386" i="3" s="1"/>
  <c r="L386" i="3" s="1"/>
  <c r="M386" i="3" s="1"/>
  <c r="N386" i="3" s="1"/>
  <c r="O386" i="3" s="1"/>
  <c r="P386" i="3" s="1"/>
  <c r="H378" i="3"/>
  <c r="I378" i="3" s="1"/>
  <c r="J378" i="3" s="1"/>
  <c r="K378" i="3" s="1"/>
  <c r="L378" i="3" s="1"/>
  <c r="M378" i="3" s="1"/>
  <c r="N378" i="3" s="1"/>
  <c r="O378" i="3" s="1"/>
  <c r="P378" i="3" s="1"/>
  <c r="H370" i="3"/>
  <c r="I370" i="3" s="1"/>
  <c r="J370" i="3" s="1"/>
  <c r="K370" i="3" s="1"/>
  <c r="L370" i="3" s="1"/>
  <c r="M370" i="3" s="1"/>
  <c r="N370" i="3" s="1"/>
  <c r="O370" i="3" s="1"/>
  <c r="P370" i="3" s="1"/>
  <c r="H362" i="3"/>
  <c r="I362" i="3" s="1"/>
  <c r="J362" i="3" s="1"/>
  <c r="K362" i="3" s="1"/>
  <c r="L362" i="3" s="1"/>
  <c r="M362" i="3" s="1"/>
  <c r="N362" i="3" s="1"/>
  <c r="O362" i="3" s="1"/>
  <c r="P362" i="3" s="1"/>
  <c r="H354" i="3"/>
  <c r="I354" i="3" s="1"/>
  <c r="J354" i="3" s="1"/>
  <c r="K354" i="3" s="1"/>
  <c r="L354" i="3" s="1"/>
  <c r="M354" i="3" s="1"/>
  <c r="N354" i="3" s="1"/>
  <c r="O354" i="3" s="1"/>
  <c r="P354" i="3" s="1"/>
  <c r="H346" i="3"/>
  <c r="I346" i="3" s="1"/>
  <c r="J346" i="3" s="1"/>
  <c r="K346" i="3" s="1"/>
  <c r="L346" i="3" s="1"/>
  <c r="M346" i="3" s="1"/>
  <c r="N346" i="3" s="1"/>
  <c r="O346" i="3" s="1"/>
  <c r="P346" i="3" s="1"/>
  <c r="H338" i="3"/>
  <c r="I338" i="3" s="1"/>
  <c r="J338" i="3" s="1"/>
  <c r="K338" i="3" s="1"/>
  <c r="L338" i="3" s="1"/>
  <c r="M338" i="3" s="1"/>
  <c r="N338" i="3" s="1"/>
  <c r="O338" i="3" s="1"/>
  <c r="P338" i="3" s="1"/>
  <c r="H330" i="3"/>
  <c r="I330" i="3" s="1"/>
  <c r="J330" i="3" s="1"/>
  <c r="K330" i="3" s="1"/>
  <c r="L330" i="3" s="1"/>
  <c r="M330" i="3" s="1"/>
  <c r="N330" i="3" s="1"/>
  <c r="O330" i="3" s="1"/>
  <c r="P330" i="3" s="1"/>
  <c r="H322" i="3"/>
  <c r="I322" i="3" s="1"/>
  <c r="J322" i="3" s="1"/>
  <c r="K322" i="3" s="1"/>
  <c r="L322" i="3" s="1"/>
  <c r="M322" i="3" s="1"/>
  <c r="N322" i="3" s="1"/>
  <c r="O322" i="3" s="1"/>
  <c r="P322" i="3" s="1"/>
  <c r="H314" i="3"/>
  <c r="I314" i="3" s="1"/>
  <c r="J314" i="3" s="1"/>
  <c r="K314" i="3" s="1"/>
  <c r="L314" i="3" s="1"/>
  <c r="M314" i="3" s="1"/>
  <c r="N314" i="3" s="1"/>
  <c r="O314" i="3" s="1"/>
  <c r="P314" i="3" s="1"/>
  <c r="H306" i="3"/>
  <c r="I306" i="3" s="1"/>
  <c r="J306" i="3" s="1"/>
  <c r="K306" i="3" s="1"/>
  <c r="L306" i="3" s="1"/>
  <c r="M306" i="3" s="1"/>
  <c r="N306" i="3" s="1"/>
  <c r="O306" i="3" s="1"/>
  <c r="P306" i="3" s="1"/>
  <c r="H298" i="3"/>
  <c r="I298" i="3" s="1"/>
  <c r="J298" i="3" s="1"/>
  <c r="K298" i="3" s="1"/>
  <c r="L298" i="3" s="1"/>
  <c r="M298" i="3" s="1"/>
  <c r="N298" i="3" s="1"/>
  <c r="O298" i="3" s="1"/>
  <c r="P298" i="3" s="1"/>
  <c r="H290" i="3"/>
  <c r="I290" i="3" s="1"/>
  <c r="J290" i="3" s="1"/>
  <c r="K290" i="3" s="1"/>
  <c r="L290" i="3" s="1"/>
  <c r="M290" i="3" s="1"/>
  <c r="N290" i="3" s="1"/>
  <c r="O290" i="3" s="1"/>
  <c r="P290" i="3" s="1"/>
  <c r="H282" i="3"/>
  <c r="I282" i="3" s="1"/>
  <c r="J282" i="3" s="1"/>
  <c r="K282" i="3" s="1"/>
  <c r="L282" i="3" s="1"/>
  <c r="M282" i="3" s="1"/>
  <c r="N282" i="3" s="1"/>
  <c r="O282" i="3" s="1"/>
  <c r="P282" i="3" s="1"/>
  <c r="H274" i="3"/>
  <c r="I274" i="3" s="1"/>
  <c r="J274" i="3" s="1"/>
  <c r="K274" i="3" s="1"/>
  <c r="L274" i="3" s="1"/>
  <c r="M274" i="3" s="1"/>
  <c r="N274" i="3" s="1"/>
  <c r="O274" i="3" s="1"/>
  <c r="P274" i="3" s="1"/>
  <c r="H266" i="3"/>
  <c r="I266" i="3" s="1"/>
  <c r="J266" i="3" s="1"/>
  <c r="K266" i="3" s="1"/>
  <c r="L266" i="3" s="1"/>
  <c r="M266" i="3" s="1"/>
  <c r="N266" i="3" s="1"/>
  <c r="O266" i="3" s="1"/>
  <c r="P266" i="3" s="1"/>
  <c r="H258" i="3"/>
  <c r="I258" i="3" s="1"/>
  <c r="J258" i="3" s="1"/>
  <c r="K258" i="3" s="1"/>
  <c r="L258" i="3" s="1"/>
  <c r="M258" i="3" s="1"/>
  <c r="N258" i="3" s="1"/>
  <c r="O258" i="3" s="1"/>
  <c r="P258" i="3" s="1"/>
  <c r="H250" i="3"/>
  <c r="I250" i="3" s="1"/>
  <c r="J250" i="3" s="1"/>
  <c r="K250" i="3" s="1"/>
  <c r="L250" i="3" s="1"/>
  <c r="M250" i="3" s="1"/>
  <c r="N250" i="3" s="1"/>
  <c r="O250" i="3" s="1"/>
  <c r="P250" i="3" s="1"/>
  <c r="H242" i="3"/>
  <c r="I242" i="3" s="1"/>
  <c r="J242" i="3" s="1"/>
  <c r="K242" i="3" s="1"/>
  <c r="L242" i="3" s="1"/>
  <c r="M242" i="3" s="1"/>
  <c r="N242" i="3" s="1"/>
  <c r="O242" i="3" s="1"/>
  <c r="P242" i="3" s="1"/>
  <c r="H234" i="3"/>
  <c r="I234" i="3" s="1"/>
  <c r="J234" i="3" s="1"/>
  <c r="K234" i="3" s="1"/>
  <c r="L234" i="3" s="1"/>
  <c r="M234" i="3" s="1"/>
  <c r="N234" i="3" s="1"/>
  <c r="O234" i="3" s="1"/>
  <c r="P234" i="3" s="1"/>
  <c r="H226" i="3"/>
  <c r="I226" i="3" s="1"/>
  <c r="J226" i="3" s="1"/>
  <c r="K226" i="3" s="1"/>
  <c r="L226" i="3" s="1"/>
  <c r="M226" i="3" s="1"/>
  <c r="N226" i="3" s="1"/>
  <c r="O226" i="3" s="1"/>
  <c r="P226" i="3" s="1"/>
  <c r="H218" i="3"/>
  <c r="I218" i="3" s="1"/>
  <c r="J218" i="3" s="1"/>
  <c r="K218" i="3" s="1"/>
  <c r="L218" i="3" s="1"/>
  <c r="M218" i="3" s="1"/>
  <c r="N218" i="3" s="1"/>
  <c r="O218" i="3" s="1"/>
  <c r="P218" i="3" s="1"/>
  <c r="H210" i="3"/>
  <c r="I210" i="3" s="1"/>
  <c r="J210" i="3" s="1"/>
  <c r="K210" i="3" s="1"/>
  <c r="L210" i="3" s="1"/>
  <c r="M210" i="3" s="1"/>
  <c r="N210" i="3" s="1"/>
  <c r="O210" i="3" s="1"/>
  <c r="P210" i="3" s="1"/>
  <c r="H202" i="3"/>
  <c r="I202" i="3" s="1"/>
  <c r="J202" i="3" s="1"/>
  <c r="K202" i="3" s="1"/>
  <c r="L202" i="3" s="1"/>
  <c r="M202" i="3" s="1"/>
  <c r="N202" i="3" s="1"/>
  <c r="O202" i="3" s="1"/>
  <c r="P202" i="3" s="1"/>
  <c r="H194" i="3"/>
  <c r="I194" i="3" s="1"/>
  <c r="J194" i="3" s="1"/>
  <c r="K194" i="3" s="1"/>
  <c r="L194" i="3" s="1"/>
  <c r="M194" i="3" s="1"/>
  <c r="N194" i="3" s="1"/>
  <c r="O194" i="3" s="1"/>
  <c r="P194" i="3" s="1"/>
  <c r="H186" i="3"/>
  <c r="I186" i="3" s="1"/>
  <c r="J186" i="3" s="1"/>
  <c r="K186" i="3" s="1"/>
  <c r="L186" i="3" s="1"/>
  <c r="M186" i="3" s="1"/>
  <c r="N186" i="3" s="1"/>
  <c r="O186" i="3" s="1"/>
  <c r="P186" i="3" s="1"/>
  <c r="H178" i="3"/>
  <c r="I178" i="3" s="1"/>
  <c r="J178" i="3" s="1"/>
  <c r="K178" i="3" s="1"/>
  <c r="L178" i="3" s="1"/>
  <c r="M178" i="3" s="1"/>
  <c r="N178" i="3" s="1"/>
  <c r="O178" i="3" s="1"/>
  <c r="P178" i="3" s="1"/>
  <c r="H170" i="3"/>
  <c r="I170" i="3" s="1"/>
  <c r="J170" i="3" s="1"/>
  <c r="K170" i="3" s="1"/>
  <c r="L170" i="3" s="1"/>
  <c r="M170" i="3" s="1"/>
  <c r="N170" i="3" s="1"/>
  <c r="O170" i="3" s="1"/>
  <c r="P170" i="3" s="1"/>
  <c r="H162" i="3"/>
  <c r="I162" i="3" s="1"/>
  <c r="J162" i="3" s="1"/>
  <c r="K162" i="3" s="1"/>
  <c r="L162" i="3" s="1"/>
  <c r="M162" i="3" s="1"/>
  <c r="N162" i="3" s="1"/>
  <c r="O162" i="3" s="1"/>
  <c r="P162" i="3" s="1"/>
  <c r="H154" i="3"/>
  <c r="I154" i="3" s="1"/>
  <c r="J154" i="3" s="1"/>
  <c r="K154" i="3" s="1"/>
  <c r="L154" i="3" s="1"/>
  <c r="M154" i="3" s="1"/>
  <c r="N154" i="3" s="1"/>
  <c r="O154" i="3" s="1"/>
  <c r="P154" i="3" s="1"/>
  <c r="H146" i="3"/>
  <c r="I146" i="3" s="1"/>
  <c r="J146" i="3" s="1"/>
  <c r="K146" i="3" s="1"/>
  <c r="L146" i="3" s="1"/>
  <c r="M146" i="3" s="1"/>
  <c r="N146" i="3" s="1"/>
  <c r="O146" i="3" s="1"/>
  <c r="P146" i="3" s="1"/>
  <c r="H138" i="3"/>
  <c r="I138" i="3" s="1"/>
  <c r="J138" i="3" s="1"/>
  <c r="K138" i="3" s="1"/>
  <c r="L138" i="3" s="1"/>
  <c r="M138" i="3" s="1"/>
  <c r="N138" i="3" s="1"/>
  <c r="O138" i="3" s="1"/>
  <c r="P138" i="3" s="1"/>
  <c r="H130" i="3"/>
  <c r="I130" i="3" s="1"/>
  <c r="J130" i="3" s="1"/>
  <c r="K130" i="3" s="1"/>
  <c r="L130" i="3" s="1"/>
  <c r="M130" i="3" s="1"/>
  <c r="N130" i="3" s="1"/>
  <c r="O130" i="3" s="1"/>
  <c r="P130" i="3" s="1"/>
  <c r="H122" i="3"/>
  <c r="I122" i="3" s="1"/>
  <c r="J122" i="3" s="1"/>
  <c r="K122" i="3" s="1"/>
  <c r="L122" i="3" s="1"/>
  <c r="M122" i="3" s="1"/>
  <c r="N122" i="3" s="1"/>
  <c r="O122" i="3" s="1"/>
  <c r="P122" i="3" s="1"/>
  <c r="H114" i="3"/>
  <c r="I114" i="3" s="1"/>
  <c r="J114" i="3" s="1"/>
  <c r="K114" i="3" s="1"/>
  <c r="L114" i="3" s="1"/>
  <c r="M114" i="3" s="1"/>
  <c r="N114" i="3" s="1"/>
  <c r="O114" i="3" s="1"/>
  <c r="P114" i="3" s="1"/>
  <c r="H106" i="3"/>
  <c r="I106" i="3" s="1"/>
  <c r="J106" i="3" s="1"/>
  <c r="K106" i="3" s="1"/>
  <c r="L106" i="3" s="1"/>
  <c r="M106" i="3" s="1"/>
  <c r="N106" i="3" s="1"/>
  <c r="O106" i="3" s="1"/>
  <c r="P106" i="3" s="1"/>
  <c r="H98" i="3"/>
  <c r="I98" i="3" s="1"/>
  <c r="J98" i="3" s="1"/>
  <c r="K98" i="3" s="1"/>
  <c r="L98" i="3" s="1"/>
  <c r="M98" i="3" s="1"/>
  <c r="N98" i="3" s="1"/>
  <c r="O98" i="3" s="1"/>
  <c r="P98" i="3" s="1"/>
  <c r="H90" i="3"/>
  <c r="I90" i="3" s="1"/>
  <c r="J90" i="3" s="1"/>
  <c r="K90" i="3" s="1"/>
  <c r="L90" i="3" s="1"/>
  <c r="M90" i="3" s="1"/>
  <c r="N90" i="3" s="1"/>
  <c r="O90" i="3" s="1"/>
  <c r="P90" i="3" s="1"/>
  <c r="H82" i="3"/>
  <c r="I82" i="3" s="1"/>
  <c r="J82" i="3" s="1"/>
  <c r="K82" i="3" s="1"/>
  <c r="L82" i="3" s="1"/>
  <c r="M82" i="3" s="1"/>
  <c r="N82" i="3" s="1"/>
  <c r="O82" i="3" s="1"/>
  <c r="P82" i="3" s="1"/>
  <c r="H74" i="3"/>
  <c r="I74" i="3" s="1"/>
  <c r="J74" i="3" s="1"/>
  <c r="K74" i="3" s="1"/>
  <c r="L74" i="3" s="1"/>
  <c r="M74" i="3" s="1"/>
  <c r="N74" i="3" s="1"/>
  <c r="O74" i="3" s="1"/>
  <c r="P74" i="3" s="1"/>
  <c r="H66" i="3"/>
  <c r="I66" i="3" s="1"/>
  <c r="J66" i="3" s="1"/>
  <c r="K66" i="3" s="1"/>
  <c r="L66" i="3" s="1"/>
  <c r="M66" i="3" s="1"/>
  <c r="N66" i="3" s="1"/>
  <c r="O66" i="3" s="1"/>
  <c r="P66" i="3" s="1"/>
  <c r="H58" i="3"/>
  <c r="I58" i="3" s="1"/>
  <c r="J58" i="3" s="1"/>
  <c r="K58" i="3" s="1"/>
  <c r="L58" i="3" s="1"/>
  <c r="M58" i="3" s="1"/>
  <c r="N58" i="3" s="1"/>
  <c r="O58" i="3" s="1"/>
  <c r="P58" i="3" s="1"/>
  <c r="H50" i="3"/>
  <c r="I50" i="3" s="1"/>
  <c r="J50" i="3" s="1"/>
  <c r="K50" i="3" s="1"/>
  <c r="L50" i="3" s="1"/>
  <c r="M50" i="3" s="1"/>
  <c r="N50" i="3" s="1"/>
  <c r="O50" i="3" s="1"/>
  <c r="P50" i="3" s="1"/>
  <c r="H42" i="3"/>
  <c r="I42" i="3" s="1"/>
  <c r="J42" i="3" s="1"/>
  <c r="K42" i="3" s="1"/>
  <c r="L42" i="3" s="1"/>
  <c r="M42" i="3" s="1"/>
  <c r="N42" i="3" s="1"/>
  <c r="O42" i="3" s="1"/>
  <c r="P42" i="3" s="1"/>
  <c r="H34" i="3"/>
  <c r="I34" i="3" s="1"/>
  <c r="J34" i="3" s="1"/>
  <c r="K34" i="3" s="1"/>
  <c r="L34" i="3" s="1"/>
  <c r="M34" i="3" s="1"/>
  <c r="N34" i="3" s="1"/>
  <c r="O34" i="3" s="1"/>
  <c r="P34" i="3" s="1"/>
  <c r="H26" i="3"/>
  <c r="I26" i="3" s="1"/>
  <c r="J26" i="3" s="1"/>
  <c r="K26" i="3" s="1"/>
  <c r="L26" i="3" s="1"/>
  <c r="M26" i="3" s="1"/>
  <c r="N26" i="3" s="1"/>
  <c r="O26" i="3" s="1"/>
  <c r="P26" i="3" s="1"/>
  <c r="H18" i="3"/>
  <c r="I18" i="3" s="1"/>
  <c r="J18" i="3" s="1"/>
  <c r="K18" i="3" s="1"/>
  <c r="L18" i="3" s="1"/>
  <c r="M18" i="3" s="1"/>
  <c r="N18" i="3" s="1"/>
  <c r="O18" i="3" s="1"/>
  <c r="P18" i="3" s="1"/>
  <c r="H10" i="3"/>
  <c r="I10" i="3" s="1"/>
  <c r="J10" i="3" s="1"/>
  <c r="K10" i="3" s="1"/>
  <c r="L10" i="3" s="1"/>
  <c r="M10" i="3" s="1"/>
  <c r="N10" i="3" s="1"/>
  <c r="O10" i="3" s="1"/>
  <c r="P10" i="3" s="1"/>
  <c r="Q431" i="3"/>
  <c r="R431" i="3" s="1"/>
  <c r="S431" i="3" s="1"/>
  <c r="Q409" i="3"/>
  <c r="R409" i="3" s="1"/>
  <c r="S409" i="3" s="1"/>
  <c r="Q388" i="3"/>
  <c r="R388" i="3" s="1"/>
  <c r="S388" i="3" s="1"/>
  <c r="Q369" i="3"/>
  <c r="R369" i="3" s="1"/>
  <c r="S369" i="3" s="1"/>
  <c r="Q348" i="3"/>
  <c r="R348" i="3" s="1"/>
  <c r="S348" i="3" s="1"/>
  <c r="Q308" i="3"/>
  <c r="R308" i="3" s="1"/>
  <c r="S308" i="3" s="1"/>
  <c r="Q286" i="3"/>
  <c r="R286" i="3" s="1"/>
  <c r="S286" i="3" s="1"/>
  <c r="Q268" i="3"/>
  <c r="R268" i="3" s="1"/>
  <c r="S268" i="3" s="1"/>
  <c r="Q246" i="3"/>
  <c r="R246" i="3" s="1"/>
  <c r="S246" i="3" s="1"/>
  <c r="Q225" i="3"/>
  <c r="R225" i="3" s="1"/>
  <c r="S225" i="3" s="1"/>
  <c r="Q206" i="3"/>
  <c r="R206" i="3" s="1"/>
  <c r="S206" i="3" s="1"/>
  <c r="Q183" i="3"/>
  <c r="R183" i="3" s="1"/>
  <c r="S183" i="3" s="1"/>
  <c r="Q166" i="3"/>
  <c r="R166" i="3" s="1"/>
  <c r="S166" i="3" s="1"/>
  <c r="Q143" i="3"/>
  <c r="R143" i="3" s="1"/>
  <c r="S143" i="3" s="1"/>
  <c r="Q119" i="3"/>
  <c r="R119" i="3" s="1"/>
  <c r="S119" i="3" s="1"/>
  <c r="Q54" i="3"/>
  <c r="R54" i="3" s="1"/>
  <c r="S54" i="3" s="1"/>
  <c r="H401" i="3"/>
  <c r="I401" i="3" s="1"/>
  <c r="J401" i="3" s="1"/>
  <c r="K401" i="3" s="1"/>
  <c r="L401" i="3" s="1"/>
  <c r="M401" i="3" s="1"/>
  <c r="N401" i="3" s="1"/>
  <c r="O401" i="3" s="1"/>
  <c r="P401" i="3" s="1"/>
  <c r="H393" i="3"/>
  <c r="I393" i="3" s="1"/>
  <c r="J393" i="3" s="1"/>
  <c r="K393" i="3" s="1"/>
  <c r="L393" i="3" s="1"/>
  <c r="M393" i="3" s="1"/>
  <c r="N393" i="3" s="1"/>
  <c r="O393" i="3" s="1"/>
  <c r="P393" i="3" s="1"/>
  <c r="H377" i="3"/>
  <c r="I377" i="3" s="1"/>
  <c r="J377" i="3" s="1"/>
  <c r="K377" i="3" s="1"/>
  <c r="L377" i="3" s="1"/>
  <c r="M377" i="3" s="1"/>
  <c r="N377" i="3" s="1"/>
  <c r="O377" i="3" s="1"/>
  <c r="P377" i="3" s="1"/>
  <c r="H337" i="3"/>
  <c r="I337" i="3" s="1"/>
  <c r="J337" i="3" s="1"/>
  <c r="K337" i="3" s="1"/>
  <c r="L337" i="3" s="1"/>
  <c r="M337" i="3" s="1"/>
  <c r="N337" i="3" s="1"/>
  <c r="O337" i="3" s="1"/>
  <c r="P337" i="3" s="1"/>
  <c r="H329" i="3"/>
  <c r="I329" i="3" s="1"/>
  <c r="J329" i="3" s="1"/>
  <c r="K329" i="3" s="1"/>
  <c r="L329" i="3" s="1"/>
  <c r="M329" i="3" s="1"/>
  <c r="N329" i="3" s="1"/>
  <c r="O329" i="3" s="1"/>
  <c r="P329" i="3" s="1"/>
  <c r="H313" i="3"/>
  <c r="I313" i="3" s="1"/>
  <c r="J313" i="3" s="1"/>
  <c r="K313" i="3" s="1"/>
  <c r="L313" i="3" s="1"/>
  <c r="M313" i="3" s="1"/>
  <c r="N313" i="3" s="1"/>
  <c r="O313" i="3" s="1"/>
  <c r="P313" i="3" s="1"/>
  <c r="H273" i="3"/>
  <c r="I273" i="3" s="1"/>
  <c r="J273" i="3" s="1"/>
  <c r="K273" i="3" s="1"/>
  <c r="L273" i="3" s="1"/>
  <c r="M273" i="3" s="1"/>
  <c r="N273" i="3" s="1"/>
  <c r="O273" i="3" s="1"/>
  <c r="P273" i="3" s="1"/>
  <c r="H265" i="3"/>
  <c r="I265" i="3" s="1"/>
  <c r="J265" i="3" s="1"/>
  <c r="K265" i="3" s="1"/>
  <c r="L265" i="3" s="1"/>
  <c r="M265" i="3" s="1"/>
  <c r="N265" i="3" s="1"/>
  <c r="O265" i="3" s="1"/>
  <c r="P265" i="3" s="1"/>
  <c r="H249" i="3"/>
  <c r="I249" i="3" s="1"/>
  <c r="J249" i="3" s="1"/>
  <c r="K249" i="3" s="1"/>
  <c r="L249" i="3" s="1"/>
  <c r="M249" i="3" s="1"/>
  <c r="N249" i="3" s="1"/>
  <c r="O249" i="3" s="1"/>
  <c r="P249" i="3" s="1"/>
  <c r="H209" i="3"/>
  <c r="I209" i="3" s="1"/>
  <c r="J209" i="3" s="1"/>
  <c r="K209" i="3" s="1"/>
  <c r="L209" i="3" s="1"/>
  <c r="M209" i="3" s="1"/>
  <c r="N209" i="3" s="1"/>
  <c r="O209" i="3" s="1"/>
  <c r="P209" i="3" s="1"/>
  <c r="H201" i="3"/>
  <c r="I201" i="3" s="1"/>
  <c r="J201" i="3" s="1"/>
  <c r="K201" i="3" s="1"/>
  <c r="L201" i="3" s="1"/>
  <c r="M201" i="3" s="1"/>
  <c r="N201" i="3" s="1"/>
  <c r="O201" i="3" s="1"/>
  <c r="P201" i="3" s="1"/>
  <c r="H185" i="3"/>
  <c r="I185" i="3" s="1"/>
  <c r="J185" i="3" s="1"/>
  <c r="K185" i="3" s="1"/>
  <c r="L185" i="3" s="1"/>
  <c r="M185" i="3" s="1"/>
  <c r="N185" i="3" s="1"/>
  <c r="O185" i="3" s="1"/>
  <c r="P185" i="3" s="1"/>
  <c r="H145" i="3"/>
  <c r="I145" i="3" s="1"/>
  <c r="J145" i="3" s="1"/>
  <c r="K145" i="3" s="1"/>
  <c r="L145" i="3" s="1"/>
  <c r="M145" i="3" s="1"/>
  <c r="N145" i="3" s="1"/>
  <c r="O145" i="3" s="1"/>
  <c r="P145" i="3" s="1"/>
  <c r="H137" i="3"/>
  <c r="I137" i="3" s="1"/>
  <c r="J137" i="3" s="1"/>
  <c r="K137" i="3" s="1"/>
  <c r="L137" i="3" s="1"/>
  <c r="M137" i="3" s="1"/>
  <c r="N137" i="3" s="1"/>
  <c r="O137" i="3" s="1"/>
  <c r="P137" i="3" s="1"/>
  <c r="H121" i="3"/>
  <c r="I121" i="3" s="1"/>
  <c r="J121" i="3" s="1"/>
  <c r="K121" i="3" s="1"/>
  <c r="L121" i="3" s="1"/>
  <c r="M121" i="3" s="1"/>
  <c r="N121" i="3" s="1"/>
  <c r="O121" i="3" s="1"/>
  <c r="P121" i="3" s="1"/>
  <c r="H97" i="3"/>
  <c r="I97" i="3" s="1"/>
  <c r="J97" i="3" s="1"/>
  <c r="K97" i="3" s="1"/>
  <c r="L97" i="3" s="1"/>
  <c r="M97" i="3" s="1"/>
  <c r="N97" i="3" s="1"/>
  <c r="O97" i="3" s="1"/>
  <c r="P97" i="3" s="1"/>
  <c r="H89" i="3"/>
  <c r="I89" i="3" s="1"/>
  <c r="J89" i="3" s="1"/>
  <c r="K89" i="3" s="1"/>
  <c r="L89" i="3" s="1"/>
  <c r="M89" i="3" s="1"/>
  <c r="N89" i="3" s="1"/>
  <c r="O89" i="3" s="1"/>
  <c r="P89" i="3" s="1"/>
  <c r="H81" i="3"/>
  <c r="I81" i="3" s="1"/>
  <c r="J81" i="3" s="1"/>
  <c r="K81" i="3" s="1"/>
  <c r="L81" i="3" s="1"/>
  <c r="M81" i="3" s="1"/>
  <c r="N81" i="3" s="1"/>
  <c r="O81" i="3" s="1"/>
  <c r="P81" i="3" s="1"/>
  <c r="H73" i="3"/>
  <c r="I73" i="3" s="1"/>
  <c r="J73" i="3" s="1"/>
  <c r="K73" i="3" s="1"/>
  <c r="L73" i="3" s="1"/>
  <c r="M73" i="3" s="1"/>
  <c r="N73" i="3" s="1"/>
  <c r="O73" i="3" s="1"/>
  <c r="P73" i="3" s="1"/>
  <c r="H57" i="3"/>
  <c r="I57" i="3" s="1"/>
  <c r="J57" i="3" s="1"/>
  <c r="K57" i="3" s="1"/>
  <c r="L57" i="3" s="1"/>
  <c r="M57" i="3" s="1"/>
  <c r="N57" i="3" s="1"/>
  <c r="O57" i="3" s="1"/>
  <c r="P57" i="3" s="1"/>
  <c r="H33" i="3"/>
  <c r="I33" i="3" s="1"/>
  <c r="J33" i="3" s="1"/>
  <c r="K33" i="3" s="1"/>
  <c r="L33" i="3" s="1"/>
  <c r="M33" i="3" s="1"/>
  <c r="N33" i="3" s="1"/>
  <c r="O33" i="3" s="1"/>
  <c r="P33" i="3" s="1"/>
  <c r="H25" i="3"/>
  <c r="I25" i="3" s="1"/>
  <c r="J25" i="3" s="1"/>
  <c r="K25" i="3" s="1"/>
  <c r="L25" i="3" s="1"/>
  <c r="M25" i="3" s="1"/>
  <c r="N25" i="3" s="1"/>
  <c r="O25" i="3" s="1"/>
  <c r="P25" i="3" s="1"/>
  <c r="H17" i="3"/>
  <c r="I17" i="3" s="1"/>
  <c r="J17" i="3" s="1"/>
  <c r="K17" i="3" s="1"/>
  <c r="L17" i="3" s="1"/>
  <c r="M17" i="3" s="1"/>
  <c r="N17" i="3" s="1"/>
  <c r="O17" i="3" s="1"/>
  <c r="P17" i="3" s="1"/>
  <c r="H9" i="3"/>
  <c r="I9" i="3" s="1"/>
  <c r="J9" i="3" s="1"/>
  <c r="K9" i="3" s="1"/>
  <c r="L9" i="3" s="1"/>
  <c r="M9" i="3" s="1"/>
  <c r="N9" i="3" s="1"/>
  <c r="O9" i="3" s="1"/>
  <c r="P9" i="3" s="1"/>
  <c r="Q385" i="3"/>
  <c r="R385" i="3" s="1"/>
  <c r="S385" i="3" s="1"/>
  <c r="Q367" i="3"/>
  <c r="R367" i="3" s="1"/>
  <c r="S367" i="3" s="1"/>
  <c r="Q345" i="3"/>
  <c r="R345" i="3" s="1"/>
  <c r="S345" i="3" s="1"/>
  <c r="Q324" i="3"/>
  <c r="R324" i="3" s="1"/>
  <c r="S324" i="3" s="1"/>
  <c r="Q305" i="3"/>
  <c r="R305" i="3" s="1"/>
  <c r="S305" i="3" s="1"/>
  <c r="Q284" i="3"/>
  <c r="R284" i="3" s="1"/>
  <c r="S284" i="3" s="1"/>
  <c r="Q244" i="3"/>
  <c r="R244" i="3" s="1"/>
  <c r="S244" i="3" s="1"/>
  <c r="Q222" i="3"/>
  <c r="R222" i="3" s="1"/>
  <c r="S222" i="3" s="1"/>
  <c r="Q204" i="3"/>
  <c r="R204" i="3" s="1"/>
  <c r="S204" i="3" s="1"/>
  <c r="Q182" i="3"/>
  <c r="R182" i="3" s="1"/>
  <c r="S182" i="3" s="1"/>
  <c r="Q161" i="3"/>
  <c r="R161" i="3" s="1"/>
  <c r="S161" i="3" s="1"/>
  <c r="Q142" i="3"/>
  <c r="R142" i="3" s="1"/>
  <c r="S142" i="3" s="1"/>
  <c r="Q118" i="3"/>
  <c r="R118" i="3" s="1"/>
  <c r="S118" i="3" s="1"/>
  <c r="Q49" i="3"/>
  <c r="R49" i="3" s="1"/>
  <c r="S49" i="3" s="1"/>
  <c r="Q15" i="3"/>
  <c r="R15" i="3" s="1"/>
  <c r="S15" i="3" s="1"/>
  <c r="Q6" i="3"/>
  <c r="R6" i="3" s="1"/>
  <c r="S6" i="3" s="1"/>
  <c r="Q626" i="2"/>
  <c r="R626" i="2" s="1"/>
  <c r="S626" i="2" s="1"/>
  <c r="Q886" i="2"/>
  <c r="R886" i="2" s="1"/>
  <c r="S886" i="2" s="1"/>
  <c r="Q864" i="2"/>
  <c r="R864" i="2" s="1"/>
  <c r="S864" i="2" s="1"/>
  <c r="Q595" i="2"/>
  <c r="R595" i="2" s="1"/>
  <c r="S595" i="2" s="1"/>
  <c r="Q822" i="2"/>
  <c r="R822" i="2" s="1"/>
  <c r="S822" i="2" s="1"/>
  <c r="Q550" i="2"/>
  <c r="R550" i="2" s="1"/>
  <c r="S550" i="2" s="1"/>
  <c r="Q800" i="2"/>
  <c r="R800" i="2" s="1"/>
  <c r="S800" i="2" s="1"/>
  <c r="Q488" i="2"/>
  <c r="R488" i="2" s="1"/>
  <c r="S488" i="2" s="1"/>
  <c r="Q758" i="2"/>
  <c r="R758" i="2" s="1"/>
  <c r="S758" i="2" s="1"/>
  <c r="Q438" i="2"/>
  <c r="R438" i="2" s="1"/>
  <c r="S438" i="2" s="1"/>
  <c r="Q992" i="2"/>
  <c r="R992" i="2" s="1"/>
  <c r="S992" i="2" s="1"/>
  <c r="Q736" i="2"/>
  <c r="R736" i="2" s="1"/>
  <c r="S736" i="2" s="1"/>
  <c r="Q352" i="2"/>
  <c r="R352" i="2" s="1"/>
  <c r="S352" i="2" s="1"/>
  <c r="Q950" i="2"/>
  <c r="R950" i="2" s="1"/>
  <c r="S950" i="2" s="1"/>
  <c r="Q694" i="2"/>
  <c r="R694" i="2" s="1"/>
  <c r="S694" i="2" s="1"/>
  <c r="Q182" i="2"/>
  <c r="R182" i="2" s="1"/>
  <c r="S182" i="2" s="1"/>
  <c r="Q928" i="2"/>
  <c r="R928" i="2" s="1"/>
  <c r="S928" i="2" s="1"/>
  <c r="Q663" i="2"/>
  <c r="R663" i="2" s="1"/>
  <c r="S663" i="2" s="1"/>
  <c r="Q54" i="2"/>
  <c r="R54" i="2" s="1"/>
  <c r="S54" i="2" s="1"/>
  <c r="H681" i="2"/>
  <c r="I681" i="2" s="1"/>
  <c r="J681" i="2" s="1"/>
  <c r="K681" i="2" s="1"/>
  <c r="L681" i="2" s="1"/>
  <c r="M681" i="2" s="1"/>
  <c r="N681" i="2" s="1"/>
  <c r="O681" i="2" s="1"/>
  <c r="P681" i="2" s="1"/>
  <c r="H625" i="2"/>
  <c r="I625" i="2" s="1"/>
  <c r="J625" i="2" s="1"/>
  <c r="K625" i="2" s="1"/>
  <c r="L625" i="2" s="1"/>
  <c r="M625" i="2" s="1"/>
  <c r="N625" i="2" s="1"/>
  <c r="O625" i="2" s="1"/>
  <c r="P625" i="2" s="1"/>
  <c r="H569" i="2"/>
  <c r="I569" i="2" s="1"/>
  <c r="J569" i="2" s="1"/>
  <c r="K569" i="2" s="1"/>
  <c r="L569" i="2" s="1"/>
  <c r="M569" i="2" s="1"/>
  <c r="N569" i="2" s="1"/>
  <c r="O569" i="2" s="1"/>
  <c r="P569" i="2" s="1"/>
  <c r="H529" i="2"/>
  <c r="I529" i="2" s="1"/>
  <c r="J529" i="2" s="1"/>
  <c r="K529" i="2" s="1"/>
  <c r="L529" i="2" s="1"/>
  <c r="M529" i="2" s="1"/>
  <c r="N529" i="2" s="1"/>
  <c r="O529" i="2" s="1"/>
  <c r="P529" i="2" s="1"/>
  <c r="H481" i="2"/>
  <c r="I481" i="2" s="1"/>
  <c r="J481" i="2" s="1"/>
  <c r="K481" i="2" s="1"/>
  <c r="L481" i="2" s="1"/>
  <c r="M481" i="2" s="1"/>
  <c r="N481" i="2" s="1"/>
  <c r="O481" i="2" s="1"/>
  <c r="P481" i="2" s="1"/>
  <c r="H425" i="2"/>
  <c r="I425" i="2" s="1"/>
  <c r="J425" i="2" s="1"/>
  <c r="K425" i="2" s="1"/>
  <c r="L425" i="2" s="1"/>
  <c r="M425" i="2" s="1"/>
  <c r="N425" i="2" s="1"/>
  <c r="O425" i="2" s="1"/>
  <c r="P425" i="2" s="1"/>
  <c r="H369" i="2"/>
  <c r="I369" i="2" s="1"/>
  <c r="J369" i="2" s="1"/>
  <c r="K369" i="2" s="1"/>
  <c r="L369" i="2" s="1"/>
  <c r="M369" i="2" s="1"/>
  <c r="N369" i="2" s="1"/>
  <c r="O369" i="2" s="1"/>
  <c r="P369" i="2" s="1"/>
  <c r="H313" i="2"/>
  <c r="I313" i="2" s="1"/>
  <c r="J313" i="2" s="1"/>
  <c r="K313" i="2" s="1"/>
  <c r="L313" i="2" s="1"/>
  <c r="M313" i="2" s="1"/>
  <c r="N313" i="2" s="1"/>
  <c r="O313" i="2" s="1"/>
  <c r="P313" i="2" s="1"/>
  <c r="H265" i="2"/>
  <c r="I265" i="2" s="1"/>
  <c r="J265" i="2" s="1"/>
  <c r="K265" i="2" s="1"/>
  <c r="L265" i="2" s="1"/>
  <c r="M265" i="2" s="1"/>
  <c r="N265" i="2" s="1"/>
  <c r="O265" i="2" s="1"/>
  <c r="P265" i="2" s="1"/>
  <c r="H209" i="2"/>
  <c r="I209" i="2" s="1"/>
  <c r="J209" i="2" s="1"/>
  <c r="K209" i="2" s="1"/>
  <c r="L209" i="2" s="1"/>
  <c r="M209" i="2" s="1"/>
  <c r="N209" i="2" s="1"/>
  <c r="O209" i="2" s="1"/>
  <c r="P209" i="2" s="1"/>
  <c r="H161" i="2"/>
  <c r="I161" i="2" s="1"/>
  <c r="J161" i="2" s="1"/>
  <c r="K161" i="2" s="1"/>
  <c r="L161" i="2" s="1"/>
  <c r="M161" i="2" s="1"/>
  <c r="N161" i="2" s="1"/>
  <c r="O161" i="2" s="1"/>
  <c r="P161" i="2" s="1"/>
  <c r="H105" i="2"/>
  <c r="I105" i="2" s="1"/>
  <c r="J105" i="2" s="1"/>
  <c r="K105" i="2" s="1"/>
  <c r="L105" i="2" s="1"/>
  <c r="M105" i="2" s="1"/>
  <c r="N105" i="2" s="1"/>
  <c r="O105" i="2" s="1"/>
  <c r="P105" i="2" s="1"/>
  <c r="H57" i="2"/>
  <c r="I57" i="2" s="1"/>
  <c r="J57" i="2" s="1"/>
  <c r="K57" i="2" s="1"/>
  <c r="L57" i="2" s="1"/>
  <c r="M57" i="2" s="1"/>
  <c r="N57" i="2" s="1"/>
  <c r="O57" i="2" s="1"/>
  <c r="P57" i="2" s="1"/>
  <c r="H9" i="2"/>
  <c r="I9" i="2" s="1"/>
  <c r="J9" i="2" s="1"/>
  <c r="K9" i="2" s="1"/>
  <c r="L9" i="2" s="1"/>
  <c r="M9" i="2" s="1"/>
  <c r="N9" i="2" s="1"/>
  <c r="O9" i="2" s="1"/>
  <c r="P9" i="2" s="1"/>
  <c r="H680" i="2"/>
  <c r="I680" i="2" s="1"/>
  <c r="J680" i="2" s="1"/>
  <c r="K680" i="2" s="1"/>
  <c r="L680" i="2" s="1"/>
  <c r="M680" i="2" s="1"/>
  <c r="N680" i="2" s="1"/>
  <c r="O680" i="2" s="1"/>
  <c r="P680" i="2" s="1"/>
  <c r="H656" i="2"/>
  <c r="I656" i="2" s="1"/>
  <c r="J656" i="2" s="1"/>
  <c r="K656" i="2" s="1"/>
  <c r="L656" i="2" s="1"/>
  <c r="M656" i="2" s="1"/>
  <c r="N656" i="2" s="1"/>
  <c r="O656" i="2" s="1"/>
  <c r="P656" i="2" s="1"/>
  <c r="H648" i="2"/>
  <c r="I648" i="2" s="1"/>
  <c r="J648" i="2" s="1"/>
  <c r="K648" i="2" s="1"/>
  <c r="L648" i="2" s="1"/>
  <c r="M648" i="2" s="1"/>
  <c r="N648" i="2" s="1"/>
  <c r="O648" i="2" s="1"/>
  <c r="P648" i="2" s="1"/>
  <c r="H640" i="2"/>
  <c r="I640" i="2" s="1"/>
  <c r="J640" i="2" s="1"/>
  <c r="K640" i="2" s="1"/>
  <c r="L640" i="2" s="1"/>
  <c r="M640" i="2" s="1"/>
  <c r="N640" i="2" s="1"/>
  <c r="O640" i="2" s="1"/>
  <c r="P640" i="2" s="1"/>
  <c r="H632" i="2"/>
  <c r="I632" i="2" s="1"/>
  <c r="J632" i="2" s="1"/>
  <c r="K632" i="2" s="1"/>
  <c r="L632" i="2" s="1"/>
  <c r="M632" i="2" s="1"/>
  <c r="N632" i="2" s="1"/>
  <c r="O632" i="2" s="1"/>
  <c r="P632" i="2" s="1"/>
  <c r="H616" i="2"/>
  <c r="I616" i="2" s="1"/>
  <c r="J616" i="2" s="1"/>
  <c r="K616" i="2" s="1"/>
  <c r="L616" i="2" s="1"/>
  <c r="M616" i="2" s="1"/>
  <c r="N616" i="2" s="1"/>
  <c r="O616" i="2" s="1"/>
  <c r="P616" i="2" s="1"/>
  <c r="H592" i="2"/>
  <c r="I592" i="2" s="1"/>
  <c r="J592" i="2" s="1"/>
  <c r="K592" i="2" s="1"/>
  <c r="L592" i="2" s="1"/>
  <c r="M592" i="2" s="1"/>
  <c r="N592" i="2" s="1"/>
  <c r="O592" i="2" s="1"/>
  <c r="P592" i="2" s="1"/>
  <c r="H584" i="2"/>
  <c r="I584" i="2" s="1"/>
  <c r="J584" i="2" s="1"/>
  <c r="K584" i="2" s="1"/>
  <c r="L584" i="2" s="1"/>
  <c r="M584" i="2" s="1"/>
  <c r="N584" i="2" s="1"/>
  <c r="O584" i="2" s="1"/>
  <c r="P584" i="2" s="1"/>
  <c r="H576" i="2"/>
  <c r="I576" i="2" s="1"/>
  <c r="J576" i="2" s="1"/>
  <c r="K576" i="2" s="1"/>
  <c r="L576" i="2" s="1"/>
  <c r="M576" i="2" s="1"/>
  <c r="N576" i="2" s="1"/>
  <c r="O576" i="2" s="1"/>
  <c r="P576" i="2" s="1"/>
  <c r="H568" i="2"/>
  <c r="I568" i="2" s="1"/>
  <c r="J568" i="2" s="1"/>
  <c r="K568" i="2" s="1"/>
  <c r="L568" i="2" s="1"/>
  <c r="M568" i="2" s="1"/>
  <c r="N568" i="2" s="1"/>
  <c r="O568" i="2" s="1"/>
  <c r="P568" i="2" s="1"/>
  <c r="H560" i="2"/>
  <c r="I560" i="2" s="1"/>
  <c r="J560" i="2" s="1"/>
  <c r="K560" i="2" s="1"/>
  <c r="L560" i="2" s="1"/>
  <c r="M560" i="2" s="1"/>
  <c r="N560" i="2" s="1"/>
  <c r="O560" i="2" s="1"/>
  <c r="P560" i="2" s="1"/>
  <c r="H536" i="2"/>
  <c r="I536" i="2" s="1"/>
  <c r="J536" i="2" s="1"/>
  <c r="K536" i="2" s="1"/>
  <c r="L536" i="2" s="1"/>
  <c r="M536" i="2" s="1"/>
  <c r="N536" i="2" s="1"/>
  <c r="O536" i="2" s="1"/>
  <c r="P536" i="2" s="1"/>
  <c r="H520" i="2"/>
  <c r="I520" i="2" s="1"/>
  <c r="J520" i="2" s="1"/>
  <c r="K520" i="2" s="1"/>
  <c r="L520" i="2" s="1"/>
  <c r="M520" i="2" s="1"/>
  <c r="N520" i="2" s="1"/>
  <c r="O520" i="2" s="1"/>
  <c r="P520" i="2" s="1"/>
  <c r="H512" i="2"/>
  <c r="I512" i="2" s="1"/>
  <c r="J512" i="2" s="1"/>
  <c r="K512" i="2" s="1"/>
  <c r="L512" i="2" s="1"/>
  <c r="M512" i="2" s="1"/>
  <c r="N512" i="2" s="1"/>
  <c r="O512" i="2" s="1"/>
  <c r="P512" i="2" s="1"/>
  <c r="H504" i="2"/>
  <c r="I504" i="2" s="1"/>
  <c r="J504" i="2" s="1"/>
  <c r="K504" i="2" s="1"/>
  <c r="L504" i="2" s="1"/>
  <c r="M504" i="2" s="1"/>
  <c r="N504" i="2" s="1"/>
  <c r="O504" i="2" s="1"/>
  <c r="P504" i="2" s="1"/>
  <c r="H496" i="2"/>
  <c r="I496" i="2" s="1"/>
  <c r="J496" i="2" s="1"/>
  <c r="K496" i="2" s="1"/>
  <c r="L496" i="2" s="1"/>
  <c r="M496" i="2" s="1"/>
  <c r="N496" i="2" s="1"/>
  <c r="O496" i="2" s="1"/>
  <c r="P496" i="2" s="1"/>
  <c r="H472" i="2"/>
  <c r="I472" i="2" s="1"/>
  <c r="J472" i="2" s="1"/>
  <c r="K472" i="2" s="1"/>
  <c r="L472" i="2" s="1"/>
  <c r="M472" i="2" s="1"/>
  <c r="N472" i="2" s="1"/>
  <c r="O472" i="2" s="1"/>
  <c r="P472" i="2" s="1"/>
  <c r="H456" i="2"/>
  <c r="I456" i="2" s="1"/>
  <c r="J456" i="2" s="1"/>
  <c r="K456" i="2" s="1"/>
  <c r="L456" i="2" s="1"/>
  <c r="M456" i="2" s="1"/>
  <c r="N456" i="2" s="1"/>
  <c r="O456" i="2" s="1"/>
  <c r="P456" i="2" s="1"/>
  <c r="H448" i="2"/>
  <c r="I448" i="2" s="1"/>
  <c r="J448" i="2" s="1"/>
  <c r="K448" i="2" s="1"/>
  <c r="L448" i="2" s="1"/>
  <c r="M448" i="2" s="1"/>
  <c r="N448" i="2" s="1"/>
  <c r="O448" i="2" s="1"/>
  <c r="P448" i="2" s="1"/>
  <c r="H440" i="2"/>
  <c r="I440" i="2" s="1"/>
  <c r="J440" i="2" s="1"/>
  <c r="K440" i="2" s="1"/>
  <c r="L440" i="2" s="1"/>
  <c r="M440" i="2" s="1"/>
  <c r="N440" i="2" s="1"/>
  <c r="O440" i="2" s="1"/>
  <c r="P440" i="2" s="1"/>
  <c r="H432" i="2"/>
  <c r="I432" i="2" s="1"/>
  <c r="J432" i="2" s="1"/>
  <c r="K432" i="2" s="1"/>
  <c r="L432" i="2" s="1"/>
  <c r="M432" i="2" s="1"/>
  <c r="N432" i="2" s="1"/>
  <c r="O432" i="2" s="1"/>
  <c r="P432" i="2" s="1"/>
  <c r="H408" i="2"/>
  <c r="I408" i="2" s="1"/>
  <c r="J408" i="2" s="1"/>
  <c r="K408" i="2" s="1"/>
  <c r="L408" i="2" s="1"/>
  <c r="M408" i="2" s="1"/>
  <c r="N408" i="2" s="1"/>
  <c r="O408" i="2" s="1"/>
  <c r="P408" i="2" s="1"/>
  <c r="H392" i="2"/>
  <c r="I392" i="2" s="1"/>
  <c r="J392" i="2" s="1"/>
  <c r="K392" i="2" s="1"/>
  <c r="L392" i="2" s="1"/>
  <c r="M392" i="2" s="1"/>
  <c r="N392" i="2" s="1"/>
  <c r="O392" i="2" s="1"/>
  <c r="P392" i="2" s="1"/>
  <c r="H384" i="2"/>
  <c r="I384" i="2" s="1"/>
  <c r="J384" i="2" s="1"/>
  <c r="K384" i="2" s="1"/>
  <c r="L384" i="2" s="1"/>
  <c r="M384" i="2" s="1"/>
  <c r="N384" i="2" s="1"/>
  <c r="O384" i="2" s="1"/>
  <c r="P384" i="2" s="1"/>
  <c r="H376" i="2"/>
  <c r="I376" i="2" s="1"/>
  <c r="J376" i="2" s="1"/>
  <c r="K376" i="2" s="1"/>
  <c r="L376" i="2" s="1"/>
  <c r="M376" i="2" s="1"/>
  <c r="N376" i="2" s="1"/>
  <c r="O376" i="2" s="1"/>
  <c r="P376" i="2" s="1"/>
  <c r="H368" i="2"/>
  <c r="I368" i="2" s="1"/>
  <c r="J368" i="2" s="1"/>
  <c r="K368" i="2" s="1"/>
  <c r="L368" i="2" s="1"/>
  <c r="M368" i="2" s="1"/>
  <c r="N368" i="2" s="1"/>
  <c r="O368" i="2" s="1"/>
  <c r="P368" i="2" s="1"/>
  <c r="H360" i="2"/>
  <c r="I360" i="2" s="1"/>
  <c r="J360" i="2" s="1"/>
  <c r="K360" i="2" s="1"/>
  <c r="L360" i="2" s="1"/>
  <c r="M360" i="2" s="1"/>
  <c r="N360" i="2" s="1"/>
  <c r="O360" i="2" s="1"/>
  <c r="P360" i="2" s="1"/>
  <c r="H344" i="2"/>
  <c r="I344" i="2" s="1"/>
  <c r="J344" i="2" s="1"/>
  <c r="K344" i="2" s="1"/>
  <c r="L344" i="2" s="1"/>
  <c r="M344" i="2" s="1"/>
  <c r="N344" i="2" s="1"/>
  <c r="O344" i="2" s="1"/>
  <c r="P344" i="2" s="1"/>
  <c r="H336" i="2"/>
  <c r="I336" i="2" s="1"/>
  <c r="J336" i="2" s="1"/>
  <c r="K336" i="2" s="1"/>
  <c r="L336" i="2" s="1"/>
  <c r="M336" i="2" s="1"/>
  <c r="N336" i="2" s="1"/>
  <c r="O336" i="2" s="1"/>
  <c r="P336" i="2" s="1"/>
  <c r="H328" i="2"/>
  <c r="I328" i="2" s="1"/>
  <c r="J328" i="2" s="1"/>
  <c r="K328" i="2" s="1"/>
  <c r="L328" i="2" s="1"/>
  <c r="M328" i="2" s="1"/>
  <c r="N328" i="2" s="1"/>
  <c r="O328" i="2" s="1"/>
  <c r="P328" i="2" s="1"/>
  <c r="H320" i="2"/>
  <c r="I320" i="2" s="1"/>
  <c r="J320" i="2" s="1"/>
  <c r="K320" i="2" s="1"/>
  <c r="L320" i="2" s="1"/>
  <c r="M320" i="2" s="1"/>
  <c r="N320" i="2" s="1"/>
  <c r="O320" i="2" s="1"/>
  <c r="P320" i="2" s="1"/>
  <c r="H312" i="2"/>
  <c r="I312" i="2" s="1"/>
  <c r="J312" i="2" s="1"/>
  <c r="K312" i="2" s="1"/>
  <c r="L312" i="2" s="1"/>
  <c r="M312" i="2" s="1"/>
  <c r="N312" i="2" s="1"/>
  <c r="O312" i="2" s="1"/>
  <c r="P312" i="2" s="1"/>
  <c r="H304" i="2"/>
  <c r="I304" i="2" s="1"/>
  <c r="J304" i="2" s="1"/>
  <c r="K304" i="2" s="1"/>
  <c r="L304" i="2" s="1"/>
  <c r="M304" i="2" s="1"/>
  <c r="N304" i="2" s="1"/>
  <c r="O304" i="2" s="1"/>
  <c r="P304" i="2" s="1"/>
  <c r="H296" i="2"/>
  <c r="I296" i="2" s="1"/>
  <c r="J296" i="2" s="1"/>
  <c r="K296" i="2" s="1"/>
  <c r="L296" i="2" s="1"/>
  <c r="M296" i="2" s="1"/>
  <c r="N296" i="2" s="1"/>
  <c r="O296" i="2" s="1"/>
  <c r="P296" i="2" s="1"/>
  <c r="H280" i="2"/>
  <c r="I280" i="2" s="1"/>
  <c r="J280" i="2" s="1"/>
  <c r="K280" i="2" s="1"/>
  <c r="L280" i="2" s="1"/>
  <c r="M280" i="2" s="1"/>
  <c r="N280" i="2" s="1"/>
  <c r="O280" i="2" s="1"/>
  <c r="P280" i="2" s="1"/>
  <c r="H272" i="2"/>
  <c r="I272" i="2" s="1"/>
  <c r="J272" i="2" s="1"/>
  <c r="K272" i="2" s="1"/>
  <c r="L272" i="2" s="1"/>
  <c r="M272" i="2" s="1"/>
  <c r="N272" i="2" s="1"/>
  <c r="O272" i="2" s="1"/>
  <c r="P272" i="2" s="1"/>
  <c r="H264" i="2"/>
  <c r="I264" i="2" s="1"/>
  <c r="J264" i="2" s="1"/>
  <c r="K264" i="2" s="1"/>
  <c r="L264" i="2" s="1"/>
  <c r="M264" i="2" s="1"/>
  <c r="N264" i="2" s="1"/>
  <c r="O264" i="2" s="1"/>
  <c r="P264" i="2" s="1"/>
  <c r="H256" i="2"/>
  <c r="I256" i="2" s="1"/>
  <c r="J256" i="2" s="1"/>
  <c r="K256" i="2" s="1"/>
  <c r="L256" i="2" s="1"/>
  <c r="M256" i="2" s="1"/>
  <c r="N256" i="2" s="1"/>
  <c r="O256" i="2" s="1"/>
  <c r="P256" i="2" s="1"/>
  <c r="H248" i="2"/>
  <c r="I248" i="2" s="1"/>
  <c r="J248" i="2" s="1"/>
  <c r="K248" i="2" s="1"/>
  <c r="L248" i="2" s="1"/>
  <c r="M248" i="2" s="1"/>
  <c r="N248" i="2" s="1"/>
  <c r="O248" i="2" s="1"/>
  <c r="P248" i="2" s="1"/>
  <c r="H240" i="2"/>
  <c r="I240" i="2" s="1"/>
  <c r="J240" i="2" s="1"/>
  <c r="K240" i="2" s="1"/>
  <c r="L240" i="2" s="1"/>
  <c r="M240" i="2" s="1"/>
  <c r="N240" i="2" s="1"/>
  <c r="O240" i="2" s="1"/>
  <c r="P240" i="2" s="1"/>
  <c r="H232" i="2"/>
  <c r="I232" i="2" s="1"/>
  <c r="J232" i="2" s="1"/>
  <c r="K232" i="2" s="1"/>
  <c r="L232" i="2" s="1"/>
  <c r="M232" i="2" s="1"/>
  <c r="N232" i="2" s="1"/>
  <c r="O232" i="2" s="1"/>
  <c r="P232" i="2" s="1"/>
  <c r="H216" i="2"/>
  <c r="I216" i="2" s="1"/>
  <c r="J216" i="2" s="1"/>
  <c r="K216" i="2" s="1"/>
  <c r="L216" i="2" s="1"/>
  <c r="M216" i="2" s="1"/>
  <c r="N216" i="2" s="1"/>
  <c r="O216" i="2" s="1"/>
  <c r="P216" i="2" s="1"/>
  <c r="H208" i="2"/>
  <c r="I208" i="2" s="1"/>
  <c r="J208" i="2" s="1"/>
  <c r="K208" i="2" s="1"/>
  <c r="L208" i="2" s="1"/>
  <c r="M208" i="2" s="1"/>
  <c r="N208" i="2" s="1"/>
  <c r="O208" i="2" s="1"/>
  <c r="P208" i="2" s="1"/>
  <c r="H200" i="2"/>
  <c r="I200" i="2" s="1"/>
  <c r="J200" i="2" s="1"/>
  <c r="K200" i="2" s="1"/>
  <c r="L200" i="2" s="1"/>
  <c r="M200" i="2" s="1"/>
  <c r="N200" i="2" s="1"/>
  <c r="O200" i="2" s="1"/>
  <c r="P200" i="2" s="1"/>
  <c r="H192" i="2"/>
  <c r="I192" i="2" s="1"/>
  <c r="J192" i="2" s="1"/>
  <c r="K192" i="2" s="1"/>
  <c r="L192" i="2" s="1"/>
  <c r="M192" i="2" s="1"/>
  <c r="N192" i="2" s="1"/>
  <c r="O192" i="2" s="1"/>
  <c r="P192" i="2" s="1"/>
  <c r="H184" i="2"/>
  <c r="I184" i="2" s="1"/>
  <c r="J184" i="2" s="1"/>
  <c r="K184" i="2" s="1"/>
  <c r="L184" i="2" s="1"/>
  <c r="M184" i="2" s="1"/>
  <c r="N184" i="2" s="1"/>
  <c r="O184" i="2" s="1"/>
  <c r="P184" i="2" s="1"/>
  <c r="H176" i="2"/>
  <c r="I176" i="2" s="1"/>
  <c r="J176" i="2" s="1"/>
  <c r="K176" i="2" s="1"/>
  <c r="L176" i="2" s="1"/>
  <c r="M176" i="2" s="1"/>
  <c r="N176" i="2" s="1"/>
  <c r="O176" i="2" s="1"/>
  <c r="P176" i="2" s="1"/>
  <c r="H168" i="2"/>
  <c r="I168" i="2" s="1"/>
  <c r="J168" i="2" s="1"/>
  <c r="K168" i="2" s="1"/>
  <c r="L168" i="2" s="1"/>
  <c r="M168" i="2" s="1"/>
  <c r="N168" i="2" s="1"/>
  <c r="O168" i="2" s="1"/>
  <c r="P168" i="2" s="1"/>
  <c r="H152" i="2"/>
  <c r="I152" i="2" s="1"/>
  <c r="J152" i="2" s="1"/>
  <c r="K152" i="2" s="1"/>
  <c r="L152" i="2" s="1"/>
  <c r="M152" i="2" s="1"/>
  <c r="N152" i="2" s="1"/>
  <c r="O152" i="2" s="1"/>
  <c r="P152" i="2" s="1"/>
  <c r="H144" i="2"/>
  <c r="I144" i="2" s="1"/>
  <c r="J144" i="2" s="1"/>
  <c r="K144" i="2" s="1"/>
  <c r="L144" i="2" s="1"/>
  <c r="M144" i="2" s="1"/>
  <c r="N144" i="2" s="1"/>
  <c r="O144" i="2" s="1"/>
  <c r="P144" i="2" s="1"/>
  <c r="H136" i="2"/>
  <c r="I136" i="2" s="1"/>
  <c r="J136" i="2" s="1"/>
  <c r="K136" i="2" s="1"/>
  <c r="L136" i="2" s="1"/>
  <c r="M136" i="2" s="1"/>
  <c r="N136" i="2" s="1"/>
  <c r="O136" i="2" s="1"/>
  <c r="P136" i="2" s="1"/>
  <c r="H128" i="2"/>
  <c r="I128" i="2" s="1"/>
  <c r="J128" i="2" s="1"/>
  <c r="K128" i="2" s="1"/>
  <c r="L128" i="2" s="1"/>
  <c r="M128" i="2" s="1"/>
  <c r="N128" i="2" s="1"/>
  <c r="O128" i="2" s="1"/>
  <c r="P128" i="2" s="1"/>
  <c r="H120" i="2"/>
  <c r="I120" i="2" s="1"/>
  <c r="J120" i="2" s="1"/>
  <c r="K120" i="2" s="1"/>
  <c r="L120" i="2" s="1"/>
  <c r="M120" i="2" s="1"/>
  <c r="N120" i="2" s="1"/>
  <c r="O120" i="2" s="1"/>
  <c r="P120" i="2" s="1"/>
  <c r="H112" i="2"/>
  <c r="I112" i="2" s="1"/>
  <c r="J112" i="2" s="1"/>
  <c r="K112" i="2" s="1"/>
  <c r="L112" i="2" s="1"/>
  <c r="M112" i="2" s="1"/>
  <c r="N112" i="2" s="1"/>
  <c r="O112" i="2" s="1"/>
  <c r="P112" i="2" s="1"/>
  <c r="H104" i="2"/>
  <c r="I104" i="2" s="1"/>
  <c r="J104" i="2" s="1"/>
  <c r="K104" i="2" s="1"/>
  <c r="L104" i="2" s="1"/>
  <c r="M104" i="2" s="1"/>
  <c r="N104" i="2" s="1"/>
  <c r="O104" i="2" s="1"/>
  <c r="P104" i="2" s="1"/>
  <c r="H88" i="2"/>
  <c r="I88" i="2" s="1"/>
  <c r="J88" i="2" s="1"/>
  <c r="K88" i="2" s="1"/>
  <c r="L88" i="2" s="1"/>
  <c r="M88" i="2" s="1"/>
  <c r="N88" i="2" s="1"/>
  <c r="O88" i="2" s="1"/>
  <c r="P88" i="2" s="1"/>
  <c r="H80" i="2"/>
  <c r="I80" i="2" s="1"/>
  <c r="J80" i="2" s="1"/>
  <c r="K80" i="2" s="1"/>
  <c r="L80" i="2" s="1"/>
  <c r="M80" i="2" s="1"/>
  <c r="N80" i="2" s="1"/>
  <c r="O80" i="2" s="1"/>
  <c r="P80" i="2" s="1"/>
  <c r="H72" i="2"/>
  <c r="I72" i="2" s="1"/>
  <c r="J72" i="2" s="1"/>
  <c r="K72" i="2" s="1"/>
  <c r="L72" i="2" s="1"/>
  <c r="M72" i="2" s="1"/>
  <c r="N72" i="2" s="1"/>
  <c r="O72" i="2" s="1"/>
  <c r="P72" i="2" s="1"/>
  <c r="H64" i="2"/>
  <c r="I64" i="2" s="1"/>
  <c r="J64" i="2" s="1"/>
  <c r="K64" i="2" s="1"/>
  <c r="L64" i="2" s="1"/>
  <c r="M64" i="2" s="1"/>
  <c r="N64" i="2" s="1"/>
  <c r="O64" i="2" s="1"/>
  <c r="P64" i="2" s="1"/>
  <c r="H56" i="2"/>
  <c r="I56" i="2" s="1"/>
  <c r="J56" i="2" s="1"/>
  <c r="K56" i="2" s="1"/>
  <c r="L56" i="2" s="1"/>
  <c r="M56" i="2" s="1"/>
  <c r="N56" i="2" s="1"/>
  <c r="O56" i="2" s="1"/>
  <c r="P56" i="2" s="1"/>
  <c r="H48" i="2"/>
  <c r="I48" i="2" s="1"/>
  <c r="J48" i="2" s="1"/>
  <c r="K48" i="2" s="1"/>
  <c r="L48" i="2" s="1"/>
  <c r="M48" i="2" s="1"/>
  <c r="N48" i="2" s="1"/>
  <c r="O48" i="2" s="1"/>
  <c r="P48" i="2" s="1"/>
  <c r="H40" i="2"/>
  <c r="I40" i="2" s="1"/>
  <c r="J40" i="2" s="1"/>
  <c r="K40" i="2" s="1"/>
  <c r="L40" i="2" s="1"/>
  <c r="M40" i="2" s="1"/>
  <c r="N40" i="2" s="1"/>
  <c r="O40" i="2" s="1"/>
  <c r="P40" i="2" s="1"/>
  <c r="H24" i="2"/>
  <c r="I24" i="2" s="1"/>
  <c r="J24" i="2" s="1"/>
  <c r="K24" i="2" s="1"/>
  <c r="L24" i="2" s="1"/>
  <c r="M24" i="2" s="1"/>
  <c r="N24" i="2" s="1"/>
  <c r="O24" i="2" s="1"/>
  <c r="P24" i="2" s="1"/>
  <c r="H16" i="2"/>
  <c r="I16" i="2" s="1"/>
  <c r="J16" i="2" s="1"/>
  <c r="K16" i="2" s="1"/>
  <c r="L16" i="2" s="1"/>
  <c r="M16" i="2" s="1"/>
  <c r="N16" i="2" s="1"/>
  <c r="O16" i="2" s="1"/>
  <c r="P16" i="2" s="1"/>
  <c r="H8" i="2"/>
  <c r="I8" i="2" s="1"/>
  <c r="J8" i="2" s="1"/>
  <c r="K8" i="2" s="1"/>
  <c r="L8" i="2" s="1"/>
  <c r="M8" i="2" s="1"/>
  <c r="N8" i="2" s="1"/>
  <c r="O8" i="2" s="1"/>
  <c r="P8" i="2" s="1"/>
  <c r="Q990" i="2"/>
  <c r="R990" i="2" s="1"/>
  <c r="S990" i="2" s="1"/>
  <c r="Q968" i="2"/>
  <c r="R968" i="2" s="1"/>
  <c r="S968" i="2" s="1"/>
  <c r="Q945" i="2"/>
  <c r="R945" i="2" s="1"/>
  <c r="S945" i="2" s="1"/>
  <c r="Q926" i="2"/>
  <c r="R926" i="2" s="1"/>
  <c r="S926" i="2" s="1"/>
  <c r="Q904" i="2"/>
  <c r="R904" i="2" s="1"/>
  <c r="S904" i="2" s="1"/>
  <c r="Q881" i="2"/>
  <c r="R881" i="2" s="1"/>
  <c r="S881" i="2" s="1"/>
  <c r="Q862" i="2"/>
  <c r="R862" i="2" s="1"/>
  <c r="S862" i="2" s="1"/>
  <c r="Q840" i="2"/>
  <c r="R840" i="2" s="1"/>
  <c r="S840" i="2" s="1"/>
  <c r="Q817" i="2"/>
  <c r="R817" i="2" s="1"/>
  <c r="S817" i="2" s="1"/>
  <c r="Q798" i="2"/>
  <c r="R798" i="2" s="1"/>
  <c r="S798" i="2" s="1"/>
  <c r="Q776" i="2"/>
  <c r="R776" i="2" s="1"/>
  <c r="S776" i="2" s="1"/>
  <c r="Q753" i="2"/>
  <c r="R753" i="2" s="1"/>
  <c r="S753" i="2" s="1"/>
  <c r="Q734" i="2"/>
  <c r="R734" i="2" s="1"/>
  <c r="S734" i="2" s="1"/>
  <c r="Q712" i="2"/>
  <c r="R712" i="2" s="1"/>
  <c r="S712" i="2" s="1"/>
  <c r="Q689" i="2"/>
  <c r="R689" i="2" s="1"/>
  <c r="S689" i="2" s="1"/>
  <c r="Q659" i="2"/>
  <c r="R659" i="2" s="1"/>
  <c r="S659" i="2" s="1"/>
  <c r="Q624" i="2"/>
  <c r="R624" i="2" s="1"/>
  <c r="S624" i="2" s="1"/>
  <c r="Q587" i="2"/>
  <c r="R587" i="2" s="1"/>
  <c r="S587" i="2" s="1"/>
  <c r="Q544" i="2"/>
  <c r="R544" i="2" s="1"/>
  <c r="S544" i="2" s="1"/>
  <c r="Q486" i="2"/>
  <c r="R486" i="2" s="1"/>
  <c r="S486" i="2" s="1"/>
  <c r="Q424" i="2"/>
  <c r="R424" i="2" s="1"/>
  <c r="S424" i="2" s="1"/>
  <c r="Q331" i="2"/>
  <c r="R331" i="2" s="1"/>
  <c r="S331" i="2" s="1"/>
  <c r="Q160" i="2"/>
  <c r="R160" i="2" s="1"/>
  <c r="S160" i="2" s="1"/>
  <c r="H641" i="2"/>
  <c r="I641" i="2" s="1"/>
  <c r="J641" i="2" s="1"/>
  <c r="K641" i="2" s="1"/>
  <c r="L641" i="2" s="1"/>
  <c r="M641" i="2" s="1"/>
  <c r="N641" i="2" s="1"/>
  <c r="O641" i="2" s="1"/>
  <c r="P641" i="2" s="1"/>
  <c r="H593" i="2"/>
  <c r="I593" i="2" s="1"/>
  <c r="J593" i="2" s="1"/>
  <c r="K593" i="2" s="1"/>
  <c r="L593" i="2" s="1"/>
  <c r="M593" i="2" s="1"/>
  <c r="N593" i="2" s="1"/>
  <c r="O593" i="2" s="1"/>
  <c r="P593" i="2" s="1"/>
  <c r="H513" i="2"/>
  <c r="I513" i="2" s="1"/>
  <c r="J513" i="2" s="1"/>
  <c r="K513" i="2" s="1"/>
  <c r="L513" i="2" s="1"/>
  <c r="M513" i="2" s="1"/>
  <c r="N513" i="2" s="1"/>
  <c r="O513" i="2" s="1"/>
  <c r="P513" i="2" s="1"/>
  <c r="H465" i="2"/>
  <c r="I465" i="2" s="1"/>
  <c r="J465" i="2" s="1"/>
  <c r="K465" i="2" s="1"/>
  <c r="L465" i="2" s="1"/>
  <c r="M465" i="2" s="1"/>
  <c r="N465" i="2" s="1"/>
  <c r="O465" i="2" s="1"/>
  <c r="P465" i="2" s="1"/>
  <c r="H409" i="2"/>
  <c r="I409" i="2" s="1"/>
  <c r="J409" i="2" s="1"/>
  <c r="K409" i="2" s="1"/>
  <c r="L409" i="2" s="1"/>
  <c r="M409" i="2" s="1"/>
  <c r="N409" i="2" s="1"/>
  <c r="O409" i="2" s="1"/>
  <c r="P409" i="2" s="1"/>
  <c r="H353" i="2"/>
  <c r="I353" i="2" s="1"/>
  <c r="J353" i="2" s="1"/>
  <c r="K353" i="2" s="1"/>
  <c r="L353" i="2" s="1"/>
  <c r="M353" i="2" s="1"/>
  <c r="N353" i="2" s="1"/>
  <c r="O353" i="2" s="1"/>
  <c r="P353" i="2" s="1"/>
  <c r="H289" i="2"/>
  <c r="I289" i="2" s="1"/>
  <c r="J289" i="2" s="1"/>
  <c r="K289" i="2" s="1"/>
  <c r="L289" i="2" s="1"/>
  <c r="M289" i="2" s="1"/>
  <c r="N289" i="2" s="1"/>
  <c r="O289" i="2" s="1"/>
  <c r="P289" i="2" s="1"/>
  <c r="H233" i="2"/>
  <c r="I233" i="2" s="1"/>
  <c r="J233" i="2" s="1"/>
  <c r="K233" i="2" s="1"/>
  <c r="L233" i="2" s="1"/>
  <c r="M233" i="2" s="1"/>
  <c r="N233" i="2" s="1"/>
  <c r="O233" i="2" s="1"/>
  <c r="P233" i="2" s="1"/>
  <c r="H185" i="2"/>
  <c r="I185" i="2" s="1"/>
  <c r="J185" i="2" s="1"/>
  <c r="K185" i="2" s="1"/>
  <c r="L185" i="2" s="1"/>
  <c r="M185" i="2" s="1"/>
  <c r="N185" i="2" s="1"/>
  <c r="O185" i="2" s="1"/>
  <c r="P185" i="2" s="1"/>
  <c r="H129" i="2"/>
  <c r="I129" i="2" s="1"/>
  <c r="J129" i="2" s="1"/>
  <c r="K129" i="2" s="1"/>
  <c r="L129" i="2" s="1"/>
  <c r="M129" i="2" s="1"/>
  <c r="N129" i="2" s="1"/>
  <c r="O129" i="2" s="1"/>
  <c r="P129" i="2" s="1"/>
  <c r="H65" i="2"/>
  <c r="I65" i="2" s="1"/>
  <c r="J65" i="2" s="1"/>
  <c r="K65" i="2" s="1"/>
  <c r="L65" i="2" s="1"/>
  <c r="M65" i="2" s="1"/>
  <c r="N65" i="2" s="1"/>
  <c r="O65" i="2" s="1"/>
  <c r="P65" i="2" s="1"/>
  <c r="H25" i="2"/>
  <c r="I25" i="2" s="1"/>
  <c r="J25" i="2" s="1"/>
  <c r="K25" i="2" s="1"/>
  <c r="L25" i="2" s="1"/>
  <c r="M25" i="2" s="1"/>
  <c r="N25" i="2" s="1"/>
  <c r="O25" i="2" s="1"/>
  <c r="P25" i="2" s="1"/>
  <c r="H999" i="2"/>
  <c r="I999" i="2" s="1"/>
  <c r="J999" i="2" s="1"/>
  <c r="K999" i="2" s="1"/>
  <c r="L999" i="2" s="1"/>
  <c r="M999" i="2" s="1"/>
  <c r="N999" i="2" s="1"/>
  <c r="O999" i="2" s="1"/>
  <c r="P999" i="2" s="1"/>
  <c r="H991" i="2"/>
  <c r="I991" i="2" s="1"/>
  <c r="J991" i="2" s="1"/>
  <c r="K991" i="2" s="1"/>
  <c r="L991" i="2" s="1"/>
  <c r="M991" i="2" s="1"/>
  <c r="N991" i="2" s="1"/>
  <c r="O991" i="2" s="1"/>
  <c r="P991" i="2" s="1"/>
  <c r="H983" i="2"/>
  <c r="I983" i="2" s="1"/>
  <c r="J983" i="2" s="1"/>
  <c r="K983" i="2" s="1"/>
  <c r="L983" i="2" s="1"/>
  <c r="M983" i="2" s="1"/>
  <c r="N983" i="2" s="1"/>
  <c r="O983" i="2" s="1"/>
  <c r="P983" i="2" s="1"/>
  <c r="H975" i="2"/>
  <c r="I975" i="2" s="1"/>
  <c r="J975" i="2" s="1"/>
  <c r="K975" i="2" s="1"/>
  <c r="L975" i="2" s="1"/>
  <c r="M975" i="2" s="1"/>
  <c r="N975" i="2" s="1"/>
  <c r="O975" i="2" s="1"/>
  <c r="P975" i="2" s="1"/>
  <c r="H967" i="2"/>
  <c r="I967" i="2" s="1"/>
  <c r="J967" i="2" s="1"/>
  <c r="K967" i="2" s="1"/>
  <c r="L967" i="2" s="1"/>
  <c r="M967" i="2" s="1"/>
  <c r="N967" i="2" s="1"/>
  <c r="O967" i="2" s="1"/>
  <c r="P967" i="2" s="1"/>
  <c r="H959" i="2"/>
  <c r="I959" i="2" s="1"/>
  <c r="J959" i="2" s="1"/>
  <c r="K959" i="2" s="1"/>
  <c r="L959" i="2" s="1"/>
  <c r="M959" i="2" s="1"/>
  <c r="N959" i="2" s="1"/>
  <c r="O959" i="2" s="1"/>
  <c r="P959" i="2" s="1"/>
  <c r="H951" i="2"/>
  <c r="I951" i="2" s="1"/>
  <c r="J951" i="2" s="1"/>
  <c r="K951" i="2" s="1"/>
  <c r="L951" i="2" s="1"/>
  <c r="M951" i="2" s="1"/>
  <c r="N951" i="2" s="1"/>
  <c r="O951" i="2" s="1"/>
  <c r="P951" i="2" s="1"/>
  <c r="H943" i="2"/>
  <c r="I943" i="2" s="1"/>
  <c r="J943" i="2" s="1"/>
  <c r="K943" i="2" s="1"/>
  <c r="L943" i="2" s="1"/>
  <c r="M943" i="2" s="1"/>
  <c r="N943" i="2" s="1"/>
  <c r="O943" i="2" s="1"/>
  <c r="P943" i="2" s="1"/>
  <c r="H935" i="2"/>
  <c r="I935" i="2" s="1"/>
  <c r="J935" i="2" s="1"/>
  <c r="K935" i="2" s="1"/>
  <c r="L935" i="2" s="1"/>
  <c r="M935" i="2" s="1"/>
  <c r="N935" i="2" s="1"/>
  <c r="O935" i="2" s="1"/>
  <c r="P935" i="2" s="1"/>
  <c r="H927" i="2"/>
  <c r="I927" i="2" s="1"/>
  <c r="J927" i="2" s="1"/>
  <c r="K927" i="2" s="1"/>
  <c r="L927" i="2" s="1"/>
  <c r="M927" i="2" s="1"/>
  <c r="N927" i="2" s="1"/>
  <c r="O927" i="2" s="1"/>
  <c r="P927" i="2" s="1"/>
  <c r="H919" i="2"/>
  <c r="I919" i="2" s="1"/>
  <c r="J919" i="2" s="1"/>
  <c r="K919" i="2" s="1"/>
  <c r="L919" i="2" s="1"/>
  <c r="M919" i="2" s="1"/>
  <c r="N919" i="2" s="1"/>
  <c r="O919" i="2" s="1"/>
  <c r="P919" i="2" s="1"/>
  <c r="H911" i="2"/>
  <c r="I911" i="2" s="1"/>
  <c r="J911" i="2" s="1"/>
  <c r="K911" i="2" s="1"/>
  <c r="L911" i="2" s="1"/>
  <c r="M911" i="2" s="1"/>
  <c r="N911" i="2" s="1"/>
  <c r="O911" i="2" s="1"/>
  <c r="P911" i="2" s="1"/>
  <c r="H903" i="2"/>
  <c r="I903" i="2" s="1"/>
  <c r="J903" i="2" s="1"/>
  <c r="K903" i="2" s="1"/>
  <c r="L903" i="2" s="1"/>
  <c r="M903" i="2" s="1"/>
  <c r="N903" i="2" s="1"/>
  <c r="O903" i="2" s="1"/>
  <c r="P903" i="2" s="1"/>
  <c r="H895" i="2"/>
  <c r="I895" i="2" s="1"/>
  <c r="J895" i="2" s="1"/>
  <c r="K895" i="2" s="1"/>
  <c r="L895" i="2" s="1"/>
  <c r="M895" i="2" s="1"/>
  <c r="N895" i="2" s="1"/>
  <c r="O895" i="2" s="1"/>
  <c r="P895" i="2" s="1"/>
  <c r="H887" i="2"/>
  <c r="I887" i="2" s="1"/>
  <c r="J887" i="2" s="1"/>
  <c r="K887" i="2" s="1"/>
  <c r="L887" i="2" s="1"/>
  <c r="M887" i="2" s="1"/>
  <c r="N887" i="2" s="1"/>
  <c r="O887" i="2" s="1"/>
  <c r="P887" i="2" s="1"/>
  <c r="H879" i="2"/>
  <c r="I879" i="2" s="1"/>
  <c r="J879" i="2" s="1"/>
  <c r="K879" i="2" s="1"/>
  <c r="L879" i="2" s="1"/>
  <c r="M879" i="2" s="1"/>
  <c r="N879" i="2" s="1"/>
  <c r="O879" i="2" s="1"/>
  <c r="P879" i="2" s="1"/>
  <c r="H871" i="2"/>
  <c r="I871" i="2" s="1"/>
  <c r="J871" i="2" s="1"/>
  <c r="K871" i="2" s="1"/>
  <c r="L871" i="2" s="1"/>
  <c r="M871" i="2" s="1"/>
  <c r="N871" i="2" s="1"/>
  <c r="O871" i="2" s="1"/>
  <c r="P871" i="2" s="1"/>
  <c r="H863" i="2"/>
  <c r="I863" i="2" s="1"/>
  <c r="J863" i="2" s="1"/>
  <c r="K863" i="2" s="1"/>
  <c r="L863" i="2" s="1"/>
  <c r="M863" i="2" s="1"/>
  <c r="N863" i="2" s="1"/>
  <c r="O863" i="2" s="1"/>
  <c r="P863" i="2" s="1"/>
  <c r="H855" i="2"/>
  <c r="I855" i="2" s="1"/>
  <c r="J855" i="2" s="1"/>
  <c r="K855" i="2" s="1"/>
  <c r="L855" i="2" s="1"/>
  <c r="M855" i="2" s="1"/>
  <c r="N855" i="2" s="1"/>
  <c r="O855" i="2" s="1"/>
  <c r="P855" i="2" s="1"/>
  <c r="H847" i="2"/>
  <c r="I847" i="2" s="1"/>
  <c r="J847" i="2" s="1"/>
  <c r="K847" i="2" s="1"/>
  <c r="L847" i="2" s="1"/>
  <c r="M847" i="2" s="1"/>
  <c r="N847" i="2" s="1"/>
  <c r="O847" i="2" s="1"/>
  <c r="P847" i="2" s="1"/>
  <c r="H839" i="2"/>
  <c r="I839" i="2" s="1"/>
  <c r="J839" i="2" s="1"/>
  <c r="K839" i="2" s="1"/>
  <c r="L839" i="2" s="1"/>
  <c r="M839" i="2" s="1"/>
  <c r="N839" i="2" s="1"/>
  <c r="O839" i="2" s="1"/>
  <c r="P839" i="2" s="1"/>
  <c r="H831" i="2"/>
  <c r="I831" i="2" s="1"/>
  <c r="J831" i="2" s="1"/>
  <c r="K831" i="2" s="1"/>
  <c r="L831" i="2" s="1"/>
  <c r="M831" i="2" s="1"/>
  <c r="N831" i="2" s="1"/>
  <c r="O831" i="2" s="1"/>
  <c r="P831" i="2" s="1"/>
  <c r="H823" i="2"/>
  <c r="I823" i="2" s="1"/>
  <c r="J823" i="2" s="1"/>
  <c r="K823" i="2" s="1"/>
  <c r="L823" i="2" s="1"/>
  <c r="M823" i="2" s="1"/>
  <c r="N823" i="2" s="1"/>
  <c r="O823" i="2" s="1"/>
  <c r="P823" i="2" s="1"/>
  <c r="H815" i="2"/>
  <c r="I815" i="2" s="1"/>
  <c r="J815" i="2" s="1"/>
  <c r="K815" i="2" s="1"/>
  <c r="L815" i="2" s="1"/>
  <c r="M815" i="2" s="1"/>
  <c r="N815" i="2" s="1"/>
  <c r="O815" i="2" s="1"/>
  <c r="P815" i="2" s="1"/>
  <c r="H807" i="2"/>
  <c r="I807" i="2" s="1"/>
  <c r="J807" i="2" s="1"/>
  <c r="K807" i="2" s="1"/>
  <c r="L807" i="2" s="1"/>
  <c r="M807" i="2" s="1"/>
  <c r="N807" i="2" s="1"/>
  <c r="O807" i="2" s="1"/>
  <c r="P807" i="2" s="1"/>
  <c r="H799" i="2"/>
  <c r="I799" i="2" s="1"/>
  <c r="J799" i="2" s="1"/>
  <c r="K799" i="2" s="1"/>
  <c r="L799" i="2" s="1"/>
  <c r="M799" i="2" s="1"/>
  <c r="N799" i="2" s="1"/>
  <c r="O799" i="2" s="1"/>
  <c r="P799" i="2" s="1"/>
  <c r="H791" i="2"/>
  <c r="I791" i="2" s="1"/>
  <c r="J791" i="2" s="1"/>
  <c r="K791" i="2" s="1"/>
  <c r="L791" i="2" s="1"/>
  <c r="M791" i="2" s="1"/>
  <c r="N791" i="2" s="1"/>
  <c r="O791" i="2" s="1"/>
  <c r="P791" i="2" s="1"/>
  <c r="H783" i="2"/>
  <c r="I783" i="2" s="1"/>
  <c r="J783" i="2" s="1"/>
  <c r="K783" i="2" s="1"/>
  <c r="L783" i="2" s="1"/>
  <c r="M783" i="2" s="1"/>
  <c r="N783" i="2" s="1"/>
  <c r="O783" i="2" s="1"/>
  <c r="P783" i="2" s="1"/>
  <c r="H775" i="2"/>
  <c r="I775" i="2" s="1"/>
  <c r="J775" i="2" s="1"/>
  <c r="K775" i="2" s="1"/>
  <c r="L775" i="2" s="1"/>
  <c r="M775" i="2" s="1"/>
  <c r="N775" i="2" s="1"/>
  <c r="O775" i="2" s="1"/>
  <c r="P775" i="2" s="1"/>
  <c r="H767" i="2"/>
  <c r="I767" i="2" s="1"/>
  <c r="J767" i="2" s="1"/>
  <c r="K767" i="2" s="1"/>
  <c r="L767" i="2" s="1"/>
  <c r="M767" i="2" s="1"/>
  <c r="N767" i="2" s="1"/>
  <c r="O767" i="2" s="1"/>
  <c r="P767" i="2" s="1"/>
  <c r="H759" i="2"/>
  <c r="I759" i="2" s="1"/>
  <c r="J759" i="2" s="1"/>
  <c r="K759" i="2" s="1"/>
  <c r="L759" i="2" s="1"/>
  <c r="M759" i="2" s="1"/>
  <c r="N759" i="2" s="1"/>
  <c r="O759" i="2" s="1"/>
  <c r="P759" i="2" s="1"/>
  <c r="H751" i="2"/>
  <c r="I751" i="2" s="1"/>
  <c r="J751" i="2" s="1"/>
  <c r="K751" i="2" s="1"/>
  <c r="L751" i="2" s="1"/>
  <c r="M751" i="2" s="1"/>
  <c r="N751" i="2" s="1"/>
  <c r="O751" i="2" s="1"/>
  <c r="P751" i="2" s="1"/>
  <c r="H743" i="2"/>
  <c r="I743" i="2" s="1"/>
  <c r="J743" i="2" s="1"/>
  <c r="K743" i="2" s="1"/>
  <c r="L743" i="2" s="1"/>
  <c r="M743" i="2" s="1"/>
  <c r="N743" i="2" s="1"/>
  <c r="O743" i="2" s="1"/>
  <c r="P743" i="2" s="1"/>
  <c r="H735" i="2"/>
  <c r="I735" i="2" s="1"/>
  <c r="J735" i="2" s="1"/>
  <c r="K735" i="2" s="1"/>
  <c r="L735" i="2" s="1"/>
  <c r="M735" i="2" s="1"/>
  <c r="N735" i="2" s="1"/>
  <c r="O735" i="2" s="1"/>
  <c r="P735" i="2" s="1"/>
  <c r="H727" i="2"/>
  <c r="I727" i="2" s="1"/>
  <c r="J727" i="2" s="1"/>
  <c r="K727" i="2" s="1"/>
  <c r="L727" i="2" s="1"/>
  <c r="M727" i="2" s="1"/>
  <c r="N727" i="2" s="1"/>
  <c r="O727" i="2" s="1"/>
  <c r="P727" i="2" s="1"/>
  <c r="H719" i="2"/>
  <c r="I719" i="2" s="1"/>
  <c r="J719" i="2" s="1"/>
  <c r="K719" i="2" s="1"/>
  <c r="L719" i="2" s="1"/>
  <c r="M719" i="2" s="1"/>
  <c r="N719" i="2" s="1"/>
  <c r="O719" i="2" s="1"/>
  <c r="P719" i="2" s="1"/>
  <c r="H711" i="2"/>
  <c r="I711" i="2" s="1"/>
  <c r="J711" i="2" s="1"/>
  <c r="K711" i="2" s="1"/>
  <c r="L711" i="2" s="1"/>
  <c r="M711" i="2" s="1"/>
  <c r="N711" i="2" s="1"/>
  <c r="O711" i="2" s="1"/>
  <c r="P711" i="2" s="1"/>
  <c r="H703" i="2"/>
  <c r="I703" i="2" s="1"/>
  <c r="J703" i="2" s="1"/>
  <c r="K703" i="2" s="1"/>
  <c r="L703" i="2" s="1"/>
  <c r="M703" i="2" s="1"/>
  <c r="N703" i="2" s="1"/>
  <c r="O703" i="2" s="1"/>
  <c r="P703" i="2" s="1"/>
  <c r="H695" i="2"/>
  <c r="I695" i="2" s="1"/>
  <c r="J695" i="2" s="1"/>
  <c r="K695" i="2" s="1"/>
  <c r="L695" i="2" s="1"/>
  <c r="M695" i="2" s="1"/>
  <c r="N695" i="2" s="1"/>
  <c r="O695" i="2" s="1"/>
  <c r="P695" i="2" s="1"/>
  <c r="H687" i="2"/>
  <c r="I687" i="2" s="1"/>
  <c r="J687" i="2" s="1"/>
  <c r="K687" i="2" s="1"/>
  <c r="L687" i="2" s="1"/>
  <c r="M687" i="2" s="1"/>
  <c r="N687" i="2" s="1"/>
  <c r="O687" i="2" s="1"/>
  <c r="P687" i="2" s="1"/>
  <c r="H679" i="2"/>
  <c r="I679" i="2" s="1"/>
  <c r="J679" i="2" s="1"/>
  <c r="K679" i="2" s="1"/>
  <c r="L679" i="2" s="1"/>
  <c r="M679" i="2" s="1"/>
  <c r="N679" i="2" s="1"/>
  <c r="O679" i="2" s="1"/>
  <c r="P679" i="2" s="1"/>
  <c r="H671" i="2"/>
  <c r="I671" i="2" s="1"/>
  <c r="J671" i="2" s="1"/>
  <c r="K671" i="2" s="1"/>
  <c r="L671" i="2" s="1"/>
  <c r="M671" i="2" s="1"/>
  <c r="N671" i="2" s="1"/>
  <c r="O671" i="2" s="1"/>
  <c r="P671" i="2" s="1"/>
  <c r="H655" i="2"/>
  <c r="I655" i="2" s="1"/>
  <c r="J655" i="2" s="1"/>
  <c r="K655" i="2" s="1"/>
  <c r="L655" i="2" s="1"/>
  <c r="M655" i="2" s="1"/>
  <c r="N655" i="2" s="1"/>
  <c r="O655" i="2" s="1"/>
  <c r="P655" i="2" s="1"/>
  <c r="H631" i="2"/>
  <c r="I631" i="2" s="1"/>
  <c r="J631" i="2" s="1"/>
  <c r="K631" i="2" s="1"/>
  <c r="L631" i="2" s="1"/>
  <c r="M631" i="2" s="1"/>
  <c r="N631" i="2" s="1"/>
  <c r="O631" i="2" s="1"/>
  <c r="P631" i="2" s="1"/>
  <c r="H623" i="2"/>
  <c r="I623" i="2" s="1"/>
  <c r="J623" i="2" s="1"/>
  <c r="K623" i="2" s="1"/>
  <c r="L623" i="2" s="1"/>
  <c r="M623" i="2" s="1"/>
  <c r="N623" i="2" s="1"/>
  <c r="O623" i="2" s="1"/>
  <c r="P623" i="2" s="1"/>
  <c r="H615" i="2"/>
  <c r="I615" i="2" s="1"/>
  <c r="J615" i="2" s="1"/>
  <c r="K615" i="2" s="1"/>
  <c r="L615" i="2" s="1"/>
  <c r="M615" i="2" s="1"/>
  <c r="N615" i="2" s="1"/>
  <c r="O615" i="2" s="1"/>
  <c r="P615" i="2" s="1"/>
  <c r="H607" i="2"/>
  <c r="I607" i="2" s="1"/>
  <c r="J607" i="2" s="1"/>
  <c r="K607" i="2" s="1"/>
  <c r="L607" i="2" s="1"/>
  <c r="M607" i="2" s="1"/>
  <c r="N607" i="2" s="1"/>
  <c r="O607" i="2" s="1"/>
  <c r="P607" i="2" s="1"/>
  <c r="H591" i="2"/>
  <c r="I591" i="2" s="1"/>
  <c r="J591" i="2" s="1"/>
  <c r="K591" i="2" s="1"/>
  <c r="L591" i="2" s="1"/>
  <c r="M591" i="2" s="1"/>
  <c r="N591" i="2" s="1"/>
  <c r="O591" i="2" s="1"/>
  <c r="P591" i="2" s="1"/>
  <c r="H575" i="2"/>
  <c r="I575" i="2" s="1"/>
  <c r="J575" i="2" s="1"/>
  <c r="K575" i="2" s="1"/>
  <c r="L575" i="2" s="1"/>
  <c r="M575" i="2" s="1"/>
  <c r="N575" i="2" s="1"/>
  <c r="O575" i="2" s="1"/>
  <c r="P575" i="2" s="1"/>
  <c r="Q575" i="2" s="1"/>
  <c r="R575" i="2" s="1"/>
  <c r="S575" i="2" s="1"/>
  <c r="H567" i="2"/>
  <c r="I567" i="2" s="1"/>
  <c r="J567" i="2" s="1"/>
  <c r="K567" i="2" s="1"/>
  <c r="L567" i="2" s="1"/>
  <c r="M567" i="2" s="1"/>
  <c r="N567" i="2" s="1"/>
  <c r="O567" i="2" s="1"/>
  <c r="P567" i="2" s="1"/>
  <c r="H559" i="2"/>
  <c r="I559" i="2" s="1"/>
  <c r="J559" i="2" s="1"/>
  <c r="K559" i="2" s="1"/>
  <c r="L559" i="2" s="1"/>
  <c r="M559" i="2" s="1"/>
  <c r="N559" i="2" s="1"/>
  <c r="O559" i="2" s="1"/>
  <c r="P559" i="2" s="1"/>
  <c r="H551" i="2"/>
  <c r="I551" i="2" s="1"/>
  <c r="J551" i="2" s="1"/>
  <c r="K551" i="2" s="1"/>
  <c r="L551" i="2" s="1"/>
  <c r="M551" i="2" s="1"/>
  <c r="N551" i="2" s="1"/>
  <c r="O551" i="2" s="1"/>
  <c r="P551" i="2" s="1"/>
  <c r="H543" i="2"/>
  <c r="I543" i="2" s="1"/>
  <c r="J543" i="2" s="1"/>
  <c r="K543" i="2" s="1"/>
  <c r="L543" i="2" s="1"/>
  <c r="M543" i="2" s="1"/>
  <c r="N543" i="2" s="1"/>
  <c r="O543" i="2" s="1"/>
  <c r="P543" i="2" s="1"/>
  <c r="H535" i="2"/>
  <c r="I535" i="2" s="1"/>
  <c r="J535" i="2" s="1"/>
  <c r="K535" i="2" s="1"/>
  <c r="L535" i="2" s="1"/>
  <c r="M535" i="2" s="1"/>
  <c r="N535" i="2" s="1"/>
  <c r="O535" i="2" s="1"/>
  <c r="P535" i="2" s="1"/>
  <c r="H527" i="2"/>
  <c r="I527" i="2" s="1"/>
  <c r="J527" i="2" s="1"/>
  <c r="K527" i="2" s="1"/>
  <c r="L527" i="2" s="1"/>
  <c r="M527" i="2" s="1"/>
  <c r="N527" i="2" s="1"/>
  <c r="O527" i="2" s="1"/>
  <c r="P527" i="2" s="1"/>
  <c r="H519" i="2"/>
  <c r="I519" i="2" s="1"/>
  <c r="J519" i="2" s="1"/>
  <c r="K519" i="2" s="1"/>
  <c r="L519" i="2" s="1"/>
  <c r="M519" i="2" s="1"/>
  <c r="N519" i="2" s="1"/>
  <c r="O519" i="2" s="1"/>
  <c r="P519" i="2" s="1"/>
  <c r="H511" i="2"/>
  <c r="I511" i="2" s="1"/>
  <c r="J511" i="2" s="1"/>
  <c r="K511" i="2" s="1"/>
  <c r="L511" i="2" s="1"/>
  <c r="M511" i="2" s="1"/>
  <c r="N511" i="2" s="1"/>
  <c r="O511" i="2" s="1"/>
  <c r="P511" i="2" s="1"/>
  <c r="H503" i="2"/>
  <c r="I503" i="2" s="1"/>
  <c r="J503" i="2" s="1"/>
  <c r="K503" i="2" s="1"/>
  <c r="L503" i="2" s="1"/>
  <c r="M503" i="2" s="1"/>
  <c r="N503" i="2" s="1"/>
  <c r="O503" i="2" s="1"/>
  <c r="P503" i="2" s="1"/>
  <c r="H495" i="2"/>
  <c r="I495" i="2" s="1"/>
  <c r="J495" i="2" s="1"/>
  <c r="K495" i="2" s="1"/>
  <c r="L495" i="2" s="1"/>
  <c r="M495" i="2" s="1"/>
  <c r="N495" i="2" s="1"/>
  <c r="O495" i="2" s="1"/>
  <c r="P495" i="2" s="1"/>
  <c r="H487" i="2"/>
  <c r="I487" i="2" s="1"/>
  <c r="J487" i="2" s="1"/>
  <c r="K487" i="2" s="1"/>
  <c r="L487" i="2" s="1"/>
  <c r="M487" i="2" s="1"/>
  <c r="N487" i="2" s="1"/>
  <c r="O487" i="2" s="1"/>
  <c r="P487" i="2" s="1"/>
  <c r="H479" i="2"/>
  <c r="I479" i="2" s="1"/>
  <c r="J479" i="2" s="1"/>
  <c r="K479" i="2" s="1"/>
  <c r="L479" i="2" s="1"/>
  <c r="M479" i="2" s="1"/>
  <c r="N479" i="2" s="1"/>
  <c r="O479" i="2" s="1"/>
  <c r="P479" i="2" s="1"/>
  <c r="H471" i="2"/>
  <c r="I471" i="2" s="1"/>
  <c r="J471" i="2" s="1"/>
  <c r="K471" i="2" s="1"/>
  <c r="L471" i="2" s="1"/>
  <c r="M471" i="2" s="1"/>
  <c r="N471" i="2" s="1"/>
  <c r="O471" i="2" s="1"/>
  <c r="P471" i="2" s="1"/>
  <c r="H463" i="2"/>
  <c r="I463" i="2" s="1"/>
  <c r="J463" i="2" s="1"/>
  <c r="K463" i="2" s="1"/>
  <c r="L463" i="2" s="1"/>
  <c r="M463" i="2" s="1"/>
  <c r="N463" i="2" s="1"/>
  <c r="O463" i="2" s="1"/>
  <c r="P463" i="2" s="1"/>
  <c r="H455" i="2"/>
  <c r="I455" i="2" s="1"/>
  <c r="J455" i="2" s="1"/>
  <c r="K455" i="2" s="1"/>
  <c r="L455" i="2" s="1"/>
  <c r="M455" i="2" s="1"/>
  <c r="N455" i="2" s="1"/>
  <c r="O455" i="2" s="1"/>
  <c r="P455" i="2" s="1"/>
  <c r="H447" i="2"/>
  <c r="I447" i="2" s="1"/>
  <c r="J447" i="2" s="1"/>
  <c r="K447" i="2" s="1"/>
  <c r="L447" i="2" s="1"/>
  <c r="M447" i="2" s="1"/>
  <c r="N447" i="2" s="1"/>
  <c r="O447" i="2" s="1"/>
  <c r="P447" i="2" s="1"/>
  <c r="H439" i="2"/>
  <c r="I439" i="2" s="1"/>
  <c r="J439" i="2" s="1"/>
  <c r="K439" i="2" s="1"/>
  <c r="L439" i="2" s="1"/>
  <c r="M439" i="2" s="1"/>
  <c r="N439" i="2" s="1"/>
  <c r="O439" i="2" s="1"/>
  <c r="P439" i="2" s="1"/>
  <c r="H431" i="2"/>
  <c r="I431" i="2" s="1"/>
  <c r="J431" i="2" s="1"/>
  <c r="K431" i="2" s="1"/>
  <c r="L431" i="2" s="1"/>
  <c r="M431" i="2" s="1"/>
  <c r="N431" i="2" s="1"/>
  <c r="O431" i="2" s="1"/>
  <c r="P431" i="2" s="1"/>
  <c r="Q431" i="2" s="1"/>
  <c r="R431" i="2" s="1"/>
  <c r="S431" i="2" s="1"/>
  <c r="H423" i="2"/>
  <c r="I423" i="2" s="1"/>
  <c r="J423" i="2" s="1"/>
  <c r="K423" i="2" s="1"/>
  <c r="L423" i="2" s="1"/>
  <c r="M423" i="2" s="1"/>
  <c r="N423" i="2" s="1"/>
  <c r="O423" i="2" s="1"/>
  <c r="P423" i="2" s="1"/>
  <c r="H415" i="2"/>
  <c r="I415" i="2" s="1"/>
  <c r="J415" i="2" s="1"/>
  <c r="K415" i="2" s="1"/>
  <c r="L415" i="2" s="1"/>
  <c r="M415" i="2" s="1"/>
  <c r="N415" i="2" s="1"/>
  <c r="O415" i="2" s="1"/>
  <c r="P415" i="2" s="1"/>
  <c r="H407" i="2"/>
  <c r="I407" i="2" s="1"/>
  <c r="J407" i="2" s="1"/>
  <c r="K407" i="2" s="1"/>
  <c r="L407" i="2" s="1"/>
  <c r="M407" i="2" s="1"/>
  <c r="N407" i="2" s="1"/>
  <c r="O407" i="2" s="1"/>
  <c r="P407" i="2" s="1"/>
  <c r="H399" i="2"/>
  <c r="I399" i="2" s="1"/>
  <c r="J399" i="2" s="1"/>
  <c r="K399" i="2" s="1"/>
  <c r="L399" i="2" s="1"/>
  <c r="M399" i="2" s="1"/>
  <c r="N399" i="2" s="1"/>
  <c r="O399" i="2" s="1"/>
  <c r="P399" i="2" s="1"/>
  <c r="H391" i="2"/>
  <c r="I391" i="2" s="1"/>
  <c r="J391" i="2" s="1"/>
  <c r="K391" i="2" s="1"/>
  <c r="L391" i="2" s="1"/>
  <c r="M391" i="2" s="1"/>
  <c r="N391" i="2" s="1"/>
  <c r="O391" i="2" s="1"/>
  <c r="P391" i="2" s="1"/>
  <c r="H383" i="2"/>
  <c r="I383" i="2" s="1"/>
  <c r="J383" i="2" s="1"/>
  <c r="K383" i="2" s="1"/>
  <c r="L383" i="2" s="1"/>
  <c r="M383" i="2" s="1"/>
  <c r="N383" i="2" s="1"/>
  <c r="O383" i="2" s="1"/>
  <c r="P383" i="2" s="1"/>
  <c r="H375" i="2"/>
  <c r="I375" i="2" s="1"/>
  <c r="J375" i="2" s="1"/>
  <c r="K375" i="2" s="1"/>
  <c r="L375" i="2" s="1"/>
  <c r="M375" i="2" s="1"/>
  <c r="N375" i="2" s="1"/>
  <c r="O375" i="2" s="1"/>
  <c r="P375" i="2" s="1"/>
  <c r="H367" i="2"/>
  <c r="I367" i="2" s="1"/>
  <c r="J367" i="2" s="1"/>
  <c r="K367" i="2" s="1"/>
  <c r="L367" i="2" s="1"/>
  <c r="M367" i="2" s="1"/>
  <c r="N367" i="2" s="1"/>
  <c r="O367" i="2" s="1"/>
  <c r="P367" i="2" s="1"/>
  <c r="H359" i="2"/>
  <c r="I359" i="2" s="1"/>
  <c r="J359" i="2" s="1"/>
  <c r="K359" i="2" s="1"/>
  <c r="L359" i="2" s="1"/>
  <c r="M359" i="2" s="1"/>
  <c r="N359" i="2" s="1"/>
  <c r="O359" i="2" s="1"/>
  <c r="P359" i="2" s="1"/>
  <c r="H351" i="2"/>
  <c r="I351" i="2" s="1"/>
  <c r="J351" i="2" s="1"/>
  <c r="K351" i="2" s="1"/>
  <c r="L351" i="2" s="1"/>
  <c r="M351" i="2" s="1"/>
  <c r="N351" i="2" s="1"/>
  <c r="O351" i="2" s="1"/>
  <c r="P351" i="2" s="1"/>
  <c r="H343" i="2"/>
  <c r="I343" i="2" s="1"/>
  <c r="J343" i="2" s="1"/>
  <c r="K343" i="2" s="1"/>
  <c r="L343" i="2" s="1"/>
  <c r="M343" i="2" s="1"/>
  <c r="N343" i="2" s="1"/>
  <c r="O343" i="2" s="1"/>
  <c r="P343" i="2" s="1"/>
  <c r="H335" i="2"/>
  <c r="I335" i="2" s="1"/>
  <c r="J335" i="2" s="1"/>
  <c r="K335" i="2" s="1"/>
  <c r="L335" i="2" s="1"/>
  <c r="M335" i="2" s="1"/>
  <c r="N335" i="2" s="1"/>
  <c r="O335" i="2" s="1"/>
  <c r="P335" i="2" s="1"/>
  <c r="H327" i="2"/>
  <c r="I327" i="2" s="1"/>
  <c r="J327" i="2" s="1"/>
  <c r="K327" i="2" s="1"/>
  <c r="L327" i="2" s="1"/>
  <c r="M327" i="2" s="1"/>
  <c r="N327" i="2" s="1"/>
  <c r="O327" i="2" s="1"/>
  <c r="P327" i="2" s="1"/>
  <c r="H319" i="2"/>
  <c r="I319" i="2" s="1"/>
  <c r="J319" i="2" s="1"/>
  <c r="K319" i="2" s="1"/>
  <c r="L319" i="2" s="1"/>
  <c r="M319" i="2" s="1"/>
  <c r="N319" i="2" s="1"/>
  <c r="O319" i="2" s="1"/>
  <c r="P319" i="2" s="1"/>
  <c r="H311" i="2"/>
  <c r="I311" i="2" s="1"/>
  <c r="J311" i="2" s="1"/>
  <c r="K311" i="2" s="1"/>
  <c r="L311" i="2" s="1"/>
  <c r="M311" i="2" s="1"/>
  <c r="N311" i="2" s="1"/>
  <c r="O311" i="2" s="1"/>
  <c r="P311" i="2" s="1"/>
  <c r="H303" i="2"/>
  <c r="I303" i="2" s="1"/>
  <c r="J303" i="2" s="1"/>
  <c r="K303" i="2" s="1"/>
  <c r="L303" i="2" s="1"/>
  <c r="M303" i="2" s="1"/>
  <c r="N303" i="2" s="1"/>
  <c r="O303" i="2" s="1"/>
  <c r="P303" i="2" s="1"/>
  <c r="H295" i="2"/>
  <c r="I295" i="2" s="1"/>
  <c r="J295" i="2" s="1"/>
  <c r="K295" i="2" s="1"/>
  <c r="L295" i="2" s="1"/>
  <c r="M295" i="2" s="1"/>
  <c r="N295" i="2" s="1"/>
  <c r="O295" i="2" s="1"/>
  <c r="P295" i="2" s="1"/>
  <c r="H287" i="2"/>
  <c r="I287" i="2" s="1"/>
  <c r="J287" i="2" s="1"/>
  <c r="K287" i="2" s="1"/>
  <c r="L287" i="2" s="1"/>
  <c r="M287" i="2" s="1"/>
  <c r="N287" i="2" s="1"/>
  <c r="O287" i="2" s="1"/>
  <c r="P287" i="2" s="1"/>
  <c r="H279" i="2"/>
  <c r="I279" i="2" s="1"/>
  <c r="J279" i="2" s="1"/>
  <c r="K279" i="2" s="1"/>
  <c r="L279" i="2" s="1"/>
  <c r="M279" i="2" s="1"/>
  <c r="N279" i="2" s="1"/>
  <c r="O279" i="2" s="1"/>
  <c r="P279" i="2" s="1"/>
  <c r="H271" i="2"/>
  <c r="I271" i="2" s="1"/>
  <c r="J271" i="2" s="1"/>
  <c r="K271" i="2" s="1"/>
  <c r="L271" i="2" s="1"/>
  <c r="M271" i="2" s="1"/>
  <c r="N271" i="2" s="1"/>
  <c r="O271" i="2" s="1"/>
  <c r="P271" i="2" s="1"/>
  <c r="H263" i="2"/>
  <c r="I263" i="2" s="1"/>
  <c r="J263" i="2" s="1"/>
  <c r="K263" i="2" s="1"/>
  <c r="L263" i="2" s="1"/>
  <c r="M263" i="2" s="1"/>
  <c r="N263" i="2" s="1"/>
  <c r="O263" i="2" s="1"/>
  <c r="P263" i="2" s="1"/>
  <c r="H255" i="2"/>
  <c r="I255" i="2" s="1"/>
  <c r="J255" i="2" s="1"/>
  <c r="K255" i="2" s="1"/>
  <c r="L255" i="2" s="1"/>
  <c r="M255" i="2" s="1"/>
  <c r="N255" i="2" s="1"/>
  <c r="O255" i="2" s="1"/>
  <c r="P255" i="2" s="1"/>
  <c r="H247" i="2"/>
  <c r="I247" i="2" s="1"/>
  <c r="J247" i="2" s="1"/>
  <c r="K247" i="2" s="1"/>
  <c r="L247" i="2" s="1"/>
  <c r="M247" i="2" s="1"/>
  <c r="N247" i="2" s="1"/>
  <c r="O247" i="2" s="1"/>
  <c r="P247" i="2" s="1"/>
  <c r="H239" i="2"/>
  <c r="I239" i="2" s="1"/>
  <c r="J239" i="2" s="1"/>
  <c r="K239" i="2" s="1"/>
  <c r="L239" i="2" s="1"/>
  <c r="M239" i="2" s="1"/>
  <c r="N239" i="2" s="1"/>
  <c r="O239" i="2" s="1"/>
  <c r="P239" i="2" s="1"/>
  <c r="Q985" i="2"/>
  <c r="R985" i="2" s="1"/>
  <c r="S985" i="2" s="1"/>
  <c r="Q966" i="2"/>
  <c r="R966" i="2" s="1"/>
  <c r="S966" i="2" s="1"/>
  <c r="Q944" i="2"/>
  <c r="R944" i="2" s="1"/>
  <c r="S944" i="2" s="1"/>
  <c r="Q921" i="2"/>
  <c r="R921" i="2" s="1"/>
  <c r="S921" i="2" s="1"/>
  <c r="Q902" i="2"/>
  <c r="R902" i="2" s="1"/>
  <c r="S902" i="2" s="1"/>
  <c r="Q880" i="2"/>
  <c r="R880" i="2" s="1"/>
  <c r="S880" i="2" s="1"/>
  <c r="Q857" i="2"/>
  <c r="R857" i="2" s="1"/>
  <c r="S857" i="2" s="1"/>
  <c r="Q838" i="2"/>
  <c r="R838" i="2" s="1"/>
  <c r="S838" i="2" s="1"/>
  <c r="Q816" i="2"/>
  <c r="R816" i="2" s="1"/>
  <c r="S816" i="2" s="1"/>
  <c r="Q793" i="2"/>
  <c r="R793" i="2" s="1"/>
  <c r="S793" i="2" s="1"/>
  <c r="Q774" i="2"/>
  <c r="R774" i="2" s="1"/>
  <c r="S774" i="2" s="1"/>
  <c r="Q752" i="2"/>
  <c r="R752" i="2" s="1"/>
  <c r="S752" i="2" s="1"/>
  <c r="Q729" i="2"/>
  <c r="R729" i="2" s="1"/>
  <c r="S729" i="2" s="1"/>
  <c r="Q710" i="2"/>
  <c r="R710" i="2" s="1"/>
  <c r="S710" i="2" s="1"/>
  <c r="Q688" i="2"/>
  <c r="R688" i="2" s="1"/>
  <c r="S688" i="2" s="1"/>
  <c r="Q651" i="2"/>
  <c r="R651" i="2" s="1"/>
  <c r="S651" i="2" s="1"/>
  <c r="Q622" i="2"/>
  <c r="R622" i="2" s="1"/>
  <c r="S622" i="2" s="1"/>
  <c r="Q586" i="2"/>
  <c r="R586" i="2" s="1"/>
  <c r="S586" i="2" s="1"/>
  <c r="Q531" i="2"/>
  <c r="R531" i="2" s="1"/>
  <c r="S531" i="2" s="1"/>
  <c r="Q480" i="2"/>
  <c r="R480" i="2" s="1"/>
  <c r="S480" i="2" s="1"/>
  <c r="Q422" i="2"/>
  <c r="R422" i="2" s="1"/>
  <c r="S422" i="2" s="1"/>
  <c r="Q310" i="2"/>
  <c r="R310" i="2" s="1"/>
  <c r="S310" i="2" s="1"/>
  <c r="Q139" i="2"/>
  <c r="R139" i="2" s="1"/>
  <c r="S139" i="2" s="1"/>
  <c r="H673" i="2"/>
  <c r="I673" i="2" s="1"/>
  <c r="J673" i="2" s="1"/>
  <c r="K673" i="2" s="1"/>
  <c r="L673" i="2" s="1"/>
  <c r="M673" i="2" s="1"/>
  <c r="N673" i="2" s="1"/>
  <c r="O673" i="2" s="1"/>
  <c r="P673" i="2" s="1"/>
  <c r="H617" i="2"/>
  <c r="I617" i="2" s="1"/>
  <c r="J617" i="2" s="1"/>
  <c r="K617" i="2" s="1"/>
  <c r="L617" i="2" s="1"/>
  <c r="M617" i="2" s="1"/>
  <c r="N617" i="2" s="1"/>
  <c r="O617" i="2" s="1"/>
  <c r="P617" i="2" s="1"/>
  <c r="H545" i="2"/>
  <c r="I545" i="2" s="1"/>
  <c r="J545" i="2" s="1"/>
  <c r="K545" i="2" s="1"/>
  <c r="L545" i="2" s="1"/>
  <c r="M545" i="2" s="1"/>
  <c r="N545" i="2" s="1"/>
  <c r="O545" i="2" s="1"/>
  <c r="P545" i="2" s="1"/>
  <c r="H489" i="2"/>
  <c r="I489" i="2" s="1"/>
  <c r="J489" i="2" s="1"/>
  <c r="K489" i="2" s="1"/>
  <c r="L489" i="2" s="1"/>
  <c r="M489" i="2" s="1"/>
  <c r="N489" i="2" s="1"/>
  <c r="O489" i="2" s="1"/>
  <c r="P489" i="2" s="1"/>
  <c r="H433" i="2"/>
  <c r="I433" i="2" s="1"/>
  <c r="J433" i="2" s="1"/>
  <c r="K433" i="2" s="1"/>
  <c r="L433" i="2" s="1"/>
  <c r="M433" i="2" s="1"/>
  <c r="N433" i="2" s="1"/>
  <c r="O433" i="2" s="1"/>
  <c r="P433" i="2" s="1"/>
  <c r="H377" i="2"/>
  <c r="I377" i="2" s="1"/>
  <c r="J377" i="2" s="1"/>
  <c r="K377" i="2" s="1"/>
  <c r="L377" i="2" s="1"/>
  <c r="M377" i="2" s="1"/>
  <c r="N377" i="2" s="1"/>
  <c r="O377" i="2" s="1"/>
  <c r="P377" i="2" s="1"/>
  <c r="H321" i="2"/>
  <c r="I321" i="2" s="1"/>
  <c r="J321" i="2" s="1"/>
  <c r="K321" i="2" s="1"/>
  <c r="L321" i="2" s="1"/>
  <c r="M321" i="2" s="1"/>
  <c r="N321" i="2" s="1"/>
  <c r="O321" i="2" s="1"/>
  <c r="P321" i="2" s="1"/>
  <c r="Q321" i="2" s="1"/>
  <c r="R321" i="2" s="1"/>
  <c r="S321" i="2" s="1"/>
  <c r="H249" i="2"/>
  <c r="I249" i="2" s="1"/>
  <c r="J249" i="2" s="1"/>
  <c r="K249" i="2" s="1"/>
  <c r="L249" i="2" s="1"/>
  <c r="M249" i="2" s="1"/>
  <c r="N249" i="2" s="1"/>
  <c r="O249" i="2" s="1"/>
  <c r="P249" i="2" s="1"/>
  <c r="H113" i="2"/>
  <c r="I113" i="2" s="1"/>
  <c r="J113" i="2" s="1"/>
  <c r="K113" i="2" s="1"/>
  <c r="L113" i="2" s="1"/>
  <c r="M113" i="2" s="1"/>
  <c r="N113" i="2" s="1"/>
  <c r="O113" i="2" s="1"/>
  <c r="P113" i="2" s="1"/>
  <c r="H670" i="2"/>
  <c r="I670" i="2" s="1"/>
  <c r="J670" i="2" s="1"/>
  <c r="K670" i="2" s="1"/>
  <c r="L670" i="2" s="1"/>
  <c r="M670" i="2" s="1"/>
  <c r="N670" i="2" s="1"/>
  <c r="O670" i="2" s="1"/>
  <c r="P670" i="2" s="1"/>
  <c r="H662" i="2"/>
  <c r="I662" i="2" s="1"/>
  <c r="J662" i="2" s="1"/>
  <c r="K662" i="2" s="1"/>
  <c r="L662" i="2" s="1"/>
  <c r="M662" i="2" s="1"/>
  <c r="N662" i="2" s="1"/>
  <c r="O662" i="2" s="1"/>
  <c r="P662" i="2" s="1"/>
  <c r="H654" i="2"/>
  <c r="I654" i="2" s="1"/>
  <c r="J654" i="2" s="1"/>
  <c r="K654" i="2" s="1"/>
  <c r="L654" i="2" s="1"/>
  <c r="M654" i="2" s="1"/>
  <c r="N654" i="2" s="1"/>
  <c r="O654" i="2" s="1"/>
  <c r="P654" i="2" s="1"/>
  <c r="H646" i="2"/>
  <c r="I646" i="2" s="1"/>
  <c r="J646" i="2" s="1"/>
  <c r="K646" i="2" s="1"/>
  <c r="L646" i="2" s="1"/>
  <c r="M646" i="2" s="1"/>
  <c r="N646" i="2" s="1"/>
  <c r="O646" i="2" s="1"/>
  <c r="P646" i="2" s="1"/>
  <c r="H630" i="2"/>
  <c r="I630" i="2" s="1"/>
  <c r="J630" i="2" s="1"/>
  <c r="K630" i="2" s="1"/>
  <c r="L630" i="2" s="1"/>
  <c r="M630" i="2" s="1"/>
  <c r="N630" i="2" s="1"/>
  <c r="O630" i="2" s="1"/>
  <c r="P630" i="2" s="1"/>
  <c r="H606" i="2"/>
  <c r="I606" i="2" s="1"/>
  <c r="J606" i="2" s="1"/>
  <c r="K606" i="2" s="1"/>
  <c r="L606" i="2" s="1"/>
  <c r="M606" i="2" s="1"/>
  <c r="N606" i="2" s="1"/>
  <c r="O606" i="2" s="1"/>
  <c r="P606" i="2" s="1"/>
  <c r="H598" i="2"/>
  <c r="I598" i="2" s="1"/>
  <c r="J598" i="2" s="1"/>
  <c r="K598" i="2" s="1"/>
  <c r="L598" i="2" s="1"/>
  <c r="M598" i="2" s="1"/>
  <c r="N598" i="2" s="1"/>
  <c r="O598" i="2" s="1"/>
  <c r="P598" i="2" s="1"/>
  <c r="H590" i="2"/>
  <c r="I590" i="2" s="1"/>
  <c r="J590" i="2" s="1"/>
  <c r="K590" i="2" s="1"/>
  <c r="L590" i="2" s="1"/>
  <c r="M590" i="2" s="1"/>
  <c r="N590" i="2" s="1"/>
  <c r="O590" i="2" s="1"/>
  <c r="P590" i="2" s="1"/>
  <c r="H582" i="2"/>
  <c r="I582" i="2" s="1"/>
  <c r="J582" i="2" s="1"/>
  <c r="K582" i="2" s="1"/>
  <c r="L582" i="2" s="1"/>
  <c r="M582" i="2" s="1"/>
  <c r="N582" i="2" s="1"/>
  <c r="O582" i="2" s="1"/>
  <c r="P582" i="2" s="1"/>
  <c r="H558" i="2"/>
  <c r="I558" i="2" s="1"/>
  <c r="J558" i="2" s="1"/>
  <c r="K558" i="2" s="1"/>
  <c r="L558" i="2" s="1"/>
  <c r="M558" i="2" s="1"/>
  <c r="N558" i="2" s="1"/>
  <c r="O558" i="2" s="1"/>
  <c r="P558" i="2" s="1"/>
  <c r="H542" i="2"/>
  <c r="I542" i="2" s="1"/>
  <c r="J542" i="2" s="1"/>
  <c r="K542" i="2" s="1"/>
  <c r="L542" i="2" s="1"/>
  <c r="M542" i="2" s="1"/>
  <c r="N542" i="2" s="1"/>
  <c r="O542" i="2" s="1"/>
  <c r="P542" i="2" s="1"/>
  <c r="H534" i="2"/>
  <c r="I534" i="2" s="1"/>
  <c r="J534" i="2" s="1"/>
  <c r="K534" i="2" s="1"/>
  <c r="L534" i="2" s="1"/>
  <c r="M534" i="2" s="1"/>
  <c r="N534" i="2" s="1"/>
  <c r="O534" i="2" s="1"/>
  <c r="P534" i="2" s="1"/>
  <c r="H526" i="2"/>
  <c r="I526" i="2" s="1"/>
  <c r="J526" i="2" s="1"/>
  <c r="K526" i="2" s="1"/>
  <c r="L526" i="2" s="1"/>
  <c r="M526" i="2" s="1"/>
  <c r="N526" i="2" s="1"/>
  <c r="O526" i="2" s="1"/>
  <c r="P526" i="2" s="1"/>
  <c r="H518" i="2"/>
  <c r="I518" i="2" s="1"/>
  <c r="J518" i="2" s="1"/>
  <c r="K518" i="2" s="1"/>
  <c r="L518" i="2" s="1"/>
  <c r="M518" i="2" s="1"/>
  <c r="N518" i="2" s="1"/>
  <c r="O518" i="2" s="1"/>
  <c r="P518" i="2" s="1"/>
  <c r="H494" i="2"/>
  <c r="I494" i="2" s="1"/>
  <c r="J494" i="2" s="1"/>
  <c r="K494" i="2" s="1"/>
  <c r="L494" i="2" s="1"/>
  <c r="M494" i="2" s="1"/>
  <c r="N494" i="2" s="1"/>
  <c r="O494" i="2" s="1"/>
  <c r="P494" i="2" s="1"/>
  <c r="H478" i="2"/>
  <c r="I478" i="2" s="1"/>
  <c r="J478" i="2" s="1"/>
  <c r="K478" i="2" s="1"/>
  <c r="L478" i="2" s="1"/>
  <c r="M478" i="2" s="1"/>
  <c r="N478" i="2" s="1"/>
  <c r="O478" i="2" s="1"/>
  <c r="P478" i="2" s="1"/>
  <c r="H470" i="2"/>
  <c r="I470" i="2" s="1"/>
  <c r="J470" i="2" s="1"/>
  <c r="K470" i="2" s="1"/>
  <c r="L470" i="2" s="1"/>
  <c r="M470" i="2" s="1"/>
  <c r="N470" i="2" s="1"/>
  <c r="O470" i="2" s="1"/>
  <c r="P470" i="2" s="1"/>
  <c r="H462" i="2"/>
  <c r="I462" i="2" s="1"/>
  <c r="J462" i="2" s="1"/>
  <c r="K462" i="2" s="1"/>
  <c r="L462" i="2" s="1"/>
  <c r="M462" i="2" s="1"/>
  <c r="N462" i="2" s="1"/>
  <c r="O462" i="2" s="1"/>
  <c r="P462" i="2" s="1"/>
  <c r="H454" i="2"/>
  <c r="I454" i="2" s="1"/>
  <c r="J454" i="2" s="1"/>
  <c r="K454" i="2" s="1"/>
  <c r="L454" i="2" s="1"/>
  <c r="M454" i="2" s="1"/>
  <c r="N454" i="2" s="1"/>
  <c r="O454" i="2" s="1"/>
  <c r="P454" i="2" s="1"/>
  <c r="H430" i="2"/>
  <c r="I430" i="2" s="1"/>
  <c r="J430" i="2" s="1"/>
  <c r="K430" i="2" s="1"/>
  <c r="L430" i="2" s="1"/>
  <c r="M430" i="2" s="1"/>
  <c r="N430" i="2" s="1"/>
  <c r="O430" i="2" s="1"/>
  <c r="P430" i="2" s="1"/>
  <c r="H414" i="2"/>
  <c r="I414" i="2" s="1"/>
  <c r="J414" i="2" s="1"/>
  <c r="K414" i="2" s="1"/>
  <c r="L414" i="2" s="1"/>
  <c r="M414" i="2" s="1"/>
  <c r="N414" i="2" s="1"/>
  <c r="O414" i="2" s="1"/>
  <c r="P414" i="2" s="1"/>
  <c r="H406" i="2"/>
  <c r="I406" i="2" s="1"/>
  <c r="J406" i="2" s="1"/>
  <c r="K406" i="2" s="1"/>
  <c r="L406" i="2" s="1"/>
  <c r="M406" i="2" s="1"/>
  <c r="N406" i="2" s="1"/>
  <c r="O406" i="2" s="1"/>
  <c r="P406" i="2" s="1"/>
  <c r="H398" i="2"/>
  <c r="I398" i="2" s="1"/>
  <c r="J398" i="2" s="1"/>
  <c r="K398" i="2" s="1"/>
  <c r="L398" i="2" s="1"/>
  <c r="M398" i="2" s="1"/>
  <c r="N398" i="2" s="1"/>
  <c r="O398" i="2" s="1"/>
  <c r="P398" i="2" s="1"/>
  <c r="H390" i="2"/>
  <c r="I390" i="2" s="1"/>
  <c r="J390" i="2" s="1"/>
  <c r="K390" i="2" s="1"/>
  <c r="L390" i="2" s="1"/>
  <c r="M390" i="2" s="1"/>
  <c r="N390" i="2" s="1"/>
  <c r="O390" i="2" s="1"/>
  <c r="P390" i="2" s="1"/>
  <c r="H382" i="2"/>
  <c r="I382" i="2" s="1"/>
  <c r="J382" i="2" s="1"/>
  <c r="K382" i="2" s="1"/>
  <c r="L382" i="2" s="1"/>
  <c r="M382" i="2" s="1"/>
  <c r="N382" i="2" s="1"/>
  <c r="O382" i="2" s="1"/>
  <c r="P382" i="2" s="1"/>
  <c r="H366" i="2"/>
  <c r="I366" i="2" s="1"/>
  <c r="J366" i="2" s="1"/>
  <c r="K366" i="2" s="1"/>
  <c r="L366" i="2" s="1"/>
  <c r="M366" i="2" s="1"/>
  <c r="N366" i="2" s="1"/>
  <c r="O366" i="2" s="1"/>
  <c r="P366" i="2" s="1"/>
  <c r="H358" i="2"/>
  <c r="I358" i="2" s="1"/>
  <c r="J358" i="2" s="1"/>
  <c r="K358" i="2" s="1"/>
  <c r="L358" i="2" s="1"/>
  <c r="M358" i="2" s="1"/>
  <c r="N358" i="2" s="1"/>
  <c r="O358" i="2" s="1"/>
  <c r="P358" i="2" s="1"/>
  <c r="H350" i="2"/>
  <c r="I350" i="2" s="1"/>
  <c r="J350" i="2" s="1"/>
  <c r="K350" i="2" s="1"/>
  <c r="L350" i="2" s="1"/>
  <c r="M350" i="2" s="1"/>
  <c r="N350" i="2" s="1"/>
  <c r="O350" i="2" s="1"/>
  <c r="P350" i="2" s="1"/>
  <c r="H342" i="2"/>
  <c r="I342" i="2" s="1"/>
  <c r="J342" i="2" s="1"/>
  <c r="K342" i="2" s="1"/>
  <c r="L342" i="2" s="1"/>
  <c r="M342" i="2" s="1"/>
  <c r="N342" i="2" s="1"/>
  <c r="O342" i="2" s="1"/>
  <c r="P342" i="2" s="1"/>
  <c r="H334" i="2"/>
  <c r="I334" i="2" s="1"/>
  <c r="J334" i="2" s="1"/>
  <c r="K334" i="2" s="1"/>
  <c r="L334" i="2" s="1"/>
  <c r="M334" i="2" s="1"/>
  <c r="N334" i="2" s="1"/>
  <c r="O334" i="2" s="1"/>
  <c r="P334" i="2" s="1"/>
  <c r="H326" i="2"/>
  <c r="I326" i="2" s="1"/>
  <c r="J326" i="2" s="1"/>
  <c r="K326" i="2" s="1"/>
  <c r="L326" i="2" s="1"/>
  <c r="M326" i="2" s="1"/>
  <c r="N326" i="2" s="1"/>
  <c r="O326" i="2" s="1"/>
  <c r="P326" i="2" s="1"/>
  <c r="H318" i="2"/>
  <c r="I318" i="2" s="1"/>
  <c r="J318" i="2" s="1"/>
  <c r="K318" i="2" s="1"/>
  <c r="L318" i="2" s="1"/>
  <c r="M318" i="2" s="1"/>
  <c r="N318" i="2" s="1"/>
  <c r="O318" i="2" s="1"/>
  <c r="P318" i="2" s="1"/>
  <c r="H302" i="2"/>
  <c r="I302" i="2" s="1"/>
  <c r="J302" i="2" s="1"/>
  <c r="K302" i="2" s="1"/>
  <c r="L302" i="2" s="1"/>
  <c r="M302" i="2" s="1"/>
  <c r="N302" i="2" s="1"/>
  <c r="O302" i="2" s="1"/>
  <c r="P302" i="2" s="1"/>
  <c r="H294" i="2"/>
  <c r="I294" i="2" s="1"/>
  <c r="J294" i="2" s="1"/>
  <c r="K294" i="2" s="1"/>
  <c r="L294" i="2" s="1"/>
  <c r="M294" i="2" s="1"/>
  <c r="N294" i="2" s="1"/>
  <c r="O294" i="2" s="1"/>
  <c r="P294" i="2" s="1"/>
  <c r="H286" i="2"/>
  <c r="I286" i="2" s="1"/>
  <c r="J286" i="2" s="1"/>
  <c r="K286" i="2" s="1"/>
  <c r="L286" i="2" s="1"/>
  <c r="M286" i="2" s="1"/>
  <c r="N286" i="2" s="1"/>
  <c r="O286" i="2" s="1"/>
  <c r="P286" i="2" s="1"/>
  <c r="H278" i="2"/>
  <c r="I278" i="2" s="1"/>
  <c r="J278" i="2" s="1"/>
  <c r="K278" i="2" s="1"/>
  <c r="L278" i="2" s="1"/>
  <c r="M278" i="2" s="1"/>
  <c r="N278" i="2" s="1"/>
  <c r="O278" i="2" s="1"/>
  <c r="P278" i="2" s="1"/>
  <c r="H270" i="2"/>
  <c r="I270" i="2" s="1"/>
  <c r="J270" i="2" s="1"/>
  <c r="K270" i="2" s="1"/>
  <c r="L270" i="2" s="1"/>
  <c r="M270" i="2" s="1"/>
  <c r="N270" i="2" s="1"/>
  <c r="O270" i="2" s="1"/>
  <c r="P270" i="2" s="1"/>
  <c r="H262" i="2"/>
  <c r="I262" i="2" s="1"/>
  <c r="J262" i="2" s="1"/>
  <c r="K262" i="2" s="1"/>
  <c r="L262" i="2" s="1"/>
  <c r="M262" i="2" s="1"/>
  <c r="N262" i="2" s="1"/>
  <c r="O262" i="2" s="1"/>
  <c r="P262" i="2" s="1"/>
  <c r="H254" i="2"/>
  <c r="I254" i="2" s="1"/>
  <c r="J254" i="2" s="1"/>
  <c r="K254" i="2" s="1"/>
  <c r="L254" i="2" s="1"/>
  <c r="M254" i="2" s="1"/>
  <c r="N254" i="2" s="1"/>
  <c r="O254" i="2" s="1"/>
  <c r="P254" i="2" s="1"/>
  <c r="H238" i="2"/>
  <c r="I238" i="2" s="1"/>
  <c r="J238" i="2" s="1"/>
  <c r="K238" i="2" s="1"/>
  <c r="L238" i="2" s="1"/>
  <c r="M238" i="2" s="1"/>
  <c r="N238" i="2" s="1"/>
  <c r="O238" i="2" s="1"/>
  <c r="P238" i="2" s="1"/>
  <c r="H230" i="2"/>
  <c r="I230" i="2" s="1"/>
  <c r="J230" i="2" s="1"/>
  <c r="K230" i="2" s="1"/>
  <c r="L230" i="2" s="1"/>
  <c r="M230" i="2" s="1"/>
  <c r="N230" i="2" s="1"/>
  <c r="O230" i="2" s="1"/>
  <c r="P230" i="2" s="1"/>
  <c r="H222" i="2"/>
  <c r="I222" i="2" s="1"/>
  <c r="J222" i="2" s="1"/>
  <c r="K222" i="2" s="1"/>
  <c r="L222" i="2" s="1"/>
  <c r="M222" i="2" s="1"/>
  <c r="N222" i="2" s="1"/>
  <c r="O222" i="2" s="1"/>
  <c r="P222" i="2" s="1"/>
  <c r="H214" i="2"/>
  <c r="I214" i="2" s="1"/>
  <c r="J214" i="2" s="1"/>
  <c r="K214" i="2" s="1"/>
  <c r="L214" i="2" s="1"/>
  <c r="M214" i="2" s="1"/>
  <c r="N214" i="2" s="1"/>
  <c r="O214" i="2" s="1"/>
  <c r="P214" i="2" s="1"/>
  <c r="H206" i="2"/>
  <c r="I206" i="2" s="1"/>
  <c r="J206" i="2" s="1"/>
  <c r="K206" i="2" s="1"/>
  <c r="L206" i="2" s="1"/>
  <c r="M206" i="2" s="1"/>
  <c r="N206" i="2" s="1"/>
  <c r="O206" i="2" s="1"/>
  <c r="P206" i="2" s="1"/>
  <c r="H198" i="2"/>
  <c r="I198" i="2" s="1"/>
  <c r="J198" i="2" s="1"/>
  <c r="K198" i="2" s="1"/>
  <c r="L198" i="2" s="1"/>
  <c r="M198" i="2" s="1"/>
  <c r="N198" i="2" s="1"/>
  <c r="O198" i="2" s="1"/>
  <c r="P198" i="2" s="1"/>
  <c r="H190" i="2"/>
  <c r="I190" i="2" s="1"/>
  <c r="J190" i="2" s="1"/>
  <c r="K190" i="2" s="1"/>
  <c r="L190" i="2" s="1"/>
  <c r="M190" i="2" s="1"/>
  <c r="N190" i="2" s="1"/>
  <c r="O190" i="2" s="1"/>
  <c r="P190" i="2" s="1"/>
  <c r="H174" i="2"/>
  <c r="I174" i="2" s="1"/>
  <c r="J174" i="2" s="1"/>
  <c r="K174" i="2" s="1"/>
  <c r="L174" i="2" s="1"/>
  <c r="M174" i="2" s="1"/>
  <c r="N174" i="2" s="1"/>
  <c r="O174" i="2" s="1"/>
  <c r="P174" i="2" s="1"/>
  <c r="H166" i="2"/>
  <c r="I166" i="2" s="1"/>
  <c r="J166" i="2" s="1"/>
  <c r="K166" i="2" s="1"/>
  <c r="L166" i="2" s="1"/>
  <c r="M166" i="2" s="1"/>
  <c r="N166" i="2" s="1"/>
  <c r="O166" i="2" s="1"/>
  <c r="P166" i="2" s="1"/>
  <c r="H158" i="2"/>
  <c r="I158" i="2" s="1"/>
  <c r="J158" i="2" s="1"/>
  <c r="K158" i="2" s="1"/>
  <c r="L158" i="2" s="1"/>
  <c r="M158" i="2" s="1"/>
  <c r="N158" i="2" s="1"/>
  <c r="O158" i="2" s="1"/>
  <c r="P158" i="2" s="1"/>
  <c r="H150" i="2"/>
  <c r="I150" i="2" s="1"/>
  <c r="J150" i="2" s="1"/>
  <c r="K150" i="2" s="1"/>
  <c r="L150" i="2" s="1"/>
  <c r="M150" i="2" s="1"/>
  <c r="N150" i="2" s="1"/>
  <c r="O150" i="2" s="1"/>
  <c r="P150" i="2" s="1"/>
  <c r="H142" i="2"/>
  <c r="I142" i="2" s="1"/>
  <c r="J142" i="2" s="1"/>
  <c r="K142" i="2" s="1"/>
  <c r="L142" i="2" s="1"/>
  <c r="M142" i="2" s="1"/>
  <c r="N142" i="2" s="1"/>
  <c r="O142" i="2" s="1"/>
  <c r="P142" i="2" s="1"/>
  <c r="H134" i="2"/>
  <c r="I134" i="2" s="1"/>
  <c r="J134" i="2" s="1"/>
  <c r="K134" i="2" s="1"/>
  <c r="L134" i="2" s="1"/>
  <c r="M134" i="2" s="1"/>
  <c r="N134" i="2" s="1"/>
  <c r="O134" i="2" s="1"/>
  <c r="P134" i="2" s="1"/>
  <c r="H126" i="2"/>
  <c r="I126" i="2" s="1"/>
  <c r="J126" i="2" s="1"/>
  <c r="K126" i="2" s="1"/>
  <c r="L126" i="2" s="1"/>
  <c r="M126" i="2" s="1"/>
  <c r="N126" i="2" s="1"/>
  <c r="O126" i="2" s="1"/>
  <c r="P126" i="2" s="1"/>
  <c r="H110" i="2"/>
  <c r="I110" i="2" s="1"/>
  <c r="J110" i="2" s="1"/>
  <c r="K110" i="2" s="1"/>
  <c r="L110" i="2" s="1"/>
  <c r="M110" i="2" s="1"/>
  <c r="N110" i="2" s="1"/>
  <c r="O110" i="2" s="1"/>
  <c r="P110" i="2" s="1"/>
  <c r="H102" i="2"/>
  <c r="I102" i="2" s="1"/>
  <c r="J102" i="2" s="1"/>
  <c r="K102" i="2" s="1"/>
  <c r="L102" i="2" s="1"/>
  <c r="M102" i="2" s="1"/>
  <c r="N102" i="2" s="1"/>
  <c r="O102" i="2" s="1"/>
  <c r="P102" i="2" s="1"/>
  <c r="H94" i="2"/>
  <c r="I94" i="2" s="1"/>
  <c r="J94" i="2" s="1"/>
  <c r="K94" i="2" s="1"/>
  <c r="L94" i="2" s="1"/>
  <c r="M94" i="2" s="1"/>
  <c r="N94" i="2" s="1"/>
  <c r="O94" i="2" s="1"/>
  <c r="P94" i="2" s="1"/>
  <c r="H86" i="2"/>
  <c r="I86" i="2" s="1"/>
  <c r="J86" i="2" s="1"/>
  <c r="K86" i="2" s="1"/>
  <c r="L86" i="2" s="1"/>
  <c r="M86" i="2" s="1"/>
  <c r="N86" i="2" s="1"/>
  <c r="O86" i="2" s="1"/>
  <c r="P86" i="2" s="1"/>
  <c r="H78" i="2"/>
  <c r="I78" i="2" s="1"/>
  <c r="J78" i="2" s="1"/>
  <c r="K78" i="2" s="1"/>
  <c r="L78" i="2" s="1"/>
  <c r="M78" i="2" s="1"/>
  <c r="N78" i="2" s="1"/>
  <c r="O78" i="2" s="1"/>
  <c r="P78" i="2" s="1"/>
  <c r="H70" i="2"/>
  <c r="I70" i="2" s="1"/>
  <c r="J70" i="2" s="1"/>
  <c r="K70" i="2" s="1"/>
  <c r="L70" i="2" s="1"/>
  <c r="M70" i="2" s="1"/>
  <c r="N70" i="2" s="1"/>
  <c r="O70" i="2" s="1"/>
  <c r="P70" i="2" s="1"/>
  <c r="H62" i="2"/>
  <c r="I62" i="2" s="1"/>
  <c r="J62" i="2" s="1"/>
  <c r="K62" i="2" s="1"/>
  <c r="L62" i="2" s="1"/>
  <c r="M62" i="2" s="1"/>
  <c r="N62" i="2" s="1"/>
  <c r="O62" i="2" s="1"/>
  <c r="P62" i="2" s="1"/>
  <c r="H46" i="2"/>
  <c r="I46" i="2" s="1"/>
  <c r="J46" i="2" s="1"/>
  <c r="K46" i="2" s="1"/>
  <c r="L46" i="2" s="1"/>
  <c r="M46" i="2" s="1"/>
  <c r="N46" i="2" s="1"/>
  <c r="O46" i="2" s="1"/>
  <c r="P46" i="2" s="1"/>
  <c r="H38" i="2"/>
  <c r="I38" i="2" s="1"/>
  <c r="J38" i="2" s="1"/>
  <c r="K38" i="2" s="1"/>
  <c r="L38" i="2" s="1"/>
  <c r="M38" i="2" s="1"/>
  <c r="N38" i="2" s="1"/>
  <c r="O38" i="2" s="1"/>
  <c r="P38" i="2" s="1"/>
  <c r="H30" i="2"/>
  <c r="I30" i="2" s="1"/>
  <c r="J30" i="2" s="1"/>
  <c r="K30" i="2" s="1"/>
  <c r="L30" i="2" s="1"/>
  <c r="M30" i="2" s="1"/>
  <c r="N30" i="2" s="1"/>
  <c r="O30" i="2" s="1"/>
  <c r="P30" i="2" s="1"/>
  <c r="H22" i="2"/>
  <c r="I22" i="2" s="1"/>
  <c r="J22" i="2" s="1"/>
  <c r="K22" i="2" s="1"/>
  <c r="L22" i="2" s="1"/>
  <c r="M22" i="2" s="1"/>
  <c r="N22" i="2" s="1"/>
  <c r="O22" i="2" s="1"/>
  <c r="P22" i="2" s="1"/>
  <c r="H14" i="2"/>
  <c r="I14" i="2" s="1"/>
  <c r="J14" i="2" s="1"/>
  <c r="K14" i="2" s="1"/>
  <c r="L14" i="2" s="1"/>
  <c r="M14" i="2" s="1"/>
  <c r="N14" i="2" s="1"/>
  <c r="O14" i="2" s="1"/>
  <c r="P14" i="2" s="1"/>
  <c r="Q984" i="2"/>
  <c r="R984" i="2" s="1"/>
  <c r="S984" i="2" s="1"/>
  <c r="Q961" i="2"/>
  <c r="R961" i="2" s="1"/>
  <c r="S961" i="2" s="1"/>
  <c r="Q942" i="2"/>
  <c r="R942" i="2" s="1"/>
  <c r="S942" i="2" s="1"/>
  <c r="Q920" i="2"/>
  <c r="R920" i="2" s="1"/>
  <c r="S920" i="2" s="1"/>
  <c r="Q897" i="2"/>
  <c r="R897" i="2" s="1"/>
  <c r="S897" i="2" s="1"/>
  <c r="Q878" i="2"/>
  <c r="R878" i="2" s="1"/>
  <c r="S878" i="2" s="1"/>
  <c r="Q856" i="2"/>
  <c r="R856" i="2" s="1"/>
  <c r="S856" i="2" s="1"/>
  <c r="Q833" i="2"/>
  <c r="R833" i="2" s="1"/>
  <c r="S833" i="2" s="1"/>
  <c r="Q814" i="2"/>
  <c r="R814" i="2" s="1"/>
  <c r="S814" i="2" s="1"/>
  <c r="Q792" i="2"/>
  <c r="R792" i="2" s="1"/>
  <c r="S792" i="2" s="1"/>
  <c r="Q769" i="2"/>
  <c r="R769" i="2" s="1"/>
  <c r="S769" i="2" s="1"/>
  <c r="Q750" i="2"/>
  <c r="R750" i="2" s="1"/>
  <c r="S750" i="2" s="1"/>
  <c r="Q728" i="2"/>
  <c r="R728" i="2" s="1"/>
  <c r="S728" i="2" s="1"/>
  <c r="Q705" i="2"/>
  <c r="R705" i="2" s="1"/>
  <c r="S705" i="2" s="1"/>
  <c r="Q686" i="2"/>
  <c r="R686" i="2" s="1"/>
  <c r="S686" i="2" s="1"/>
  <c r="Q650" i="2"/>
  <c r="R650" i="2" s="1"/>
  <c r="S650" i="2" s="1"/>
  <c r="Q614" i="2"/>
  <c r="R614" i="2" s="1"/>
  <c r="S614" i="2" s="1"/>
  <c r="Q583" i="2"/>
  <c r="R583" i="2" s="1"/>
  <c r="S583" i="2" s="1"/>
  <c r="Q528" i="2"/>
  <c r="R528" i="2" s="1"/>
  <c r="S528" i="2" s="1"/>
  <c r="Q467" i="2"/>
  <c r="R467" i="2" s="1"/>
  <c r="S467" i="2" s="1"/>
  <c r="Q416" i="2"/>
  <c r="R416" i="2" s="1"/>
  <c r="S416" i="2" s="1"/>
  <c r="Q288" i="2"/>
  <c r="R288" i="2" s="1"/>
  <c r="S288" i="2" s="1"/>
  <c r="Q118" i="2"/>
  <c r="R118" i="2" s="1"/>
  <c r="S118" i="2" s="1"/>
  <c r="H633" i="2"/>
  <c r="I633" i="2" s="1"/>
  <c r="J633" i="2" s="1"/>
  <c r="K633" i="2" s="1"/>
  <c r="L633" i="2" s="1"/>
  <c r="M633" i="2" s="1"/>
  <c r="N633" i="2" s="1"/>
  <c r="O633" i="2" s="1"/>
  <c r="P633" i="2" s="1"/>
  <c r="H585" i="2"/>
  <c r="I585" i="2" s="1"/>
  <c r="J585" i="2" s="1"/>
  <c r="K585" i="2" s="1"/>
  <c r="L585" i="2" s="1"/>
  <c r="M585" i="2" s="1"/>
  <c r="N585" i="2" s="1"/>
  <c r="O585" i="2" s="1"/>
  <c r="P585" i="2" s="1"/>
  <c r="H537" i="2"/>
  <c r="I537" i="2" s="1"/>
  <c r="J537" i="2" s="1"/>
  <c r="K537" i="2" s="1"/>
  <c r="L537" i="2" s="1"/>
  <c r="M537" i="2" s="1"/>
  <c r="N537" i="2" s="1"/>
  <c r="O537" i="2" s="1"/>
  <c r="P537" i="2" s="1"/>
  <c r="H473" i="2"/>
  <c r="I473" i="2" s="1"/>
  <c r="J473" i="2" s="1"/>
  <c r="K473" i="2" s="1"/>
  <c r="L473" i="2" s="1"/>
  <c r="M473" i="2" s="1"/>
  <c r="N473" i="2" s="1"/>
  <c r="O473" i="2" s="1"/>
  <c r="P473" i="2" s="1"/>
  <c r="H417" i="2"/>
  <c r="I417" i="2" s="1"/>
  <c r="J417" i="2" s="1"/>
  <c r="K417" i="2" s="1"/>
  <c r="L417" i="2" s="1"/>
  <c r="M417" i="2" s="1"/>
  <c r="N417" i="2" s="1"/>
  <c r="O417" i="2" s="1"/>
  <c r="P417" i="2" s="1"/>
  <c r="H361" i="2"/>
  <c r="I361" i="2" s="1"/>
  <c r="J361" i="2" s="1"/>
  <c r="K361" i="2" s="1"/>
  <c r="L361" i="2" s="1"/>
  <c r="M361" i="2" s="1"/>
  <c r="N361" i="2" s="1"/>
  <c r="O361" i="2" s="1"/>
  <c r="P361" i="2" s="1"/>
  <c r="H305" i="2"/>
  <c r="I305" i="2" s="1"/>
  <c r="J305" i="2" s="1"/>
  <c r="K305" i="2" s="1"/>
  <c r="L305" i="2" s="1"/>
  <c r="M305" i="2" s="1"/>
  <c r="N305" i="2" s="1"/>
  <c r="O305" i="2" s="1"/>
  <c r="P305" i="2" s="1"/>
  <c r="H257" i="2"/>
  <c r="I257" i="2" s="1"/>
  <c r="J257" i="2" s="1"/>
  <c r="K257" i="2" s="1"/>
  <c r="L257" i="2" s="1"/>
  <c r="M257" i="2" s="1"/>
  <c r="N257" i="2" s="1"/>
  <c r="O257" i="2" s="1"/>
  <c r="P257" i="2" s="1"/>
  <c r="H201" i="2"/>
  <c r="I201" i="2" s="1"/>
  <c r="J201" i="2" s="1"/>
  <c r="K201" i="2" s="1"/>
  <c r="L201" i="2" s="1"/>
  <c r="M201" i="2" s="1"/>
  <c r="N201" i="2" s="1"/>
  <c r="O201" i="2" s="1"/>
  <c r="P201" i="2" s="1"/>
  <c r="H153" i="2"/>
  <c r="I153" i="2" s="1"/>
  <c r="J153" i="2" s="1"/>
  <c r="K153" i="2" s="1"/>
  <c r="L153" i="2" s="1"/>
  <c r="M153" i="2" s="1"/>
  <c r="N153" i="2" s="1"/>
  <c r="O153" i="2" s="1"/>
  <c r="P153" i="2" s="1"/>
  <c r="H97" i="2"/>
  <c r="I97" i="2" s="1"/>
  <c r="J97" i="2" s="1"/>
  <c r="K97" i="2" s="1"/>
  <c r="L97" i="2" s="1"/>
  <c r="M97" i="2" s="1"/>
  <c r="N97" i="2" s="1"/>
  <c r="O97" i="2" s="1"/>
  <c r="P97" i="2" s="1"/>
  <c r="H49" i="2"/>
  <c r="I49" i="2" s="1"/>
  <c r="J49" i="2" s="1"/>
  <c r="K49" i="2" s="1"/>
  <c r="L49" i="2" s="1"/>
  <c r="M49" i="2" s="1"/>
  <c r="N49" i="2" s="1"/>
  <c r="O49" i="2" s="1"/>
  <c r="P49" i="2" s="1"/>
  <c r="Q905" i="2"/>
  <c r="R905" i="2" s="1"/>
  <c r="S905" i="2" s="1"/>
  <c r="H1005" i="2"/>
  <c r="I1005" i="2" s="1"/>
  <c r="J1005" i="2" s="1"/>
  <c r="K1005" i="2" s="1"/>
  <c r="L1005" i="2" s="1"/>
  <c r="M1005" i="2" s="1"/>
  <c r="N1005" i="2" s="1"/>
  <c r="O1005" i="2" s="1"/>
  <c r="P1005" i="2" s="1"/>
  <c r="H997" i="2"/>
  <c r="I997" i="2" s="1"/>
  <c r="J997" i="2" s="1"/>
  <c r="K997" i="2" s="1"/>
  <c r="L997" i="2" s="1"/>
  <c r="M997" i="2" s="1"/>
  <c r="N997" i="2" s="1"/>
  <c r="O997" i="2" s="1"/>
  <c r="P997" i="2" s="1"/>
  <c r="H989" i="2"/>
  <c r="I989" i="2" s="1"/>
  <c r="J989" i="2" s="1"/>
  <c r="K989" i="2" s="1"/>
  <c r="L989" i="2" s="1"/>
  <c r="M989" i="2" s="1"/>
  <c r="N989" i="2" s="1"/>
  <c r="O989" i="2" s="1"/>
  <c r="P989" i="2" s="1"/>
  <c r="H981" i="2"/>
  <c r="I981" i="2" s="1"/>
  <c r="J981" i="2" s="1"/>
  <c r="K981" i="2" s="1"/>
  <c r="L981" i="2" s="1"/>
  <c r="M981" i="2" s="1"/>
  <c r="N981" i="2" s="1"/>
  <c r="O981" i="2" s="1"/>
  <c r="P981" i="2" s="1"/>
  <c r="H973" i="2"/>
  <c r="I973" i="2" s="1"/>
  <c r="J973" i="2" s="1"/>
  <c r="K973" i="2" s="1"/>
  <c r="L973" i="2" s="1"/>
  <c r="M973" i="2" s="1"/>
  <c r="N973" i="2" s="1"/>
  <c r="O973" i="2" s="1"/>
  <c r="P973" i="2" s="1"/>
  <c r="H965" i="2"/>
  <c r="I965" i="2" s="1"/>
  <c r="J965" i="2" s="1"/>
  <c r="K965" i="2" s="1"/>
  <c r="L965" i="2" s="1"/>
  <c r="M965" i="2" s="1"/>
  <c r="N965" i="2" s="1"/>
  <c r="O965" i="2" s="1"/>
  <c r="P965" i="2" s="1"/>
  <c r="H957" i="2"/>
  <c r="I957" i="2" s="1"/>
  <c r="J957" i="2" s="1"/>
  <c r="K957" i="2" s="1"/>
  <c r="L957" i="2" s="1"/>
  <c r="M957" i="2" s="1"/>
  <c r="N957" i="2" s="1"/>
  <c r="O957" i="2" s="1"/>
  <c r="P957" i="2" s="1"/>
  <c r="H949" i="2"/>
  <c r="I949" i="2" s="1"/>
  <c r="J949" i="2" s="1"/>
  <c r="K949" i="2" s="1"/>
  <c r="L949" i="2" s="1"/>
  <c r="M949" i="2" s="1"/>
  <c r="N949" i="2" s="1"/>
  <c r="O949" i="2" s="1"/>
  <c r="P949" i="2" s="1"/>
  <c r="H941" i="2"/>
  <c r="I941" i="2" s="1"/>
  <c r="J941" i="2" s="1"/>
  <c r="K941" i="2" s="1"/>
  <c r="L941" i="2" s="1"/>
  <c r="M941" i="2" s="1"/>
  <c r="N941" i="2" s="1"/>
  <c r="O941" i="2" s="1"/>
  <c r="P941" i="2" s="1"/>
  <c r="H933" i="2"/>
  <c r="I933" i="2" s="1"/>
  <c r="J933" i="2" s="1"/>
  <c r="K933" i="2" s="1"/>
  <c r="L933" i="2" s="1"/>
  <c r="M933" i="2" s="1"/>
  <c r="N933" i="2" s="1"/>
  <c r="O933" i="2" s="1"/>
  <c r="P933" i="2" s="1"/>
  <c r="H925" i="2"/>
  <c r="I925" i="2" s="1"/>
  <c r="J925" i="2" s="1"/>
  <c r="K925" i="2" s="1"/>
  <c r="L925" i="2" s="1"/>
  <c r="M925" i="2" s="1"/>
  <c r="N925" i="2" s="1"/>
  <c r="O925" i="2" s="1"/>
  <c r="P925" i="2" s="1"/>
  <c r="H917" i="2"/>
  <c r="I917" i="2" s="1"/>
  <c r="J917" i="2" s="1"/>
  <c r="K917" i="2" s="1"/>
  <c r="L917" i="2" s="1"/>
  <c r="M917" i="2" s="1"/>
  <c r="N917" i="2" s="1"/>
  <c r="O917" i="2" s="1"/>
  <c r="P917" i="2" s="1"/>
  <c r="H909" i="2"/>
  <c r="I909" i="2" s="1"/>
  <c r="J909" i="2" s="1"/>
  <c r="K909" i="2" s="1"/>
  <c r="L909" i="2" s="1"/>
  <c r="M909" i="2" s="1"/>
  <c r="N909" i="2" s="1"/>
  <c r="O909" i="2" s="1"/>
  <c r="P909" i="2" s="1"/>
  <c r="H901" i="2"/>
  <c r="I901" i="2" s="1"/>
  <c r="J901" i="2" s="1"/>
  <c r="K901" i="2" s="1"/>
  <c r="L901" i="2" s="1"/>
  <c r="M901" i="2" s="1"/>
  <c r="N901" i="2" s="1"/>
  <c r="O901" i="2" s="1"/>
  <c r="P901" i="2" s="1"/>
  <c r="H893" i="2"/>
  <c r="I893" i="2" s="1"/>
  <c r="J893" i="2" s="1"/>
  <c r="K893" i="2" s="1"/>
  <c r="L893" i="2" s="1"/>
  <c r="M893" i="2" s="1"/>
  <c r="N893" i="2" s="1"/>
  <c r="O893" i="2" s="1"/>
  <c r="P893" i="2" s="1"/>
  <c r="H885" i="2"/>
  <c r="I885" i="2" s="1"/>
  <c r="J885" i="2" s="1"/>
  <c r="K885" i="2" s="1"/>
  <c r="L885" i="2" s="1"/>
  <c r="M885" i="2" s="1"/>
  <c r="N885" i="2" s="1"/>
  <c r="O885" i="2" s="1"/>
  <c r="P885" i="2" s="1"/>
  <c r="H877" i="2"/>
  <c r="I877" i="2" s="1"/>
  <c r="J877" i="2" s="1"/>
  <c r="K877" i="2" s="1"/>
  <c r="L877" i="2" s="1"/>
  <c r="M877" i="2" s="1"/>
  <c r="N877" i="2" s="1"/>
  <c r="O877" i="2" s="1"/>
  <c r="P877" i="2" s="1"/>
  <c r="H869" i="2"/>
  <c r="I869" i="2" s="1"/>
  <c r="J869" i="2" s="1"/>
  <c r="K869" i="2" s="1"/>
  <c r="L869" i="2" s="1"/>
  <c r="M869" i="2" s="1"/>
  <c r="N869" i="2" s="1"/>
  <c r="O869" i="2" s="1"/>
  <c r="P869" i="2" s="1"/>
  <c r="H861" i="2"/>
  <c r="I861" i="2" s="1"/>
  <c r="J861" i="2" s="1"/>
  <c r="K861" i="2" s="1"/>
  <c r="L861" i="2" s="1"/>
  <c r="M861" i="2" s="1"/>
  <c r="N861" i="2" s="1"/>
  <c r="O861" i="2" s="1"/>
  <c r="P861" i="2" s="1"/>
  <c r="H853" i="2"/>
  <c r="I853" i="2" s="1"/>
  <c r="J853" i="2" s="1"/>
  <c r="K853" i="2" s="1"/>
  <c r="L853" i="2" s="1"/>
  <c r="M853" i="2" s="1"/>
  <c r="N853" i="2" s="1"/>
  <c r="O853" i="2" s="1"/>
  <c r="P853" i="2" s="1"/>
  <c r="H845" i="2"/>
  <c r="I845" i="2" s="1"/>
  <c r="J845" i="2" s="1"/>
  <c r="K845" i="2" s="1"/>
  <c r="L845" i="2" s="1"/>
  <c r="M845" i="2" s="1"/>
  <c r="N845" i="2" s="1"/>
  <c r="O845" i="2" s="1"/>
  <c r="P845" i="2" s="1"/>
  <c r="H837" i="2"/>
  <c r="I837" i="2" s="1"/>
  <c r="J837" i="2" s="1"/>
  <c r="K837" i="2" s="1"/>
  <c r="L837" i="2" s="1"/>
  <c r="M837" i="2" s="1"/>
  <c r="N837" i="2" s="1"/>
  <c r="O837" i="2" s="1"/>
  <c r="P837" i="2" s="1"/>
  <c r="H829" i="2"/>
  <c r="I829" i="2" s="1"/>
  <c r="J829" i="2" s="1"/>
  <c r="K829" i="2" s="1"/>
  <c r="L829" i="2" s="1"/>
  <c r="M829" i="2" s="1"/>
  <c r="N829" i="2" s="1"/>
  <c r="O829" i="2" s="1"/>
  <c r="P829" i="2" s="1"/>
  <c r="H821" i="2"/>
  <c r="I821" i="2" s="1"/>
  <c r="J821" i="2" s="1"/>
  <c r="K821" i="2" s="1"/>
  <c r="L821" i="2" s="1"/>
  <c r="M821" i="2" s="1"/>
  <c r="N821" i="2" s="1"/>
  <c r="O821" i="2" s="1"/>
  <c r="P821" i="2" s="1"/>
  <c r="H813" i="2"/>
  <c r="I813" i="2" s="1"/>
  <c r="J813" i="2" s="1"/>
  <c r="K813" i="2" s="1"/>
  <c r="L813" i="2" s="1"/>
  <c r="M813" i="2" s="1"/>
  <c r="N813" i="2" s="1"/>
  <c r="O813" i="2" s="1"/>
  <c r="P813" i="2" s="1"/>
  <c r="H805" i="2"/>
  <c r="I805" i="2" s="1"/>
  <c r="J805" i="2" s="1"/>
  <c r="K805" i="2" s="1"/>
  <c r="L805" i="2" s="1"/>
  <c r="M805" i="2" s="1"/>
  <c r="N805" i="2" s="1"/>
  <c r="O805" i="2" s="1"/>
  <c r="P805" i="2" s="1"/>
  <c r="H797" i="2"/>
  <c r="I797" i="2" s="1"/>
  <c r="J797" i="2" s="1"/>
  <c r="K797" i="2" s="1"/>
  <c r="L797" i="2" s="1"/>
  <c r="M797" i="2" s="1"/>
  <c r="N797" i="2" s="1"/>
  <c r="O797" i="2" s="1"/>
  <c r="P797" i="2" s="1"/>
  <c r="H789" i="2"/>
  <c r="I789" i="2" s="1"/>
  <c r="J789" i="2" s="1"/>
  <c r="K789" i="2" s="1"/>
  <c r="L789" i="2" s="1"/>
  <c r="M789" i="2" s="1"/>
  <c r="N789" i="2" s="1"/>
  <c r="O789" i="2" s="1"/>
  <c r="P789" i="2" s="1"/>
  <c r="H781" i="2"/>
  <c r="I781" i="2" s="1"/>
  <c r="J781" i="2" s="1"/>
  <c r="K781" i="2" s="1"/>
  <c r="L781" i="2" s="1"/>
  <c r="M781" i="2" s="1"/>
  <c r="N781" i="2" s="1"/>
  <c r="O781" i="2" s="1"/>
  <c r="P781" i="2" s="1"/>
  <c r="H773" i="2"/>
  <c r="I773" i="2" s="1"/>
  <c r="J773" i="2" s="1"/>
  <c r="K773" i="2" s="1"/>
  <c r="L773" i="2" s="1"/>
  <c r="M773" i="2" s="1"/>
  <c r="N773" i="2" s="1"/>
  <c r="O773" i="2" s="1"/>
  <c r="P773" i="2" s="1"/>
  <c r="H765" i="2"/>
  <c r="I765" i="2" s="1"/>
  <c r="J765" i="2" s="1"/>
  <c r="K765" i="2" s="1"/>
  <c r="L765" i="2" s="1"/>
  <c r="M765" i="2" s="1"/>
  <c r="N765" i="2" s="1"/>
  <c r="O765" i="2" s="1"/>
  <c r="P765" i="2" s="1"/>
  <c r="H757" i="2"/>
  <c r="I757" i="2" s="1"/>
  <c r="J757" i="2" s="1"/>
  <c r="K757" i="2" s="1"/>
  <c r="L757" i="2" s="1"/>
  <c r="M757" i="2" s="1"/>
  <c r="N757" i="2" s="1"/>
  <c r="O757" i="2" s="1"/>
  <c r="P757" i="2" s="1"/>
  <c r="H749" i="2"/>
  <c r="I749" i="2" s="1"/>
  <c r="J749" i="2" s="1"/>
  <c r="K749" i="2" s="1"/>
  <c r="L749" i="2" s="1"/>
  <c r="M749" i="2" s="1"/>
  <c r="N749" i="2" s="1"/>
  <c r="O749" i="2" s="1"/>
  <c r="P749" i="2" s="1"/>
  <c r="H741" i="2"/>
  <c r="I741" i="2" s="1"/>
  <c r="J741" i="2" s="1"/>
  <c r="K741" i="2" s="1"/>
  <c r="L741" i="2" s="1"/>
  <c r="M741" i="2" s="1"/>
  <c r="N741" i="2" s="1"/>
  <c r="O741" i="2" s="1"/>
  <c r="P741" i="2" s="1"/>
  <c r="H733" i="2"/>
  <c r="I733" i="2" s="1"/>
  <c r="J733" i="2" s="1"/>
  <c r="K733" i="2" s="1"/>
  <c r="L733" i="2" s="1"/>
  <c r="M733" i="2" s="1"/>
  <c r="N733" i="2" s="1"/>
  <c r="O733" i="2" s="1"/>
  <c r="P733" i="2" s="1"/>
  <c r="H725" i="2"/>
  <c r="I725" i="2" s="1"/>
  <c r="J725" i="2" s="1"/>
  <c r="K725" i="2" s="1"/>
  <c r="L725" i="2" s="1"/>
  <c r="M725" i="2" s="1"/>
  <c r="N725" i="2" s="1"/>
  <c r="O725" i="2" s="1"/>
  <c r="P725" i="2" s="1"/>
  <c r="H717" i="2"/>
  <c r="I717" i="2" s="1"/>
  <c r="J717" i="2" s="1"/>
  <c r="K717" i="2" s="1"/>
  <c r="L717" i="2" s="1"/>
  <c r="M717" i="2" s="1"/>
  <c r="N717" i="2" s="1"/>
  <c r="O717" i="2" s="1"/>
  <c r="P717" i="2" s="1"/>
  <c r="H709" i="2"/>
  <c r="I709" i="2" s="1"/>
  <c r="J709" i="2" s="1"/>
  <c r="K709" i="2" s="1"/>
  <c r="L709" i="2" s="1"/>
  <c r="M709" i="2" s="1"/>
  <c r="N709" i="2" s="1"/>
  <c r="O709" i="2" s="1"/>
  <c r="P709" i="2" s="1"/>
  <c r="H701" i="2"/>
  <c r="I701" i="2" s="1"/>
  <c r="J701" i="2" s="1"/>
  <c r="K701" i="2" s="1"/>
  <c r="L701" i="2" s="1"/>
  <c r="M701" i="2" s="1"/>
  <c r="N701" i="2" s="1"/>
  <c r="O701" i="2" s="1"/>
  <c r="P701" i="2" s="1"/>
  <c r="H693" i="2"/>
  <c r="I693" i="2" s="1"/>
  <c r="J693" i="2" s="1"/>
  <c r="K693" i="2" s="1"/>
  <c r="L693" i="2" s="1"/>
  <c r="M693" i="2" s="1"/>
  <c r="N693" i="2" s="1"/>
  <c r="O693" i="2" s="1"/>
  <c r="P693" i="2" s="1"/>
  <c r="H685" i="2"/>
  <c r="I685" i="2" s="1"/>
  <c r="J685" i="2" s="1"/>
  <c r="K685" i="2" s="1"/>
  <c r="L685" i="2" s="1"/>
  <c r="M685" i="2" s="1"/>
  <c r="N685" i="2" s="1"/>
  <c r="O685" i="2" s="1"/>
  <c r="P685" i="2" s="1"/>
  <c r="H677" i="2"/>
  <c r="I677" i="2" s="1"/>
  <c r="J677" i="2" s="1"/>
  <c r="K677" i="2" s="1"/>
  <c r="L677" i="2" s="1"/>
  <c r="M677" i="2" s="1"/>
  <c r="N677" i="2" s="1"/>
  <c r="O677" i="2" s="1"/>
  <c r="P677" i="2" s="1"/>
  <c r="H669" i="2"/>
  <c r="I669" i="2" s="1"/>
  <c r="J669" i="2" s="1"/>
  <c r="K669" i="2" s="1"/>
  <c r="L669" i="2" s="1"/>
  <c r="M669" i="2" s="1"/>
  <c r="N669" i="2" s="1"/>
  <c r="O669" i="2" s="1"/>
  <c r="P669" i="2" s="1"/>
  <c r="H661" i="2"/>
  <c r="I661" i="2" s="1"/>
  <c r="J661" i="2" s="1"/>
  <c r="K661" i="2" s="1"/>
  <c r="L661" i="2" s="1"/>
  <c r="M661" i="2" s="1"/>
  <c r="N661" i="2" s="1"/>
  <c r="O661" i="2" s="1"/>
  <c r="P661" i="2" s="1"/>
  <c r="H653" i="2"/>
  <c r="I653" i="2" s="1"/>
  <c r="J653" i="2" s="1"/>
  <c r="K653" i="2" s="1"/>
  <c r="L653" i="2" s="1"/>
  <c r="M653" i="2" s="1"/>
  <c r="N653" i="2" s="1"/>
  <c r="O653" i="2" s="1"/>
  <c r="P653" i="2" s="1"/>
  <c r="H645" i="2"/>
  <c r="I645" i="2" s="1"/>
  <c r="J645" i="2" s="1"/>
  <c r="K645" i="2" s="1"/>
  <c r="L645" i="2" s="1"/>
  <c r="M645" i="2" s="1"/>
  <c r="N645" i="2" s="1"/>
  <c r="O645" i="2" s="1"/>
  <c r="P645" i="2" s="1"/>
  <c r="H637" i="2"/>
  <c r="I637" i="2" s="1"/>
  <c r="J637" i="2" s="1"/>
  <c r="K637" i="2" s="1"/>
  <c r="L637" i="2" s="1"/>
  <c r="M637" i="2" s="1"/>
  <c r="N637" i="2" s="1"/>
  <c r="O637" i="2" s="1"/>
  <c r="P637" i="2" s="1"/>
  <c r="H629" i="2"/>
  <c r="I629" i="2" s="1"/>
  <c r="J629" i="2" s="1"/>
  <c r="K629" i="2" s="1"/>
  <c r="L629" i="2" s="1"/>
  <c r="M629" i="2" s="1"/>
  <c r="N629" i="2" s="1"/>
  <c r="O629" i="2" s="1"/>
  <c r="P629" i="2" s="1"/>
  <c r="H621" i="2"/>
  <c r="I621" i="2" s="1"/>
  <c r="J621" i="2" s="1"/>
  <c r="K621" i="2" s="1"/>
  <c r="L621" i="2" s="1"/>
  <c r="M621" i="2" s="1"/>
  <c r="N621" i="2" s="1"/>
  <c r="O621" i="2" s="1"/>
  <c r="P621" i="2" s="1"/>
  <c r="H613" i="2"/>
  <c r="I613" i="2" s="1"/>
  <c r="J613" i="2" s="1"/>
  <c r="K613" i="2" s="1"/>
  <c r="L613" i="2" s="1"/>
  <c r="M613" i="2" s="1"/>
  <c r="N613" i="2" s="1"/>
  <c r="O613" i="2" s="1"/>
  <c r="P613" i="2" s="1"/>
  <c r="H605" i="2"/>
  <c r="I605" i="2" s="1"/>
  <c r="J605" i="2" s="1"/>
  <c r="K605" i="2" s="1"/>
  <c r="L605" i="2" s="1"/>
  <c r="M605" i="2" s="1"/>
  <c r="N605" i="2" s="1"/>
  <c r="O605" i="2" s="1"/>
  <c r="P605" i="2" s="1"/>
  <c r="H597" i="2"/>
  <c r="I597" i="2" s="1"/>
  <c r="J597" i="2" s="1"/>
  <c r="K597" i="2" s="1"/>
  <c r="L597" i="2" s="1"/>
  <c r="M597" i="2" s="1"/>
  <c r="N597" i="2" s="1"/>
  <c r="O597" i="2" s="1"/>
  <c r="P597" i="2" s="1"/>
  <c r="H589" i="2"/>
  <c r="I589" i="2" s="1"/>
  <c r="J589" i="2" s="1"/>
  <c r="K589" i="2" s="1"/>
  <c r="L589" i="2" s="1"/>
  <c r="M589" i="2" s="1"/>
  <c r="N589" i="2" s="1"/>
  <c r="O589" i="2" s="1"/>
  <c r="P589" i="2" s="1"/>
  <c r="H581" i="2"/>
  <c r="I581" i="2" s="1"/>
  <c r="J581" i="2" s="1"/>
  <c r="K581" i="2" s="1"/>
  <c r="L581" i="2" s="1"/>
  <c r="M581" i="2" s="1"/>
  <c r="N581" i="2" s="1"/>
  <c r="O581" i="2" s="1"/>
  <c r="P581" i="2" s="1"/>
  <c r="H573" i="2"/>
  <c r="I573" i="2" s="1"/>
  <c r="J573" i="2" s="1"/>
  <c r="K573" i="2" s="1"/>
  <c r="L573" i="2" s="1"/>
  <c r="M573" i="2" s="1"/>
  <c r="N573" i="2" s="1"/>
  <c r="O573" i="2" s="1"/>
  <c r="P573" i="2" s="1"/>
  <c r="H565" i="2"/>
  <c r="I565" i="2" s="1"/>
  <c r="J565" i="2" s="1"/>
  <c r="K565" i="2" s="1"/>
  <c r="L565" i="2" s="1"/>
  <c r="M565" i="2" s="1"/>
  <c r="N565" i="2" s="1"/>
  <c r="O565" i="2" s="1"/>
  <c r="P565" i="2" s="1"/>
  <c r="H557" i="2"/>
  <c r="I557" i="2" s="1"/>
  <c r="J557" i="2" s="1"/>
  <c r="K557" i="2" s="1"/>
  <c r="L557" i="2" s="1"/>
  <c r="M557" i="2" s="1"/>
  <c r="N557" i="2" s="1"/>
  <c r="O557" i="2" s="1"/>
  <c r="P557" i="2" s="1"/>
  <c r="H549" i="2"/>
  <c r="I549" i="2" s="1"/>
  <c r="J549" i="2" s="1"/>
  <c r="K549" i="2" s="1"/>
  <c r="L549" i="2" s="1"/>
  <c r="M549" i="2" s="1"/>
  <c r="N549" i="2" s="1"/>
  <c r="O549" i="2" s="1"/>
  <c r="P549" i="2" s="1"/>
  <c r="H541" i="2"/>
  <c r="I541" i="2" s="1"/>
  <c r="J541" i="2" s="1"/>
  <c r="K541" i="2" s="1"/>
  <c r="L541" i="2" s="1"/>
  <c r="M541" i="2" s="1"/>
  <c r="N541" i="2" s="1"/>
  <c r="O541" i="2" s="1"/>
  <c r="P541" i="2" s="1"/>
  <c r="H533" i="2"/>
  <c r="I533" i="2" s="1"/>
  <c r="J533" i="2" s="1"/>
  <c r="K533" i="2" s="1"/>
  <c r="L533" i="2" s="1"/>
  <c r="M533" i="2" s="1"/>
  <c r="N533" i="2" s="1"/>
  <c r="O533" i="2" s="1"/>
  <c r="P533" i="2" s="1"/>
  <c r="H525" i="2"/>
  <c r="I525" i="2" s="1"/>
  <c r="J525" i="2" s="1"/>
  <c r="K525" i="2" s="1"/>
  <c r="L525" i="2" s="1"/>
  <c r="M525" i="2" s="1"/>
  <c r="N525" i="2" s="1"/>
  <c r="O525" i="2" s="1"/>
  <c r="P525" i="2" s="1"/>
  <c r="Q525" i="2" s="1"/>
  <c r="R525" i="2" s="1"/>
  <c r="S525" i="2" s="1"/>
  <c r="H517" i="2"/>
  <c r="I517" i="2" s="1"/>
  <c r="J517" i="2" s="1"/>
  <c r="K517" i="2" s="1"/>
  <c r="L517" i="2" s="1"/>
  <c r="M517" i="2" s="1"/>
  <c r="N517" i="2" s="1"/>
  <c r="O517" i="2" s="1"/>
  <c r="P517" i="2" s="1"/>
  <c r="H509" i="2"/>
  <c r="I509" i="2" s="1"/>
  <c r="J509" i="2" s="1"/>
  <c r="K509" i="2" s="1"/>
  <c r="L509" i="2" s="1"/>
  <c r="M509" i="2" s="1"/>
  <c r="N509" i="2" s="1"/>
  <c r="O509" i="2" s="1"/>
  <c r="P509" i="2" s="1"/>
  <c r="H501" i="2"/>
  <c r="I501" i="2" s="1"/>
  <c r="J501" i="2" s="1"/>
  <c r="K501" i="2" s="1"/>
  <c r="L501" i="2" s="1"/>
  <c r="M501" i="2" s="1"/>
  <c r="N501" i="2" s="1"/>
  <c r="O501" i="2" s="1"/>
  <c r="P501" i="2" s="1"/>
  <c r="H493" i="2"/>
  <c r="I493" i="2" s="1"/>
  <c r="J493" i="2" s="1"/>
  <c r="K493" i="2" s="1"/>
  <c r="L493" i="2" s="1"/>
  <c r="M493" i="2" s="1"/>
  <c r="N493" i="2" s="1"/>
  <c r="O493" i="2" s="1"/>
  <c r="P493" i="2" s="1"/>
  <c r="H485" i="2"/>
  <c r="I485" i="2" s="1"/>
  <c r="J485" i="2" s="1"/>
  <c r="K485" i="2" s="1"/>
  <c r="L485" i="2" s="1"/>
  <c r="M485" i="2" s="1"/>
  <c r="N485" i="2" s="1"/>
  <c r="O485" i="2" s="1"/>
  <c r="P485" i="2" s="1"/>
  <c r="H477" i="2"/>
  <c r="I477" i="2" s="1"/>
  <c r="J477" i="2" s="1"/>
  <c r="K477" i="2" s="1"/>
  <c r="L477" i="2" s="1"/>
  <c r="M477" i="2" s="1"/>
  <c r="N477" i="2" s="1"/>
  <c r="O477" i="2" s="1"/>
  <c r="P477" i="2" s="1"/>
  <c r="H469" i="2"/>
  <c r="I469" i="2" s="1"/>
  <c r="J469" i="2" s="1"/>
  <c r="K469" i="2" s="1"/>
  <c r="L469" i="2" s="1"/>
  <c r="M469" i="2" s="1"/>
  <c r="N469" i="2" s="1"/>
  <c r="O469" i="2" s="1"/>
  <c r="P469" i="2" s="1"/>
  <c r="H461" i="2"/>
  <c r="I461" i="2" s="1"/>
  <c r="J461" i="2" s="1"/>
  <c r="K461" i="2" s="1"/>
  <c r="L461" i="2" s="1"/>
  <c r="M461" i="2" s="1"/>
  <c r="N461" i="2" s="1"/>
  <c r="O461" i="2" s="1"/>
  <c r="P461" i="2" s="1"/>
  <c r="H453" i="2"/>
  <c r="I453" i="2" s="1"/>
  <c r="J453" i="2" s="1"/>
  <c r="K453" i="2" s="1"/>
  <c r="L453" i="2" s="1"/>
  <c r="M453" i="2" s="1"/>
  <c r="N453" i="2" s="1"/>
  <c r="O453" i="2" s="1"/>
  <c r="P453" i="2" s="1"/>
  <c r="H445" i="2"/>
  <c r="I445" i="2" s="1"/>
  <c r="J445" i="2" s="1"/>
  <c r="K445" i="2" s="1"/>
  <c r="L445" i="2" s="1"/>
  <c r="M445" i="2" s="1"/>
  <c r="N445" i="2" s="1"/>
  <c r="O445" i="2" s="1"/>
  <c r="P445" i="2" s="1"/>
  <c r="H437" i="2"/>
  <c r="I437" i="2" s="1"/>
  <c r="J437" i="2" s="1"/>
  <c r="K437" i="2" s="1"/>
  <c r="L437" i="2" s="1"/>
  <c r="M437" i="2" s="1"/>
  <c r="N437" i="2" s="1"/>
  <c r="O437" i="2" s="1"/>
  <c r="P437" i="2" s="1"/>
  <c r="H429" i="2"/>
  <c r="I429" i="2" s="1"/>
  <c r="J429" i="2" s="1"/>
  <c r="K429" i="2" s="1"/>
  <c r="L429" i="2" s="1"/>
  <c r="M429" i="2" s="1"/>
  <c r="N429" i="2" s="1"/>
  <c r="O429" i="2" s="1"/>
  <c r="P429" i="2" s="1"/>
  <c r="H421" i="2"/>
  <c r="I421" i="2" s="1"/>
  <c r="J421" i="2" s="1"/>
  <c r="K421" i="2" s="1"/>
  <c r="L421" i="2" s="1"/>
  <c r="M421" i="2" s="1"/>
  <c r="N421" i="2" s="1"/>
  <c r="O421" i="2" s="1"/>
  <c r="P421" i="2" s="1"/>
  <c r="H413" i="2"/>
  <c r="I413" i="2" s="1"/>
  <c r="J413" i="2" s="1"/>
  <c r="K413" i="2" s="1"/>
  <c r="L413" i="2" s="1"/>
  <c r="M413" i="2" s="1"/>
  <c r="N413" i="2" s="1"/>
  <c r="O413" i="2" s="1"/>
  <c r="P413" i="2" s="1"/>
  <c r="H405" i="2"/>
  <c r="I405" i="2" s="1"/>
  <c r="J405" i="2" s="1"/>
  <c r="K405" i="2" s="1"/>
  <c r="L405" i="2" s="1"/>
  <c r="M405" i="2" s="1"/>
  <c r="N405" i="2" s="1"/>
  <c r="O405" i="2" s="1"/>
  <c r="P405" i="2" s="1"/>
  <c r="H397" i="2"/>
  <c r="I397" i="2" s="1"/>
  <c r="J397" i="2" s="1"/>
  <c r="K397" i="2" s="1"/>
  <c r="L397" i="2" s="1"/>
  <c r="M397" i="2" s="1"/>
  <c r="N397" i="2" s="1"/>
  <c r="O397" i="2" s="1"/>
  <c r="P397" i="2" s="1"/>
  <c r="H389" i="2"/>
  <c r="I389" i="2" s="1"/>
  <c r="J389" i="2" s="1"/>
  <c r="K389" i="2" s="1"/>
  <c r="L389" i="2" s="1"/>
  <c r="M389" i="2" s="1"/>
  <c r="N389" i="2" s="1"/>
  <c r="O389" i="2" s="1"/>
  <c r="P389" i="2" s="1"/>
  <c r="H381" i="2"/>
  <c r="I381" i="2" s="1"/>
  <c r="J381" i="2" s="1"/>
  <c r="K381" i="2" s="1"/>
  <c r="L381" i="2" s="1"/>
  <c r="M381" i="2" s="1"/>
  <c r="N381" i="2" s="1"/>
  <c r="O381" i="2" s="1"/>
  <c r="P381" i="2" s="1"/>
  <c r="H373" i="2"/>
  <c r="I373" i="2" s="1"/>
  <c r="J373" i="2" s="1"/>
  <c r="K373" i="2" s="1"/>
  <c r="L373" i="2" s="1"/>
  <c r="M373" i="2" s="1"/>
  <c r="N373" i="2" s="1"/>
  <c r="O373" i="2" s="1"/>
  <c r="P373" i="2" s="1"/>
  <c r="H365" i="2"/>
  <c r="I365" i="2" s="1"/>
  <c r="J365" i="2" s="1"/>
  <c r="K365" i="2" s="1"/>
  <c r="L365" i="2" s="1"/>
  <c r="M365" i="2" s="1"/>
  <c r="N365" i="2" s="1"/>
  <c r="O365" i="2" s="1"/>
  <c r="P365" i="2" s="1"/>
  <c r="H357" i="2"/>
  <c r="I357" i="2" s="1"/>
  <c r="J357" i="2" s="1"/>
  <c r="K357" i="2" s="1"/>
  <c r="L357" i="2" s="1"/>
  <c r="M357" i="2" s="1"/>
  <c r="N357" i="2" s="1"/>
  <c r="O357" i="2" s="1"/>
  <c r="P357" i="2" s="1"/>
  <c r="H349" i="2"/>
  <c r="I349" i="2" s="1"/>
  <c r="J349" i="2" s="1"/>
  <c r="K349" i="2" s="1"/>
  <c r="L349" i="2" s="1"/>
  <c r="M349" i="2" s="1"/>
  <c r="N349" i="2" s="1"/>
  <c r="O349" i="2" s="1"/>
  <c r="P349" i="2" s="1"/>
  <c r="H341" i="2"/>
  <c r="I341" i="2" s="1"/>
  <c r="J341" i="2" s="1"/>
  <c r="K341" i="2" s="1"/>
  <c r="L341" i="2" s="1"/>
  <c r="M341" i="2" s="1"/>
  <c r="N341" i="2" s="1"/>
  <c r="O341" i="2" s="1"/>
  <c r="P341" i="2" s="1"/>
  <c r="H333" i="2"/>
  <c r="I333" i="2" s="1"/>
  <c r="J333" i="2" s="1"/>
  <c r="K333" i="2" s="1"/>
  <c r="L333" i="2" s="1"/>
  <c r="M333" i="2" s="1"/>
  <c r="N333" i="2" s="1"/>
  <c r="O333" i="2" s="1"/>
  <c r="P333" i="2" s="1"/>
  <c r="H325" i="2"/>
  <c r="I325" i="2" s="1"/>
  <c r="J325" i="2" s="1"/>
  <c r="K325" i="2" s="1"/>
  <c r="L325" i="2" s="1"/>
  <c r="M325" i="2" s="1"/>
  <c r="N325" i="2" s="1"/>
  <c r="O325" i="2" s="1"/>
  <c r="P325" i="2" s="1"/>
  <c r="H317" i="2"/>
  <c r="I317" i="2" s="1"/>
  <c r="J317" i="2" s="1"/>
  <c r="K317" i="2" s="1"/>
  <c r="L317" i="2" s="1"/>
  <c r="M317" i="2" s="1"/>
  <c r="N317" i="2" s="1"/>
  <c r="O317" i="2" s="1"/>
  <c r="P317" i="2" s="1"/>
  <c r="H309" i="2"/>
  <c r="I309" i="2" s="1"/>
  <c r="J309" i="2" s="1"/>
  <c r="K309" i="2" s="1"/>
  <c r="L309" i="2" s="1"/>
  <c r="M309" i="2" s="1"/>
  <c r="N309" i="2" s="1"/>
  <c r="O309" i="2" s="1"/>
  <c r="P309" i="2" s="1"/>
  <c r="H301" i="2"/>
  <c r="I301" i="2" s="1"/>
  <c r="J301" i="2" s="1"/>
  <c r="K301" i="2" s="1"/>
  <c r="L301" i="2" s="1"/>
  <c r="M301" i="2" s="1"/>
  <c r="N301" i="2" s="1"/>
  <c r="O301" i="2" s="1"/>
  <c r="P301" i="2" s="1"/>
  <c r="H293" i="2"/>
  <c r="I293" i="2" s="1"/>
  <c r="J293" i="2" s="1"/>
  <c r="K293" i="2" s="1"/>
  <c r="L293" i="2" s="1"/>
  <c r="M293" i="2" s="1"/>
  <c r="N293" i="2" s="1"/>
  <c r="O293" i="2" s="1"/>
  <c r="P293" i="2" s="1"/>
  <c r="H285" i="2"/>
  <c r="I285" i="2" s="1"/>
  <c r="J285" i="2" s="1"/>
  <c r="K285" i="2" s="1"/>
  <c r="L285" i="2" s="1"/>
  <c r="M285" i="2" s="1"/>
  <c r="N285" i="2" s="1"/>
  <c r="O285" i="2" s="1"/>
  <c r="P285" i="2" s="1"/>
  <c r="H277" i="2"/>
  <c r="I277" i="2" s="1"/>
  <c r="J277" i="2" s="1"/>
  <c r="K277" i="2" s="1"/>
  <c r="L277" i="2" s="1"/>
  <c r="M277" i="2" s="1"/>
  <c r="N277" i="2" s="1"/>
  <c r="O277" i="2" s="1"/>
  <c r="P277" i="2" s="1"/>
  <c r="H269" i="2"/>
  <c r="I269" i="2" s="1"/>
  <c r="J269" i="2" s="1"/>
  <c r="K269" i="2" s="1"/>
  <c r="L269" i="2" s="1"/>
  <c r="M269" i="2" s="1"/>
  <c r="N269" i="2" s="1"/>
  <c r="O269" i="2" s="1"/>
  <c r="P269" i="2" s="1"/>
  <c r="H261" i="2"/>
  <c r="I261" i="2" s="1"/>
  <c r="J261" i="2" s="1"/>
  <c r="K261" i="2" s="1"/>
  <c r="L261" i="2" s="1"/>
  <c r="M261" i="2" s="1"/>
  <c r="N261" i="2" s="1"/>
  <c r="O261" i="2" s="1"/>
  <c r="P261" i="2" s="1"/>
  <c r="H253" i="2"/>
  <c r="I253" i="2" s="1"/>
  <c r="J253" i="2" s="1"/>
  <c r="K253" i="2" s="1"/>
  <c r="L253" i="2" s="1"/>
  <c r="M253" i="2" s="1"/>
  <c r="N253" i="2" s="1"/>
  <c r="O253" i="2" s="1"/>
  <c r="P253" i="2" s="1"/>
  <c r="H245" i="2"/>
  <c r="I245" i="2" s="1"/>
  <c r="J245" i="2" s="1"/>
  <c r="K245" i="2" s="1"/>
  <c r="L245" i="2" s="1"/>
  <c r="M245" i="2" s="1"/>
  <c r="N245" i="2" s="1"/>
  <c r="O245" i="2" s="1"/>
  <c r="P245" i="2" s="1"/>
  <c r="H237" i="2"/>
  <c r="I237" i="2" s="1"/>
  <c r="J237" i="2" s="1"/>
  <c r="K237" i="2" s="1"/>
  <c r="L237" i="2" s="1"/>
  <c r="M237" i="2" s="1"/>
  <c r="N237" i="2" s="1"/>
  <c r="O237" i="2" s="1"/>
  <c r="P237" i="2" s="1"/>
  <c r="H229" i="2"/>
  <c r="I229" i="2" s="1"/>
  <c r="J229" i="2" s="1"/>
  <c r="K229" i="2" s="1"/>
  <c r="L229" i="2" s="1"/>
  <c r="M229" i="2" s="1"/>
  <c r="N229" i="2" s="1"/>
  <c r="O229" i="2" s="1"/>
  <c r="P229" i="2" s="1"/>
  <c r="H221" i="2"/>
  <c r="I221" i="2" s="1"/>
  <c r="J221" i="2" s="1"/>
  <c r="K221" i="2" s="1"/>
  <c r="L221" i="2" s="1"/>
  <c r="M221" i="2" s="1"/>
  <c r="N221" i="2" s="1"/>
  <c r="O221" i="2" s="1"/>
  <c r="P221" i="2" s="1"/>
  <c r="H213" i="2"/>
  <c r="I213" i="2" s="1"/>
  <c r="J213" i="2" s="1"/>
  <c r="K213" i="2" s="1"/>
  <c r="L213" i="2" s="1"/>
  <c r="M213" i="2" s="1"/>
  <c r="N213" i="2" s="1"/>
  <c r="O213" i="2" s="1"/>
  <c r="P213" i="2" s="1"/>
  <c r="Q1001" i="2"/>
  <c r="R1001" i="2" s="1"/>
  <c r="S1001" i="2" s="1"/>
  <c r="Q982" i="2"/>
  <c r="R982" i="2" s="1"/>
  <c r="S982" i="2" s="1"/>
  <c r="Q960" i="2"/>
  <c r="R960" i="2" s="1"/>
  <c r="S960" i="2" s="1"/>
  <c r="Q937" i="2"/>
  <c r="R937" i="2" s="1"/>
  <c r="S937" i="2" s="1"/>
  <c r="Q918" i="2"/>
  <c r="R918" i="2" s="1"/>
  <c r="S918" i="2" s="1"/>
  <c r="Q896" i="2"/>
  <c r="R896" i="2" s="1"/>
  <c r="S896" i="2" s="1"/>
  <c r="Q873" i="2"/>
  <c r="R873" i="2" s="1"/>
  <c r="S873" i="2" s="1"/>
  <c r="Q854" i="2"/>
  <c r="R854" i="2" s="1"/>
  <c r="S854" i="2" s="1"/>
  <c r="Q832" i="2"/>
  <c r="R832" i="2" s="1"/>
  <c r="S832" i="2" s="1"/>
  <c r="Q809" i="2"/>
  <c r="R809" i="2" s="1"/>
  <c r="S809" i="2" s="1"/>
  <c r="Q790" i="2"/>
  <c r="R790" i="2" s="1"/>
  <c r="S790" i="2" s="1"/>
  <c r="Q768" i="2"/>
  <c r="R768" i="2" s="1"/>
  <c r="S768" i="2" s="1"/>
  <c r="Q745" i="2"/>
  <c r="R745" i="2" s="1"/>
  <c r="S745" i="2" s="1"/>
  <c r="Q726" i="2"/>
  <c r="R726" i="2" s="1"/>
  <c r="S726" i="2" s="1"/>
  <c r="Q704" i="2"/>
  <c r="R704" i="2" s="1"/>
  <c r="S704" i="2" s="1"/>
  <c r="Q678" i="2"/>
  <c r="R678" i="2" s="1"/>
  <c r="S678" i="2" s="1"/>
  <c r="Q647" i="2"/>
  <c r="R647" i="2" s="1"/>
  <c r="S647" i="2" s="1"/>
  <c r="Q611" i="2"/>
  <c r="R611" i="2" s="1"/>
  <c r="S611" i="2" s="1"/>
  <c r="Q574" i="2"/>
  <c r="R574" i="2" s="1"/>
  <c r="S574" i="2" s="1"/>
  <c r="Q523" i="2"/>
  <c r="R523" i="2" s="1"/>
  <c r="S523" i="2" s="1"/>
  <c r="Q464" i="2"/>
  <c r="R464" i="2" s="1"/>
  <c r="S464" i="2" s="1"/>
  <c r="Q403" i="2"/>
  <c r="R403" i="2" s="1"/>
  <c r="S403" i="2" s="1"/>
  <c r="Q267" i="2"/>
  <c r="R267" i="2" s="1"/>
  <c r="S267" i="2" s="1"/>
  <c r="Q96" i="2"/>
  <c r="R96" i="2" s="1"/>
  <c r="S96" i="2" s="1"/>
  <c r="H649" i="2"/>
  <c r="I649" i="2" s="1"/>
  <c r="J649" i="2" s="1"/>
  <c r="K649" i="2" s="1"/>
  <c r="L649" i="2" s="1"/>
  <c r="M649" i="2" s="1"/>
  <c r="N649" i="2" s="1"/>
  <c r="O649" i="2" s="1"/>
  <c r="P649" i="2" s="1"/>
  <c r="H601" i="2"/>
  <c r="I601" i="2" s="1"/>
  <c r="J601" i="2" s="1"/>
  <c r="K601" i="2" s="1"/>
  <c r="L601" i="2" s="1"/>
  <c r="M601" i="2" s="1"/>
  <c r="N601" i="2" s="1"/>
  <c r="O601" i="2" s="1"/>
  <c r="P601" i="2" s="1"/>
  <c r="H553" i="2"/>
  <c r="I553" i="2" s="1"/>
  <c r="J553" i="2" s="1"/>
  <c r="K553" i="2" s="1"/>
  <c r="L553" i="2" s="1"/>
  <c r="M553" i="2" s="1"/>
  <c r="N553" i="2" s="1"/>
  <c r="O553" i="2" s="1"/>
  <c r="P553" i="2" s="1"/>
  <c r="H505" i="2"/>
  <c r="I505" i="2" s="1"/>
  <c r="J505" i="2" s="1"/>
  <c r="K505" i="2" s="1"/>
  <c r="L505" i="2" s="1"/>
  <c r="M505" i="2" s="1"/>
  <c r="N505" i="2" s="1"/>
  <c r="O505" i="2" s="1"/>
  <c r="P505" i="2" s="1"/>
  <c r="H449" i="2"/>
  <c r="I449" i="2" s="1"/>
  <c r="J449" i="2" s="1"/>
  <c r="K449" i="2" s="1"/>
  <c r="L449" i="2" s="1"/>
  <c r="M449" i="2" s="1"/>
  <c r="N449" i="2" s="1"/>
  <c r="O449" i="2" s="1"/>
  <c r="P449" i="2" s="1"/>
  <c r="H393" i="2"/>
  <c r="I393" i="2" s="1"/>
  <c r="J393" i="2" s="1"/>
  <c r="K393" i="2" s="1"/>
  <c r="L393" i="2" s="1"/>
  <c r="M393" i="2" s="1"/>
  <c r="N393" i="2" s="1"/>
  <c r="O393" i="2" s="1"/>
  <c r="P393" i="2" s="1"/>
  <c r="H345" i="2"/>
  <c r="I345" i="2" s="1"/>
  <c r="J345" i="2" s="1"/>
  <c r="K345" i="2" s="1"/>
  <c r="L345" i="2" s="1"/>
  <c r="M345" i="2" s="1"/>
  <c r="N345" i="2" s="1"/>
  <c r="O345" i="2" s="1"/>
  <c r="P345" i="2" s="1"/>
  <c r="H273" i="2"/>
  <c r="I273" i="2" s="1"/>
  <c r="J273" i="2" s="1"/>
  <c r="K273" i="2" s="1"/>
  <c r="L273" i="2" s="1"/>
  <c r="M273" i="2" s="1"/>
  <c r="N273" i="2" s="1"/>
  <c r="O273" i="2" s="1"/>
  <c r="P273" i="2" s="1"/>
  <c r="H217" i="2"/>
  <c r="I217" i="2" s="1"/>
  <c r="J217" i="2" s="1"/>
  <c r="K217" i="2" s="1"/>
  <c r="L217" i="2" s="1"/>
  <c r="M217" i="2" s="1"/>
  <c r="N217" i="2" s="1"/>
  <c r="O217" i="2" s="1"/>
  <c r="P217" i="2" s="1"/>
  <c r="H177" i="2"/>
  <c r="I177" i="2" s="1"/>
  <c r="J177" i="2" s="1"/>
  <c r="K177" i="2" s="1"/>
  <c r="L177" i="2" s="1"/>
  <c r="M177" i="2" s="1"/>
  <c r="N177" i="2" s="1"/>
  <c r="O177" i="2" s="1"/>
  <c r="P177" i="2" s="1"/>
  <c r="H137" i="2"/>
  <c r="I137" i="2" s="1"/>
  <c r="J137" i="2" s="1"/>
  <c r="K137" i="2" s="1"/>
  <c r="L137" i="2" s="1"/>
  <c r="M137" i="2" s="1"/>
  <c r="N137" i="2" s="1"/>
  <c r="O137" i="2" s="1"/>
  <c r="P137" i="2" s="1"/>
  <c r="H89" i="2"/>
  <c r="I89" i="2" s="1"/>
  <c r="J89" i="2" s="1"/>
  <c r="K89" i="2" s="1"/>
  <c r="L89" i="2" s="1"/>
  <c r="M89" i="2" s="1"/>
  <c r="N89" i="2" s="1"/>
  <c r="O89" i="2" s="1"/>
  <c r="P89" i="2" s="1"/>
  <c r="H33" i="2"/>
  <c r="I33" i="2" s="1"/>
  <c r="J33" i="2" s="1"/>
  <c r="K33" i="2" s="1"/>
  <c r="L33" i="2" s="1"/>
  <c r="M33" i="2" s="1"/>
  <c r="N33" i="2" s="1"/>
  <c r="O33" i="2" s="1"/>
  <c r="P33" i="2" s="1"/>
  <c r="Q969" i="2"/>
  <c r="R969" i="2" s="1"/>
  <c r="S969" i="2" s="1"/>
  <c r="Q777" i="2"/>
  <c r="R777" i="2" s="1"/>
  <c r="S777" i="2" s="1"/>
  <c r="Q713" i="2"/>
  <c r="R713" i="2" s="1"/>
  <c r="S713" i="2" s="1"/>
  <c r="H1004" i="2"/>
  <c r="I1004" i="2" s="1"/>
  <c r="J1004" i="2" s="1"/>
  <c r="K1004" i="2" s="1"/>
  <c r="L1004" i="2" s="1"/>
  <c r="M1004" i="2" s="1"/>
  <c r="N1004" i="2" s="1"/>
  <c r="O1004" i="2" s="1"/>
  <c r="P1004" i="2" s="1"/>
  <c r="H996" i="2"/>
  <c r="I996" i="2" s="1"/>
  <c r="J996" i="2" s="1"/>
  <c r="K996" i="2" s="1"/>
  <c r="L996" i="2" s="1"/>
  <c r="M996" i="2" s="1"/>
  <c r="N996" i="2" s="1"/>
  <c r="O996" i="2" s="1"/>
  <c r="P996" i="2" s="1"/>
  <c r="H988" i="2"/>
  <c r="I988" i="2" s="1"/>
  <c r="J988" i="2" s="1"/>
  <c r="K988" i="2" s="1"/>
  <c r="L988" i="2" s="1"/>
  <c r="M988" i="2" s="1"/>
  <c r="N988" i="2" s="1"/>
  <c r="O988" i="2" s="1"/>
  <c r="P988" i="2" s="1"/>
  <c r="H980" i="2"/>
  <c r="I980" i="2" s="1"/>
  <c r="J980" i="2" s="1"/>
  <c r="K980" i="2" s="1"/>
  <c r="L980" i="2" s="1"/>
  <c r="M980" i="2" s="1"/>
  <c r="N980" i="2" s="1"/>
  <c r="O980" i="2" s="1"/>
  <c r="P980" i="2" s="1"/>
  <c r="H972" i="2"/>
  <c r="I972" i="2" s="1"/>
  <c r="J972" i="2" s="1"/>
  <c r="K972" i="2" s="1"/>
  <c r="L972" i="2" s="1"/>
  <c r="M972" i="2" s="1"/>
  <c r="N972" i="2" s="1"/>
  <c r="O972" i="2" s="1"/>
  <c r="P972" i="2" s="1"/>
  <c r="H964" i="2"/>
  <c r="I964" i="2" s="1"/>
  <c r="J964" i="2" s="1"/>
  <c r="K964" i="2" s="1"/>
  <c r="L964" i="2" s="1"/>
  <c r="M964" i="2" s="1"/>
  <c r="N964" i="2" s="1"/>
  <c r="O964" i="2" s="1"/>
  <c r="P964" i="2" s="1"/>
  <c r="H956" i="2"/>
  <c r="I956" i="2" s="1"/>
  <c r="J956" i="2" s="1"/>
  <c r="K956" i="2" s="1"/>
  <c r="L956" i="2" s="1"/>
  <c r="M956" i="2" s="1"/>
  <c r="N956" i="2" s="1"/>
  <c r="O956" i="2" s="1"/>
  <c r="P956" i="2" s="1"/>
  <c r="H948" i="2"/>
  <c r="I948" i="2" s="1"/>
  <c r="J948" i="2" s="1"/>
  <c r="K948" i="2" s="1"/>
  <c r="L948" i="2" s="1"/>
  <c r="M948" i="2" s="1"/>
  <c r="N948" i="2" s="1"/>
  <c r="O948" i="2" s="1"/>
  <c r="P948" i="2" s="1"/>
  <c r="H940" i="2"/>
  <c r="I940" i="2" s="1"/>
  <c r="J940" i="2" s="1"/>
  <c r="K940" i="2" s="1"/>
  <c r="L940" i="2" s="1"/>
  <c r="M940" i="2" s="1"/>
  <c r="N940" i="2" s="1"/>
  <c r="O940" i="2" s="1"/>
  <c r="P940" i="2" s="1"/>
  <c r="H932" i="2"/>
  <c r="I932" i="2" s="1"/>
  <c r="J932" i="2" s="1"/>
  <c r="K932" i="2" s="1"/>
  <c r="L932" i="2" s="1"/>
  <c r="M932" i="2" s="1"/>
  <c r="N932" i="2" s="1"/>
  <c r="O932" i="2" s="1"/>
  <c r="P932" i="2" s="1"/>
  <c r="H924" i="2"/>
  <c r="I924" i="2" s="1"/>
  <c r="J924" i="2" s="1"/>
  <c r="K924" i="2" s="1"/>
  <c r="L924" i="2" s="1"/>
  <c r="M924" i="2" s="1"/>
  <c r="N924" i="2" s="1"/>
  <c r="O924" i="2" s="1"/>
  <c r="P924" i="2" s="1"/>
  <c r="H916" i="2"/>
  <c r="I916" i="2" s="1"/>
  <c r="J916" i="2" s="1"/>
  <c r="K916" i="2" s="1"/>
  <c r="L916" i="2" s="1"/>
  <c r="M916" i="2" s="1"/>
  <c r="N916" i="2" s="1"/>
  <c r="O916" i="2" s="1"/>
  <c r="P916" i="2" s="1"/>
  <c r="H908" i="2"/>
  <c r="I908" i="2" s="1"/>
  <c r="J908" i="2" s="1"/>
  <c r="K908" i="2" s="1"/>
  <c r="L908" i="2" s="1"/>
  <c r="M908" i="2" s="1"/>
  <c r="N908" i="2" s="1"/>
  <c r="O908" i="2" s="1"/>
  <c r="P908" i="2" s="1"/>
  <c r="H900" i="2"/>
  <c r="I900" i="2" s="1"/>
  <c r="J900" i="2" s="1"/>
  <c r="K900" i="2" s="1"/>
  <c r="L900" i="2" s="1"/>
  <c r="M900" i="2" s="1"/>
  <c r="N900" i="2" s="1"/>
  <c r="O900" i="2" s="1"/>
  <c r="P900" i="2" s="1"/>
  <c r="H892" i="2"/>
  <c r="I892" i="2" s="1"/>
  <c r="J892" i="2" s="1"/>
  <c r="K892" i="2" s="1"/>
  <c r="L892" i="2" s="1"/>
  <c r="M892" i="2" s="1"/>
  <c r="N892" i="2" s="1"/>
  <c r="O892" i="2" s="1"/>
  <c r="P892" i="2" s="1"/>
  <c r="H884" i="2"/>
  <c r="I884" i="2" s="1"/>
  <c r="J884" i="2" s="1"/>
  <c r="K884" i="2" s="1"/>
  <c r="L884" i="2" s="1"/>
  <c r="M884" i="2" s="1"/>
  <c r="N884" i="2" s="1"/>
  <c r="O884" i="2" s="1"/>
  <c r="P884" i="2" s="1"/>
  <c r="H876" i="2"/>
  <c r="I876" i="2" s="1"/>
  <c r="J876" i="2" s="1"/>
  <c r="K876" i="2" s="1"/>
  <c r="L876" i="2" s="1"/>
  <c r="M876" i="2" s="1"/>
  <c r="N876" i="2" s="1"/>
  <c r="O876" i="2" s="1"/>
  <c r="P876" i="2" s="1"/>
  <c r="H868" i="2"/>
  <c r="I868" i="2" s="1"/>
  <c r="J868" i="2" s="1"/>
  <c r="K868" i="2" s="1"/>
  <c r="L868" i="2" s="1"/>
  <c r="M868" i="2" s="1"/>
  <c r="N868" i="2" s="1"/>
  <c r="O868" i="2" s="1"/>
  <c r="P868" i="2" s="1"/>
  <c r="H860" i="2"/>
  <c r="I860" i="2" s="1"/>
  <c r="J860" i="2" s="1"/>
  <c r="K860" i="2" s="1"/>
  <c r="L860" i="2" s="1"/>
  <c r="M860" i="2" s="1"/>
  <c r="N860" i="2" s="1"/>
  <c r="O860" i="2" s="1"/>
  <c r="P860" i="2" s="1"/>
  <c r="H852" i="2"/>
  <c r="I852" i="2" s="1"/>
  <c r="J852" i="2" s="1"/>
  <c r="K852" i="2" s="1"/>
  <c r="L852" i="2" s="1"/>
  <c r="M852" i="2" s="1"/>
  <c r="N852" i="2" s="1"/>
  <c r="O852" i="2" s="1"/>
  <c r="P852" i="2" s="1"/>
  <c r="H844" i="2"/>
  <c r="I844" i="2" s="1"/>
  <c r="J844" i="2" s="1"/>
  <c r="K844" i="2" s="1"/>
  <c r="L844" i="2" s="1"/>
  <c r="M844" i="2" s="1"/>
  <c r="N844" i="2" s="1"/>
  <c r="O844" i="2" s="1"/>
  <c r="P844" i="2" s="1"/>
  <c r="H836" i="2"/>
  <c r="I836" i="2" s="1"/>
  <c r="J836" i="2" s="1"/>
  <c r="K836" i="2" s="1"/>
  <c r="L836" i="2" s="1"/>
  <c r="M836" i="2" s="1"/>
  <c r="N836" i="2" s="1"/>
  <c r="O836" i="2" s="1"/>
  <c r="P836" i="2" s="1"/>
  <c r="H828" i="2"/>
  <c r="I828" i="2" s="1"/>
  <c r="J828" i="2" s="1"/>
  <c r="K828" i="2" s="1"/>
  <c r="L828" i="2" s="1"/>
  <c r="M828" i="2" s="1"/>
  <c r="N828" i="2" s="1"/>
  <c r="O828" i="2" s="1"/>
  <c r="P828" i="2" s="1"/>
  <c r="H820" i="2"/>
  <c r="I820" i="2" s="1"/>
  <c r="J820" i="2" s="1"/>
  <c r="K820" i="2" s="1"/>
  <c r="L820" i="2" s="1"/>
  <c r="M820" i="2" s="1"/>
  <c r="N820" i="2" s="1"/>
  <c r="O820" i="2" s="1"/>
  <c r="P820" i="2" s="1"/>
  <c r="H812" i="2"/>
  <c r="I812" i="2" s="1"/>
  <c r="J812" i="2" s="1"/>
  <c r="K812" i="2" s="1"/>
  <c r="L812" i="2" s="1"/>
  <c r="M812" i="2" s="1"/>
  <c r="N812" i="2" s="1"/>
  <c r="O812" i="2" s="1"/>
  <c r="P812" i="2" s="1"/>
  <c r="H804" i="2"/>
  <c r="I804" i="2" s="1"/>
  <c r="J804" i="2" s="1"/>
  <c r="K804" i="2" s="1"/>
  <c r="L804" i="2" s="1"/>
  <c r="M804" i="2" s="1"/>
  <c r="N804" i="2" s="1"/>
  <c r="O804" i="2" s="1"/>
  <c r="P804" i="2" s="1"/>
  <c r="H796" i="2"/>
  <c r="I796" i="2" s="1"/>
  <c r="J796" i="2" s="1"/>
  <c r="K796" i="2" s="1"/>
  <c r="L796" i="2" s="1"/>
  <c r="M796" i="2" s="1"/>
  <c r="N796" i="2" s="1"/>
  <c r="O796" i="2" s="1"/>
  <c r="P796" i="2" s="1"/>
  <c r="H788" i="2"/>
  <c r="I788" i="2" s="1"/>
  <c r="J788" i="2" s="1"/>
  <c r="K788" i="2" s="1"/>
  <c r="L788" i="2" s="1"/>
  <c r="M788" i="2" s="1"/>
  <c r="N788" i="2" s="1"/>
  <c r="O788" i="2" s="1"/>
  <c r="P788" i="2" s="1"/>
  <c r="H780" i="2"/>
  <c r="I780" i="2" s="1"/>
  <c r="J780" i="2" s="1"/>
  <c r="K780" i="2" s="1"/>
  <c r="L780" i="2" s="1"/>
  <c r="M780" i="2" s="1"/>
  <c r="N780" i="2" s="1"/>
  <c r="O780" i="2" s="1"/>
  <c r="P780" i="2" s="1"/>
  <c r="H772" i="2"/>
  <c r="I772" i="2" s="1"/>
  <c r="J772" i="2" s="1"/>
  <c r="K772" i="2" s="1"/>
  <c r="L772" i="2" s="1"/>
  <c r="M772" i="2" s="1"/>
  <c r="N772" i="2" s="1"/>
  <c r="O772" i="2" s="1"/>
  <c r="P772" i="2" s="1"/>
  <c r="H764" i="2"/>
  <c r="I764" i="2" s="1"/>
  <c r="J764" i="2" s="1"/>
  <c r="K764" i="2" s="1"/>
  <c r="L764" i="2" s="1"/>
  <c r="M764" i="2" s="1"/>
  <c r="N764" i="2" s="1"/>
  <c r="O764" i="2" s="1"/>
  <c r="P764" i="2" s="1"/>
  <c r="H756" i="2"/>
  <c r="I756" i="2" s="1"/>
  <c r="J756" i="2" s="1"/>
  <c r="K756" i="2" s="1"/>
  <c r="L756" i="2" s="1"/>
  <c r="M756" i="2" s="1"/>
  <c r="N756" i="2" s="1"/>
  <c r="O756" i="2" s="1"/>
  <c r="P756" i="2" s="1"/>
  <c r="H748" i="2"/>
  <c r="I748" i="2" s="1"/>
  <c r="J748" i="2" s="1"/>
  <c r="K748" i="2" s="1"/>
  <c r="L748" i="2" s="1"/>
  <c r="M748" i="2" s="1"/>
  <c r="N748" i="2" s="1"/>
  <c r="O748" i="2" s="1"/>
  <c r="P748" i="2" s="1"/>
  <c r="H740" i="2"/>
  <c r="I740" i="2" s="1"/>
  <c r="J740" i="2" s="1"/>
  <c r="K740" i="2" s="1"/>
  <c r="L740" i="2" s="1"/>
  <c r="M740" i="2" s="1"/>
  <c r="N740" i="2" s="1"/>
  <c r="O740" i="2" s="1"/>
  <c r="P740" i="2" s="1"/>
  <c r="H732" i="2"/>
  <c r="I732" i="2" s="1"/>
  <c r="J732" i="2" s="1"/>
  <c r="K732" i="2" s="1"/>
  <c r="L732" i="2" s="1"/>
  <c r="M732" i="2" s="1"/>
  <c r="N732" i="2" s="1"/>
  <c r="O732" i="2" s="1"/>
  <c r="P732" i="2" s="1"/>
  <c r="H724" i="2"/>
  <c r="I724" i="2" s="1"/>
  <c r="J724" i="2" s="1"/>
  <c r="K724" i="2" s="1"/>
  <c r="L724" i="2" s="1"/>
  <c r="M724" i="2" s="1"/>
  <c r="N724" i="2" s="1"/>
  <c r="O724" i="2" s="1"/>
  <c r="P724" i="2" s="1"/>
  <c r="H716" i="2"/>
  <c r="I716" i="2" s="1"/>
  <c r="J716" i="2" s="1"/>
  <c r="K716" i="2" s="1"/>
  <c r="L716" i="2" s="1"/>
  <c r="M716" i="2" s="1"/>
  <c r="N716" i="2" s="1"/>
  <c r="O716" i="2" s="1"/>
  <c r="P716" i="2" s="1"/>
  <c r="H708" i="2"/>
  <c r="I708" i="2" s="1"/>
  <c r="J708" i="2" s="1"/>
  <c r="K708" i="2" s="1"/>
  <c r="L708" i="2" s="1"/>
  <c r="M708" i="2" s="1"/>
  <c r="N708" i="2" s="1"/>
  <c r="O708" i="2" s="1"/>
  <c r="P708" i="2" s="1"/>
  <c r="H700" i="2"/>
  <c r="I700" i="2" s="1"/>
  <c r="J700" i="2" s="1"/>
  <c r="K700" i="2" s="1"/>
  <c r="L700" i="2" s="1"/>
  <c r="M700" i="2" s="1"/>
  <c r="N700" i="2" s="1"/>
  <c r="O700" i="2" s="1"/>
  <c r="P700" i="2" s="1"/>
  <c r="H692" i="2"/>
  <c r="I692" i="2" s="1"/>
  <c r="J692" i="2" s="1"/>
  <c r="K692" i="2" s="1"/>
  <c r="L692" i="2" s="1"/>
  <c r="M692" i="2" s="1"/>
  <c r="N692" i="2" s="1"/>
  <c r="O692" i="2" s="1"/>
  <c r="P692" i="2" s="1"/>
  <c r="H684" i="2"/>
  <c r="I684" i="2" s="1"/>
  <c r="J684" i="2" s="1"/>
  <c r="K684" i="2" s="1"/>
  <c r="L684" i="2" s="1"/>
  <c r="M684" i="2" s="1"/>
  <c r="N684" i="2" s="1"/>
  <c r="O684" i="2" s="1"/>
  <c r="P684" i="2" s="1"/>
  <c r="H676" i="2"/>
  <c r="I676" i="2" s="1"/>
  <c r="J676" i="2" s="1"/>
  <c r="K676" i="2" s="1"/>
  <c r="L676" i="2" s="1"/>
  <c r="M676" i="2" s="1"/>
  <c r="N676" i="2" s="1"/>
  <c r="O676" i="2" s="1"/>
  <c r="P676" i="2" s="1"/>
  <c r="H668" i="2"/>
  <c r="I668" i="2" s="1"/>
  <c r="J668" i="2" s="1"/>
  <c r="K668" i="2" s="1"/>
  <c r="L668" i="2" s="1"/>
  <c r="M668" i="2" s="1"/>
  <c r="N668" i="2" s="1"/>
  <c r="O668" i="2" s="1"/>
  <c r="P668" i="2" s="1"/>
  <c r="H660" i="2"/>
  <c r="I660" i="2" s="1"/>
  <c r="J660" i="2" s="1"/>
  <c r="K660" i="2" s="1"/>
  <c r="L660" i="2" s="1"/>
  <c r="M660" i="2" s="1"/>
  <c r="N660" i="2" s="1"/>
  <c r="O660" i="2" s="1"/>
  <c r="P660" i="2" s="1"/>
  <c r="H652" i="2"/>
  <c r="I652" i="2" s="1"/>
  <c r="J652" i="2" s="1"/>
  <c r="K652" i="2" s="1"/>
  <c r="L652" i="2" s="1"/>
  <c r="M652" i="2" s="1"/>
  <c r="N652" i="2" s="1"/>
  <c r="O652" i="2" s="1"/>
  <c r="P652" i="2" s="1"/>
  <c r="H644" i="2"/>
  <c r="I644" i="2" s="1"/>
  <c r="J644" i="2" s="1"/>
  <c r="K644" i="2" s="1"/>
  <c r="L644" i="2" s="1"/>
  <c r="M644" i="2" s="1"/>
  <c r="N644" i="2" s="1"/>
  <c r="O644" i="2" s="1"/>
  <c r="P644" i="2" s="1"/>
  <c r="H636" i="2"/>
  <c r="I636" i="2" s="1"/>
  <c r="J636" i="2" s="1"/>
  <c r="K636" i="2" s="1"/>
  <c r="L636" i="2" s="1"/>
  <c r="M636" i="2" s="1"/>
  <c r="N636" i="2" s="1"/>
  <c r="O636" i="2" s="1"/>
  <c r="P636" i="2" s="1"/>
  <c r="H628" i="2"/>
  <c r="I628" i="2" s="1"/>
  <c r="J628" i="2" s="1"/>
  <c r="K628" i="2" s="1"/>
  <c r="L628" i="2" s="1"/>
  <c r="M628" i="2" s="1"/>
  <c r="N628" i="2" s="1"/>
  <c r="O628" i="2" s="1"/>
  <c r="P628" i="2" s="1"/>
  <c r="H620" i="2"/>
  <c r="I620" i="2" s="1"/>
  <c r="J620" i="2" s="1"/>
  <c r="K620" i="2" s="1"/>
  <c r="L620" i="2" s="1"/>
  <c r="M620" i="2" s="1"/>
  <c r="N620" i="2" s="1"/>
  <c r="O620" i="2" s="1"/>
  <c r="P620" i="2" s="1"/>
  <c r="H612" i="2"/>
  <c r="I612" i="2" s="1"/>
  <c r="J612" i="2" s="1"/>
  <c r="K612" i="2" s="1"/>
  <c r="L612" i="2" s="1"/>
  <c r="M612" i="2" s="1"/>
  <c r="N612" i="2" s="1"/>
  <c r="O612" i="2" s="1"/>
  <c r="P612" i="2" s="1"/>
  <c r="H604" i="2"/>
  <c r="I604" i="2" s="1"/>
  <c r="J604" i="2" s="1"/>
  <c r="K604" i="2" s="1"/>
  <c r="L604" i="2" s="1"/>
  <c r="M604" i="2" s="1"/>
  <c r="N604" i="2" s="1"/>
  <c r="O604" i="2" s="1"/>
  <c r="P604" i="2" s="1"/>
  <c r="H596" i="2"/>
  <c r="I596" i="2" s="1"/>
  <c r="J596" i="2" s="1"/>
  <c r="K596" i="2" s="1"/>
  <c r="L596" i="2" s="1"/>
  <c r="M596" i="2" s="1"/>
  <c r="N596" i="2" s="1"/>
  <c r="O596" i="2" s="1"/>
  <c r="P596" i="2" s="1"/>
  <c r="H588" i="2"/>
  <c r="I588" i="2" s="1"/>
  <c r="J588" i="2" s="1"/>
  <c r="K588" i="2" s="1"/>
  <c r="L588" i="2" s="1"/>
  <c r="M588" i="2" s="1"/>
  <c r="N588" i="2" s="1"/>
  <c r="O588" i="2" s="1"/>
  <c r="P588" i="2" s="1"/>
  <c r="H580" i="2"/>
  <c r="I580" i="2" s="1"/>
  <c r="J580" i="2" s="1"/>
  <c r="K580" i="2" s="1"/>
  <c r="L580" i="2" s="1"/>
  <c r="M580" i="2" s="1"/>
  <c r="N580" i="2" s="1"/>
  <c r="O580" i="2" s="1"/>
  <c r="P580" i="2" s="1"/>
  <c r="H572" i="2"/>
  <c r="I572" i="2" s="1"/>
  <c r="J572" i="2" s="1"/>
  <c r="K572" i="2" s="1"/>
  <c r="L572" i="2" s="1"/>
  <c r="M572" i="2" s="1"/>
  <c r="N572" i="2" s="1"/>
  <c r="O572" i="2" s="1"/>
  <c r="P572" i="2" s="1"/>
  <c r="H564" i="2"/>
  <c r="I564" i="2" s="1"/>
  <c r="J564" i="2" s="1"/>
  <c r="K564" i="2" s="1"/>
  <c r="L564" i="2" s="1"/>
  <c r="M564" i="2" s="1"/>
  <c r="N564" i="2" s="1"/>
  <c r="O564" i="2" s="1"/>
  <c r="P564" i="2" s="1"/>
  <c r="H556" i="2"/>
  <c r="I556" i="2" s="1"/>
  <c r="J556" i="2" s="1"/>
  <c r="K556" i="2" s="1"/>
  <c r="L556" i="2" s="1"/>
  <c r="M556" i="2" s="1"/>
  <c r="N556" i="2" s="1"/>
  <c r="O556" i="2" s="1"/>
  <c r="P556" i="2" s="1"/>
  <c r="H548" i="2"/>
  <c r="I548" i="2" s="1"/>
  <c r="J548" i="2" s="1"/>
  <c r="K548" i="2" s="1"/>
  <c r="L548" i="2" s="1"/>
  <c r="M548" i="2" s="1"/>
  <c r="N548" i="2" s="1"/>
  <c r="O548" i="2" s="1"/>
  <c r="P548" i="2" s="1"/>
  <c r="H540" i="2"/>
  <c r="I540" i="2" s="1"/>
  <c r="J540" i="2" s="1"/>
  <c r="K540" i="2" s="1"/>
  <c r="L540" i="2" s="1"/>
  <c r="M540" i="2" s="1"/>
  <c r="N540" i="2" s="1"/>
  <c r="O540" i="2" s="1"/>
  <c r="P540" i="2" s="1"/>
  <c r="H532" i="2"/>
  <c r="I532" i="2" s="1"/>
  <c r="J532" i="2" s="1"/>
  <c r="K532" i="2" s="1"/>
  <c r="L532" i="2" s="1"/>
  <c r="M532" i="2" s="1"/>
  <c r="N532" i="2" s="1"/>
  <c r="O532" i="2" s="1"/>
  <c r="P532" i="2" s="1"/>
  <c r="H524" i="2"/>
  <c r="I524" i="2" s="1"/>
  <c r="J524" i="2" s="1"/>
  <c r="K524" i="2" s="1"/>
  <c r="L524" i="2" s="1"/>
  <c r="M524" i="2" s="1"/>
  <c r="N524" i="2" s="1"/>
  <c r="O524" i="2" s="1"/>
  <c r="P524" i="2" s="1"/>
  <c r="H516" i="2"/>
  <c r="I516" i="2" s="1"/>
  <c r="J516" i="2" s="1"/>
  <c r="K516" i="2" s="1"/>
  <c r="L516" i="2" s="1"/>
  <c r="M516" i="2" s="1"/>
  <c r="N516" i="2" s="1"/>
  <c r="O516" i="2" s="1"/>
  <c r="P516" i="2" s="1"/>
  <c r="H508" i="2"/>
  <c r="I508" i="2" s="1"/>
  <c r="J508" i="2" s="1"/>
  <c r="K508" i="2" s="1"/>
  <c r="L508" i="2" s="1"/>
  <c r="M508" i="2" s="1"/>
  <c r="N508" i="2" s="1"/>
  <c r="O508" i="2" s="1"/>
  <c r="P508" i="2" s="1"/>
  <c r="H500" i="2"/>
  <c r="I500" i="2" s="1"/>
  <c r="J500" i="2" s="1"/>
  <c r="K500" i="2" s="1"/>
  <c r="L500" i="2" s="1"/>
  <c r="M500" i="2" s="1"/>
  <c r="N500" i="2" s="1"/>
  <c r="O500" i="2" s="1"/>
  <c r="P500" i="2" s="1"/>
  <c r="H492" i="2"/>
  <c r="I492" i="2" s="1"/>
  <c r="J492" i="2" s="1"/>
  <c r="K492" i="2" s="1"/>
  <c r="L492" i="2" s="1"/>
  <c r="M492" i="2" s="1"/>
  <c r="N492" i="2" s="1"/>
  <c r="O492" i="2" s="1"/>
  <c r="P492" i="2" s="1"/>
  <c r="H484" i="2"/>
  <c r="I484" i="2" s="1"/>
  <c r="J484" i="2" s="1"/>
  <c r="K484" i="2" s="1"/>
  <c r="L484" i="2" s="1"/>
  <c r="M484" i="2" s="1"/>
  <c r="N484" i="2" s="1"/>
  <c r="O484" i="2" s="1"/>
  <c r="P484" i="2" s="1"/>
  <c r="H476" i="2"/>
  <c r="I476" i="2" s="1"/>
  <c r="J476" i="2" s="1"/>
  <c r="K476" i="2" s="1"/>
  <c r="L476" i="2" s="1"/>
  <c r="M476" i="2" s="1"/>
  <c r="N476" i="2" s="1"/>
  <c r="O476" i="2" s="1"/>
  <c r="P476" i="2" s="1"/>
  <c r="H468" i="2"/>
  <c r="I468" i="2" s="1"/>
  <c r="J468" i="2" s="1"/>
  <c r="K468" i="2" s="1"/>
  <c r="L468" i="2" s="1"/>
  <c r="M468" i="2" s="1"/>
  <c r="N468" i="2" s="1"/>
  <c r="O468" i="2" s="1"/>
  <c r="P468" i="2" s="1"/>
  <c r="H460" i="2"/>
  <c r="I460" i="2" s="1"/>
  <c r="J460" i="2" s="1"/>
  <c r="K460" i="2" s="1"/>
  <c r="L460" i="2" s="1"/>
  <c r="M460" i="2" s="1"/>
  <c r="N460" i="2" s="1"/>
  <c r="O460" i="2" s="1"/>
  <c r="P460" i="2" s="1"/>
  <c r="H452" i="2"/>
  <c r="I452" i="2" s="1"/>
  <c r="J452" i="2" s="1"/>
  <c r="K452" i="2" s="1"/>
  <c r="L452" i="2" s="1"/>
  <c r="M452" i="2" s="1"/>
  <c r="N452" i="2" s="1"/>
  <c r="O452" i="2" s="1"/>
  <c r="P452" i="2" s="1"/>
  <c r="H444" i="2"/>
  <c r="I444" i="2" s="1"/>
  <c r="J444" i="2" s="1"/>
  <c r="K444" i="2" s="1"/>
  <c r="L444" i="2" s="1"/>
  <c r="M444" i="2" s="1"/>
  <c r="N444" i="2" s="1"/>
  <c r="O444" i="2" s="1"/>
  <c r="P444" i="2" s="1"/>
  <c r="H436" i="2"/>
  <c r="I436" i="2" s="1"/>
  <c r="J436" i="2" s="1"/>
  <c r="K436" i="2" s="1"/>
  <c r="L436" i="2" s="1"/>
  <c r="M436" i="2" s="1"/>
  <c r="N436" i="2" s="1"/>
  <c r="O436" i="2" s="1"/>
  <c r="P436" i="2" s="1"/>
  <c r="H428" i="2"/>
  <c r="I428" i="2" s="1"/>
  <c r="J428" i="2" s="1"/>
  <c r="K428" i="2" s="1"/>
  <c r="L428" i="2" s="1"/>
  <c r="M428" i="2" s="1"/>
  <c r="N428" i="2" s="1"/>
  <c r="O428" i="2" s="1"/>
  <c r="P428" i="2" s="1"/>
  <c r="H420" i="2"/>
  <c r="I420" i="2" s="1"/>
  <c r="J420" i="2" s="1"/>
  <c r="K420" i="2" s="1"/>
  <c r="L420" i="2" s="1"/>
  <c r="M420" i="2" s="1"/>
  <c r="N420" i="2" s="1"/>
  <c r="O420" i="2" s="1"/>
  <c r="P420" i="2" s="1"/>
  <c r="H412" i="2"/>
  <c r="I412" i="2" s="1"/>
  <c r="J412" i="2" s="1"/>
  <c r="K412" i="2" s="1"/>
  <c r="L412" i="2" s="1"/>
  <c r="M412" i="2" s="1"/>
  <c r="N412" i="2" s="1"/>
  <c r="O412" i="2" s="1"/>
  <c r="P412" i="2" s="1"/>
  <c r="H404" i="2"/>
  <c r="I404" i="2" s="1"/>
  <c r="J404" i="2" s="1"/>
  <c r="K404" i="2" s="1"/>
  <c r="L404" i="2" s="1"/>
  <c r="M404" i="2" s="1"/>
  <c r="N404" i="2" s="1"/>
  <c r="O404" i="2" s="1"/>
  <c r="P404" i="2" s="1"/>
  <c r="H396" i="2"/>
  <c r="I396" i="2" s="1"/>
  <c r="J396" i="2" s="1"/>
  <c r="K396" i="2" s="1"/>
  <c r="L396" i="2" s="1"/>
  <c r="M396" i="2" s="1"/>
  <c r="N396" i="2" s="1"/>
  <c r="O396" i="2" s="1"/>
  <c r="P396" i="2" s="1"/>
  <c r="H388" i="2"/>
  <c r="I388" i="2" s="1"/>
  <c r="J388" i="2" s="1"/>
  <c r="K388" i="2" s="1"/>
  <c r="L388" i="2" s="1"/>
  <c r="M388" i="2" s="1"/>
  <c r="N388" i="2" s="1"/>
  <c r="O388" i="2" s="1"/>
  <c r="P388" i="2" s="1"/>
  <c r="H380" i="2"/>
  <c r="I380" i="2" s="1"/>
  <c r="J380" i="2" s="1"/>
  <c r="K380" i="2" s="1"/>
  <c r="L380" i="2" s="1"/>
  <c r="M380" i="2" s="1"/>
  <c r="N380" i="2" s="1"/>
  <c r="O380" i="2" s="1"/>
  <c r="P380" i="2" s="1"/>
  <c r="H372" i="2"/>
  <c r="I372" i="2" s="1"/>
  <c r="J372" i="2" s="1"/>
  <c r="K372" i="2" s="1"/>
  <c r="L372" i="2" s="1"/>
  <c r="M372" i="2" s="1"/>
  <c r="N372" i="2" s="1"/>
  <c r="O372" i="2" s="1"/>
  <c r="P372" i="2" s="1"/>
  <c r="H364" i="2"/>
  <c r="I364" i="2" s="1"/>
  <c r="J364" i="2" s="1"/>
  <c r="K364" i="2" s="1"/>
  <c r="L364" i="2" s="1"/>
  <c r="M364" i="2" s="1"/>
  <c r="N364" i="2" s="1"/>
  <c r="O364" i="2" s="1"/>
  <c r="P364" i="2" s="1"/>
  <c r="H356" i="2"/>
  <c r="I356" i="2" s="1"/>
  <c r="J356" i="2" s="1"/>
  <c r="K356" i="2" s="1"/>
  <c r="L356" i="2" s="1"/>
  <c r="M356" i="2" s="1"/>
  <c r="N356" i="2" s="1"/>
  <c r="O356" i="2" s="1"/>
  <c r="P356" i="2" s="1"/>
  <c r="H348" i="2"/>
  <c r="I348" i="2" s="1"/>
  <c r="J348" i="2" s="1"/>
  <c r="K348" i="2" s="1"/>
  <c r="L348" i="2" s="1"/>
  <c r="M348" i="2" s="1"/>
  <c r="N348" i="2" s="1"/>
  <c r="O348" i="2" s="1"/>
  <c r="P348" i="2" s="1"/>
  <c r="H340" i="2"/>
  <c r="I340" i="2" s="1"/>
  <c r="J340" i="2" s="1"/>
  <c r="K340" i="2" s="1"/>
  <c r="L340" i="2" s="1"/>
  <c r="M340" i="2" s="1"/>
  <c r="N340" i="2" s="1"/>
  <c r="O340" i="2" s="1"/>
  <c r="P340" i="2" s="1"/>
  <c r="H332" i="2"/>
  <c r="I332" i="2" s="1"/>
  <c r="J332" i="2" s="1"/>
  <c r="K332" i="2" s="1"/>
  <c r="L332" i="2" s="1"/>
  <c r="M332" i="2" s="1"/>
  <c r="N332" i="2" s="1"/>
  <c r="O332" i="2" s="1"/>
  <c r="P332" i="2" s="1"/>
  <c r="H324" i="2"/>
  <c r="I324" i="2" s="1"/>
  <c r="J324" i="2" s="1"/>
  <c r="K324" i="2" s="1"/>
  <c r="L324" i="2" s="1"/>
  <c r="M324" i="2" s="1"/>
  <c r="N324" i="2" s="1"/>
  <c r="O324" i="2" s="1"/>
  <c r="P324" i="2" s="1"/>
  <c r="H316" i="2"/>
  <c r="I316" i="2" s="1"/>
  <c r="J316" i="2" s="1"/>
  <c r="K316" i="2" s="1"/>
  <c r="L316" i="2" s="1"/>
  <c r="M316" i="2" s="1"/>
  <c r="N316" i="2" s="1"/>
  <c r="O316" i="2" s="1"/>
  <c r="P316" i="2" s="1"/>
  <c r="H308" i="2"/>
  <c r="I308" i="2" s="1"/>
  <c r="J308" i="2" s="1"/>
  <c r="K308" i="2" s="1"/>
  <c r="L308" i="2" s="1"/>
  <c r="M308" i="2" s="1"/>
  <c r="N308" i="2" s="1"/>
  <c r="O308" i="2" s="1"/>
  <c r="P308" i="2" s="1"/>
  <c r="H300" i="2"/>
  <c r="I300" i="2" s="1"/>
  <c r="J300" i="2" s="1"/>
  <c r="K300" i="2" s="1"/>
  <c r="L300" i="2" s="1"/>
  <c r="M300" i="2" s="1"/>
  <c r="N300" i="2" s="1"/>
  <c r="O300" i="2" s="1"/>
  <c r="P300" i="2" s="1"/>
  <c r="H292" i="2"/>
  <c r="I292" i="2" s="1"/>
  <c r="J292" i="2" s="1"/>
  <c r="K292" i="2" s="1"/>
  <c r="L292" i="2" s="1"/>
  <c r="M292" i="2" s="1"/>
  <c r="N292" i="2" s="1"/>
  <c r="O292" i="2" s="1"/>
  <c r="P292" i="2" s="1"/>
  <c r="H284" i="2"/>
  <c r="I284" i="2" s="1"/>
  <c r="J284" i="2" s="1"/>
  <c r="K284" i="2" s="1"/>
  <c r="L284" i="2" s="1"/>
  <c r="M284" i="2" s="1"/>
  <c r="N284" i="2" s="1"/>
  <c r="O284" i="2" s="1"/>
  <c r="P284" i="2" s="1"/>
  <c r="H276" i="2"/>
  <c r="I276" i="2" s="1"/>
  <c r="J276" i="2" s="1"/>
  <c r="K276" i="2" s="1"/>
  <c r="L276" i="2" s="1"/>
  <c r="M276" i="2" s="1"/>
  <c r="N276" i="2" s="1"/>
  <c r="O276" i="2" s="1"/>
  <c r="P276" i="2" s="1"/>
  <c r="H268" i="2"/>
  <c r="I268" i="2" s="1"/>
  <c r="J268" i="2" s="1"/>
  <c r="K268" i="2" s="1"/>
  <c r="L268" i="2" s="1"/>
  <c r="M268" i="2" s="1"/>
  <c r="N268" i="2" s="1"/>
  <c r="O268" i="2" s="1"/>
  <c r="P268" i="2" s="1"/>
  <c r="H260" i="2"/>
  <c r="I260" i="2" s="1"/>
  <c r="J260" i="2" s="1"/>
  <c r="K260" i="2" s="1"/>
  <c r="L260" i="2" s="1"/>
  <c r="M260" i="2" s="1"/>
  <c r="N260" i="2" s="1"/>
  <c r="O260" i="2" s="1"/>
  <c r="P260" i="2" s="1"/>
  <c r="H252" i="2"/>
  <c r="I252" i="2" s="1"/>
  <c r="J252" i="2" s="1"/>
  <c r="K252" i="2" s="1"/>
  <c r="L252" i="2" s="1"/>
  <c r="M252" i="2" s="1"/>
  <c r="N252" i="2" s="1"/>
  <c r="O252" i="2" s="1"/>
  <c r="P252" i="2" s="1"/>
  <c r="H244" i="2"/>
  <c r="I244" i="2" s="1"/>
  <c r="J244" i="2" s="1"/>
  <c r="K244" i="2" s="1"/>
  <c r="L244" i="2" s="1"/>
  <c r="M244" i="2" s="1"/>
  <c r="N244" i="2" s="1"/>
  <c r="O244" i="2" s="1"/>
  <c r="P244" i="2" s="1"/>
  <c r="Q1000" i="2"/>
  <c r="R1000" i="2" s="1"/>
  <c r="S1000" i="2" s="1"/>
  <c r="Q977" i="2"/>
  <c r="R977" i="2" s="1"/>
  <c r="S977" i="2" s="1"/>
  <c r="Q958" i="2"/>
  <c r="R958" i="2" s="1"/>
  <c r="S958" i="2" s="1"/>
  <c r="Q936" i="2"/>
  <c r="R936" i="2" s="1"/>
  <c r="S936" i="2" s="1"/>
  <c r="Q913" i="2"/>
  <c r="R913" i="2" s="1"/>
  <c r="S913" i="2" s="1"/>
  <c r="Q894" i="2"/>
  <c r="R894" i="2" s="1"/>
  <c r="S894" i="2" s="1"/>
  <c r="Q872" i="2"/>
  <c r="R872" i="2" s="1"/>
  <c r="S872" i="2" s="1"/>
  <c r="Q849" i="2"/>
  <c r="R849" i="2" s="1"/>
  <c r="S849" i="2" s="1"/>
  <c r="Q830" i="2"/>
  <c r="R830" i="2" s="1"/>
  <c r="S830" i="2" s="1"/>
  <c r="Q808" i="2"/>
  <c r="R808" i="2" s="1"/>
  <c r="S808" i="2" s="1"/>
  <c r="Q785" i="2"/>
  <c r="R785" i="2" s="1"/>
  <c r="S785" i="2" s="1"/>
  <c r="Q766" i="2"/>
  <c r="R766" i="2" s="1"/>
  <c r="S766" i="2" s="1"/>
  <c r="Q744" i="2"/>
  <c r="R744" i="2" s="1"/>
  <c r="S744" i="2" s="1"/>
  <c r="Q721" i="2"/>
  <c r="R721" i="2" s="1"/>
  <c r="S721" i="2" s="1"/>
  <c r="Q702" i="2"/>
  <c r="R702" i="2" s="1"/>
  <c r="S702" i="2" s="1"/>
  <c r="Q675" i="2"/>
  <c r="R675" i="2" s="1"/>
  <c r="S675" i="2" s="1"/>
  <c r="Q639" i="2"/>
  <c r="R639" i="2" s="1"/>
  <c r="S639" i="2" s="1"/>
  <c r="Q608" i="2"/>
  <c r="R608" i="2" s="1"/>
  <c r="S608" i="2" s="1"/>
  <c r="Q571" i="2"/>
  <c r="R571" i="2" s="1"/>
  <c r="S571" i="2" s="1"/>
  <c r="Q510" i="2"/>
  <c r="R510" i="2" s="1"/>
  <c r="S510" i="2" s="1"/>
  <c r="Q459" i="2"/>
  <c r="R459" i="2" s="1"/>
  <c r="S459" i="2" s="1"/>
  <c r="Q400" i="2"/>
  <c r="R400" i="2" s="1"/>
  <c r="S400" i="2" s="1"/>
  <c r="Q246" i="2"/>
  <c r="R246" i="2" s="1"/>
  <c r="S246" i="2" s="1"/>
  <c r="Q75" i="2"/>
  <c r="R75" i="2" s="1"/>
  <c r="S75" i="2" s="1"/>
  <c r="H665" i="2"/>
  <c r="I665" i="2" s="1"/>
  <c r="J665" i="2" s="1"/>
  <c r="K665" i="2" s="1"/>
  <c r="L665" i="2" s="1"/>
  <c r="M665" i="2" s="1"/>
  <c r="N665" i="2" s="1"/>
  <c r="O665" i="2" s="1"/>
  <c r="P665" i="2" s="1"/>
  <c r="H609" i="2"/>
  <c r="I609" i="2" s="1"/>
  <c r="J609" i="2" s="1"/>
  <c r="K609" i="2" s="1"/>
  <c r="L609" i="2" s="1"/>
  <c r="M609" i="2" s="1"/>
  <c r="N609" i="2" s="1"/>
  <c r="O609" i="2" s="1"/>
  <c r="P609" i="2" s="1"/>
  <c r="H561" i="2"/>
  <c r="I561" i="2" s="1"/>
  <c r="J561" i="2" s="1"/>
  <c r="K561" i="2" s="1"/>
  <c r="L561" i="2" s="1"/>
  <c r="M561" i="2" s="1"/>
  <c r="N561" i="2" s="1"/>
  <c r="O561" i="2" s="1"/>
  <c r="P561" i="2" s="1"/>
  <c r="H497" i="2"/>
  <c r="I497" i="2" s="1"/>
  <c r="J497" i="2" s="1"/>
  <c r="K497" i="2" s="1"/>
  <c r="L497" i="2" s="1"/>
  <c r="M497" i="2" s="1"/>
  <c r="N497" i="2" s="1"/>
  <c r="O497" i="2" s="1"/>
  <c r="P497" i="2" s="1"/>
  <c r="H441" i="2"/>
  <c r="I441" i="2" s="1"/>
  <c r="J441" i="2" s="1"/>
  <c r="K441" i="2" s="1"/>
  <c r="L441" i="2" s="1"/>
  <c r="M441" i="2" s="1"/>
  <c r="N441" i="2" s="1"/>
  <c r="O441" i="2" s="1"/>
  <c r="P441" i="2" s="1"/>
  <c r="H385" i="2"/>
  <c r="I385" i="2" s="1"/>
  <c r="J385" i="2" s="1"/>
  <c r="K385" i="2" s="1"/>
  <c r="L385" i="2" s="1"/>
  <c r="M385" i="2" s="1"/>
  <c r="N385" i="2" s="1"/>
  <c r="O385" i="2" s="1"/>
  <c r="P385" i="2" s="1"/>
  <c r="H337" i="2"/>
  <c r="I337" i="2" s="1"/>
  <c r="J337" i="2" s="1"/>
  <c r="K337" i="2" s="1"/>
  <c r="L337" i="2" s="1"/>
  <c r="M337" i="2" s="1"/>
  <c r="N337" i="2" s="1"/>
  <c r="O337" i="2" s="1"/>
  <c r="P337" i="2" s="1"/>
  <c r="H297" i="2"/>
  <c r="I297" i="2" s="1"/>
  <c r="J297" i="2" s="1"/>
  <c r="K297" i="2" s="1"/>
  <c r="L297" i="2" s="1"/>
  <c r="M297" i="2" s="1"/>
  <c r="N297" i="2" s="1"/>
  <c r="O297" i="2" s="1"/>
  <c r="P297" i="2" s="1"/>
  <c r="H241" i="2"/>
  <c r="I241" i="2" s="1"/>
  <c r="J241" i="2" s="1"/>
  <c r="K241" i="2" s="1"/>
  <c r="L241" i="2" s="1"/>
  <c r="M241" i="2" s="1"/>
  <c r="N241" i="2" s="1"/>
  <c r="O241" i="2" s="1"/>
  <c r="P241" i="2" s="1"/>
  <c r="H193" i="2"/>
  <c r="I193" i="2" s="1"/>
  <c r="J193" i="2" s="1"/>
  <c r="K193" i="2" s="1"/>
  <c r="L193" i="2" s="1"/>
  <c r="M193" i="2" s="1"/>
  <c r="N193" i="2" s="1"/>
  <c r="O193" i="2" s="1"/>
  <c r="P193" i="2" s="1"/>
  <c r="H145" i="2"/>
  <c r="I145" i="2" s="1"/>
  <c r="J145" i="2" s="1"/>
  <c r="K145" i="2" s="1"/>
  <c r="L145" i="2" s="1"/>
  <c r="M145" i="2" s="1"/>
  <c r="N145" i="2" s="1"/>
  <c r="O145" i="2" s="1"/>
  <c r="P145" i="2" s="1"/>
  <c r="H81" i="2"/>
  <c r="I81" i="2" s="1"/>
  <c r="J81" i="2" s="1"/>
  <c r="K81" i="2" s="1"/>
  <c r="L81" i="2" s="1"/>
  <c r="M81" i="2" s="1"/>
  <c r="N81" i="2" s="1"/>
  <c r="O81" i="2" s="1"/>
  <c r="P81" i="2" s="1"/>
  <c r="H41" i="2"/>
  <c r="I41" i="2" s="1"/>
  <c r="J41" i="2" s="1"/>
  <c r="K41" i="2" s="1"/>
  <c r="L41" i="2" s="1"/>
  <c r="M41" i="2" s="1"/>
  <c r="N41" i="2" s="1"/>
  <c r="O41" i="2" s="1"/>
  <c r="P41" i="2" s="1"/>
  <c r="Q841" i="2"/>
  <c r="R841" i="2" s="1"/>
  <c r="S841" i="2" s="1"/>
  <c r="H1003" i="2"/>
  <c r="I1003" i="2" s="1"/>
  <c r="J1003" i="2" s="1"/>
  <c r="K1003" i="2" s="1"/>
  <c r="L1003" i="2" s="1"/>
  <c r="M1003" i="2" s="1"/>
  <c r="N1003" i="2" s="1"/>
  <c r="O1003" i="2" s="1"/>
  <c r="P1003" i="2" s="1"/>
  <c r="H987" i="2"/>
  <c r="I987" i="2" s="1"/>
  <c r="J987" i="2" s="1"/>
  <c r="K987" i="2" s="1"/>
  <c r="L987" i="2" s="1"/>
  <c r="M987" i="2" s="1"/>
  <c r="N987" i="2" s="1"/>
  <c r="O987" i="2" s="1"/>
  <c r="P987" i="2" s="1"/>
  <c r="H971" i="2"/>
  <c r="I971" i="2" s="1"/>
  <c r="J971" i="2" s="1"/>
  <c r="K971" i="2" s="1"/>
  <c r="L971" i="2" s="1"/>
  <c r="M971" i="2" s="1"/>
  <c r="N971" i="2" s="1"/>
  <c r="O971" i="2" s="1"/>
  <c r="P971" i="2" s="1"/>
  <c r="H955" i="2"/>
  <c r="I955" i="2" s="1"/>
  <c r="J955" i="2" s="1"/>
  <c r="K955" i="2" s="1"/>
  <c r="L955" i="2" s="1"/>
  <c r="M955" i="2" s="1"/>
  <c r="N955" i="2" s="1"/>
  <c r="O955" i="2" s="1"/>
  <c r="P955" i="2" s="1"/>
  <c r="H939" i="2"/>
  <c r="I939" i="2" s="1"/>
  <c r="J939" i="2" s="1"/>
  <c r="K939" i="2" s="1"/>
  <c r="L939" i="2" s="1"/>
  <c r="M939" i="2" s="1"/>
  <c r="N939" i="2" s="1"/>
  <c r="O939" i="2" s="1"/>
  <c r="P939" i="2" s="1"/>
  <c r="H923" i="2"/>
  <c r="I923" i="2" s="1"/>
  <c r="J923" i="2" s="1"/>
  <c r="K923" i="2" s="1"/>
  <c r="L923" i="2" s="1"/>
  <c r="M923" i="2" s="1"/>
  <c r="N923" i="2" s="1"/>
  <c r="O923" i="2" s="1"/>
  <c r="P923" i="2" s="1"/>
  <c r="H907" i="2"/>
  <c r="I907" i="2" s="1"/>
  <c r="J907" i="2" s="1"/>
  <c r="K907" i="2" s="1"/>
  <c r="L907" i="2" s="1"/>
  <c r="M907" i="2" s="1"/>
  <c r="N907" i="2" s="1"/>
  <c r="O907" i="2" s="1"/>
  <c r="P907" i="2" s="1"/>
  <c r="H891" i="2"/>
  <c r="I891" i="2" s="1"/>
  <c r="J891" i="2" s="1"/>
  <c r="K891" i="2" s="1"/>
  <c r="L891" i="2" s="1"/>
  <c r="M891" i="2" s="1"/>
  <c r="N891" i="2" s="1"/>
  <c r="O891" i="2" s="1"/>
  <c r="P891" i="2" s="1"/>
  <c r="H875" i="2"/>
  <c r="I875" i="2" s="1"/>
  <c r="J875" i="2" s="1"/>
  <c r="K875" i="2" s="1"/>
  <c r="L875" i="2" s="1"/>
  <c r="M875" i="2" s="1"/>
  <c r="N875" i="2" s="1"/>
  <c r="O875" i="2" s="1"/>
  <c r="P875" i="2" s="1"/>
  <c r="H859" i="2"/>
  <c r="I859" i="2" s="1"/>
  <c r="J859" i="2" s="1"/>
  <c r="K859" i="2" s="1"/>
  <c r="L859" i="2" s="1"/>
  <c r="M859" i="2" s="1"/>
  <c r="N859" i="2" s="1"/>
  <c r="O859" i="2" s="1"/>
  <c r="P859" i="2" s="1"/>
  <c r="H843" i="2"/>
  <c r="I843" i="2" s="1"/>
  <c r="J843" i="2" s="1"/>
  <c r="K843" i="2" s="1"/>
  <c r="L843" i="2" s="1"/>
  <c r="M843" i="2" s="1"/>
  <c r="N843" i="2" s="1"/>
  <c r="O843" i="2" s="1"/>
  <c r="P843" i="2" s="1"/>
  <c r="H827" i="2"/>
  <c r="I827" i="2" s="1"/>
  <c r="J827" i="2" s="1"/>
  <c r="K827" i="2" s="1"/>
  <c r="L827" i="2" s="1"/>
  <c r="M827" i="2" s="1"/>
  <c r="N827" i="2" s="1"/>
  <c r="O827" i="2" s="1"/>
  <c r="P827" i="2" s="1"/>
  <c r="H811" i="2"/>
  <c r="I811" i="2" s="1"/>
  <c r="J811" i="2" s="1"/>
  <c r="K811" i="2" s="1"/>
  <c r="L811" i="2" s="1"/>
  <c r="M811" i="2" s="1"/>
  <c r="N811" i="2" s="1"/>
  <c r="O811" i="2" s="1"/>
  <c r="P811" i="2" s="1"/>
  <c r="H795" i="2"/>
  <c r="I795" i="2" s="1"/>
  <c r="J795" i="2" s="1"/>
  <c r="K795" i="2" s="1"/>
  <c r="L795" i="2" s="1"/>
  <c r="M795" i="2" s="1"/>
  <c r="N795" i="2" s="1"/>
  <c r="O795" i="2" s="1"/>
  <c r="P795" i="2" s="1"/>
  <c r="H779" i="2"/>
  <c r="I779" i="2" s="1"/>
  <c r="J779" i="2" s="1"/>
  <c r="K779" i="2" s="1"/>
  <c r="L779" i="2" s="1"/>
  <c r="M779" i="2" s="1"/>
  <c r="N779" i="2" s="1"/>
  <c r="O779" i="2" s="1"/>
  <c r="P779" i="2" s="1"/>
  <c r="H763" i="2"/>
  <c r="I763" i="2" s="1"/>
  <c r="J763" i="2" s="1"/>
  <c r="K763" i="2" s="1"/>
  <c r="L763" i="2" s="1"/>
  <c r="M763" i="2" s="1"/>
  <c r="N763" i="2" s="1"/>
  <c r="O763" i="2" s="1"/>
  <c r="P763" i="2" s="1"/>
  <c r="H747" i="2"/>
  <c r="I747" i="2" s="1"/>
  <c r="J747" i="2" s="1"/>
  <c r="K747" i="2" s="1"/>
  <c r="L747" i="2" s="1"/>
  <c r="M747" i="2" s="1"/>
  <c r="N747" i="2" s="1"/>
  <c r="O747" i="2" s="1"/>
  <c r="P747" i="2" s="1"/>
  <c r="H739" i="2"/>
  <c r="I739" i="2" s="1"/>
  <c r="J739" i="2" s="1"/>
  <c r="K739" i="2" s="1"/>
  <c r="L739" i="2" s="1"/>
  <c r="M739" i="2" s="1"/>
  <c r="N739" i="2" s="1"/>
  <c r="O739" i="2" s="1"/>
  <c r="P739" i="2" s="1"/>
  <c r="H731" i="2"/>
  <c r="I731" i="2" s="1"/>
  <c r="J731" i="2" s="1"/>
  <c r="K731" i="2" s="1"/>
  <c r="L731" i="2" s="1"/>
  <c r="M731" i="2" s="1"/>
  <c r="N731" i="2" s="1"/>
  <c r="O731" i="2" s="1"/>
  <c r="P731" i="2" s="1"/>
  <c r="H723" i="2"/>
  <c r="I723" i="2" s="1"/>
  <c r="J723" i="2" s="1"/>
  <c r="K723" i="2" s="1"/>
  <c r="L723" i="2" s="1"/>
  <c r="M723" i="2" s="1"/>
  <c r="N723" i="2" s="1"/>
  <c r="O723" i="2" s="1"/>
  <c r="P723" i="2" s="1"/>
  <c r="H715" i="2"/>
  <c r="I715" i="2" s="1"/>
  <c r="J715" i="2" s="1"/>
  <c r="K715" i="2" s="1"/>
  <c r="L715" i="2" s="1"/>
  <c r="M715" i="2" s="1"/>
  <c r="N715" i="2" s="1"/>
  <c r="O715" i="2" s="1"/>
  <c r="P715" i="2" s="1"/>
  <c r="H707" i="2"/>
  <c r="I707" i="2" s="1"/>
  <c r="J707" i="2" s="1"/>
  <c r="K707" i="2" s="1"/>
  <c r="L707" i="2" s="1"/>
  <c r="M707" i="2" s="1"/>
  <c r="N707" i="2" s="1"/>
  <c r="O707" i="2" s="1"/>
  <c r="P707" i="2" s="1"/>
  <c r="H699" i="2"/>
  <c r="I699" i="2" s="1"/>
  <c r="J699" i="2" s="1"/>
  <c r="K699" i="2" s="1"/>
  <c r="L699" i="2" s="1"/>
  <c r="M699" i="2" s="1"/>
  <c r="N699" i="2" s="1"/>
  <c r="O699" i="2" s="1"/>
  <c r="P699" i="2" s="1"/>
  <c r="H691" i="2"/>
  <c r="I691" i="2" s="1"/>
  <c r="J691" i="2" s="1"/>
  <c r="K691" i="2" s="1"/>
  <c r="L691" i="2" s="1"/>
  <c r="M691" i="2" s="1"/>
  <c r="N691" i="2" s="1"/>
  <c r="O691" i="2" s="1"/>
  <c r="P691" i="2" s="1"/>
  <c r="H683" i="2"/>
  <c r="I683" i="2" s="1"/>
  <c r="J683" i="2" s="1"/>
  <c r="K683" i="2" s="1"/>
  <c r="L683" i="2" s="1"/>
  <c r="M683" i="2" s="1"/>
  <c r="N683" i="2" s="1"/>
  <c r="O683" i="2" s="1"/>
  <c r="P683" i="2" s="1"/>
  <c r="H643" i="2"/>
  <c r="I643" i="2" s="1"/>
  <c r="J643" i="2" s="1"/>
  <c r="K643" i="2" s="1"/>
  <c r="L643" i="2" s="1"/>
  <c r="M643" i="2" s="1"/>
  <c r="N643" i="2" s="1"/>
  <c r="O643" i="2" s="1"/>
  <c r="P643" i="2" s="1"/>
  <c r="H627" i="2"/>
  <c r="I627" i="2" s="1"/>
  <c r="J627" i="2" s="1"/>
  <c r="K627" i="2" s="1"/>
  <c r="L627" i="2" s="1"/>
  <c r="M627" i="2" s="1"/>
  <c r="N627" i="2" s="1"/>
  <c r="O627" i="2" s="1"/>
  <c r="P627" i="2" s="1"/>
  <c r="H603" i="2"/>
  <c r="I603" i="2" s="1"/>
  <c r="J603" i="2" s="1"/>
  <c r="K603" i="2" s="1"/>
  <c r="L603" i="2" s="1"/>
  <c r="M603" i="2" s="1"/>
  <c r="N603" i="2" s="1"/>
  <c r="O603" i="2" s="1"/>
  <c r="P603" i="2" s="1"/>
  <c r="H579" i="2"/>
  <c r="I579" i="2" s="1"/>
  <c r="J579" i="2" s="1"/>
  <c r="K579" i="2" s="1"/>
  <c r="L579" i="2" s="1"/>
  <c r="M579" i="2" s="1"/>
  <c r="N579" i="2" s="1"/>
  <c r="O579" i="2" s="1"/>
  <c r="P579" i="2" s="1"/>
  <c r="H563" i="2"/>
  <c r="I563" i="2" s="1"/>
  <c r="J563" i="2" s="1"/>
  <c r="K563" i="2" s="1"/>
  <c r="L563" i="2" s="1"/>
  <c r="M563" i="2" s="1"/>
  <c r="N563" i="2" s="1"/>
  <c r="O563" i="2" s="1"/>
  <c r="P563" i="2" s="1"/>
  <c r="H555" i="2"/>
  <c r="I555" i="2" s="1"/>
  <c r="J555" i="2" s="1"/>
  <c r="K555" i="2" s="1"/>
  <c r="L555" i="2" s="1"/>
  <c r="M555" i="2" s="1"/>
  <c r="N555" i="2" s="1"/>
  <c r="O555" i="2" s="1"/>
  <c r="P555" i="2" s="1"/>
  <c r="H547" i="2"/>
  <c r="I547" i="2" s="1"/>
  <c r="J547" i="2" s="1"/>
  <c r="K547" i="2" s="1"/>
  <c r="L547" i="2" s="1"/>
  <c r="M547" i="2" s="1"/>
  <c r="N547" i="2" s="1"/>
  <c r="O547" i="2" s="1"/>
  <c r="P547" i="2" s="1"/>
  <c r="H539" i="2"/>
  <c r="I539" i="2" s="1"/>
  <c r="J539" i="2" s="1"/>
  <c r="K539" i="2" s="1"/>
  <c r="L539" i="2" s="1"/>
  <c r="M539" i="2" s="1"/>
  <c r="N539" i="2" s="1"/>
  <c r="O539" i="2" s="1"/>
  <c r="P539" i="2" s="1"/>
  <c r="H499" i="2"/>
  <c r="I499" i="2" s="1"/>
  <c r="J499" i="2" s="1"/>
  <c r="K499" i="2" s="1"/>
  <c r="L499" i="2" s="1"/>
  <c r="M499" i="2" s="1"/>
  <c r="N499" i="2" s="1"/>
  <c r="O499" i="2" s="1"/>
  <c r="P499" i="2" s="1"/>
  <c r="H491" i="2"/>
  <c r="I491" i="2" s="1"/>
  <c r="J491" i="2" s="1"/>
  <c r="K491" i="2" s="1"/>
  <c r="L491" i="2" s="1"/>
  <c r="M491" i="2" s="1"/>
  <c r="N491" i="2" s="1"/>
  <c r="O491" i="2" s="1"/>
  <c r="P491" i="2" s="1"/>
  <c r="H483" i="2"/>
  <c r="I483" i="2" s="1"/>
  <c r="J483" i="2" s="1"/>
  <c r="K483" i="2" s="1"/>
  <c r="L483" i="2" s="1"/>
  <c r="M483" i="2" s="1"/>
  <c r="N483" i="2" s="1"/>
  <c r="O483" i="2" s="1"/>
  <c r="P483" i="2" s="1"/>
  <c r="H475" i="2"/>
  <c r="I475" i="2" s="1"/>
  <c r="J475" i="2" s="1"/>
  <c r="K475" i="2" s="1"/>
  <c r="L475" i="2" s="1"/>
  <c r="M475" i="2" s="1"/>
  <c r="N475" i="2" s="1"/>
  <c r="O475" i="2" s="1"/>
  <c r="P475" i="2" s="1"/>
  <c r="H451" i="2"/>
  <c r="I451" i="2" s="1"/>
  <c r="J451" i="2" s="1"/>
  <c r="K451" i="2" s="1"/>
  <c r="L451" i="2" s="1"/>
  <c r="M451" i="2" s="1"/>
  <c r="N451" i="2" s="1"/>
  <c r="O451" i="2" s="1"/>
  <c r="P451" i="2" s="1"/>
  <c r="H435" i="2"/>
  <c r="I435" i="2" s="1"/>
  <c r="J435" i="2" s="1"/>
  <c r="K435" i="2" s="1"/>
  <c r="L435" i="2" s="1"/>
  <c r="M435" i="2" s="1"/>
  <c r="N435" i="2" s="1"/>
  <c r="O435" i="2" s="1"/>
  <c r="P435" i="2" s="1"/>
  <c r="H427" i="2"/>
  <c r="I427" i="2" s="1"/>
  <c r="J427" i="2" s="1"/>
  <c r="K427" i="2" s="1"/>
  <c r="L427" i="2" s="1"/>
  <c r="M427" i="2" s="1"/>
  <c r="N427" i="2" s="1"/>
  <c r="O427" i="2" s="1"/>
  <c r="P427" i="2" s="1"/>
  <c r="H419" i="2"/>
  <c r="I419" i="2" s="1"/>
  <c r="J419" i="2" s="1"/>
  <c r="K419" i="2" s="1"/>
  <c r="L419" i="2" s="1"/>
  <c r="M419" i="2" s="1"/>
  <c r="N419" i="2" s="1"/>
  <c r="O419" i="2" s="1"/>
  <c r="P419" i="2" s="1"/>
  <c r="H411" i="2"/>
  <c r="I411" i="2" s="1"/>
  <c r="J411" i="2" s="1"/>
  <c r="K411" i="2" s="1"/>
  <c r="L411" i="2" s="1"/>
  <c r="M411" i="2" s="1"/>
  <c r="N411" i="2" s="1"/>
  <c r="O411" i="2" s="1"/>
  <c r="P411" i="2" s="1"/>
  <c r="H387" i="2"/>
  <c r="I387" i="2" s="1"/>
  <c r="J387" i="2" s="1"/>
  <c r="K387" i="2" s="1"/>
  <c r="L387" i="2" s="1"/>
  <c r="M387" i="2" s="1"/>
  <c r="N387" i="2" s="1"/>
  <c r="O387" i="2" s="1"/>
  <c r="P387" i="2" s="1"/>
  <c r="H379" i="2"/>
  <c r="I379" i="2" s="1"/>
  <c r="J379" i="2" s="1"/>
  <c r="K379" i="2" s="1"/>
  <c r="L379" i="2" s="1"/>
  <c r="M379" i="2" s="1"/>
  <c r="N379" i="2" s="1"/>
  <c r="O379" i="2" s="1"/>
  <c r="P379" i="2" s="1"/>
  <c r="H371" i="2"/>
  <c r="I371" i="2" s="1"/>
  <c r="J371" i="2" s="1"/>
  <c r="K371" i="2" s="1"/>
  <c r="L371" i="2" s="1"/>
  <c r="M371" i="2" s="1"/>
  <c r="N371" i="2" s="1"/>
  <c r="O371" i="2" s="1"/>
  <c r="P371" i="2" s="1"/>
  <c r="H363" i="2"/>
  <c r="I363" i="2" s="1"/>
  <c r="J363" i="2" s="1"/>
  <c r="K363" i="2" s="1"/>
  <c r="L363" i="2" s="1"/>
  <c r="M363" i="2" s="1"/>
  <c r="N363" i="2" s="1"/>
  <c r="O363" i="2" s="1"/>
  <c r="P363" i="2" s="1"/>
  <c r="H355" i="2"/>
  <c r="I355" i="2" s="1"/>
  <c r="J355" i="2" s="1"/>
  <c r="K355" i="2" s="1"/>
  <c r="L355" i="2" s="1"/>
  <c r="M355" i="2" s="1"/>
  <c r="N355" i="2" s="1"/>
  <c r="O355" i="2" s="1"/>
  <c r="P355" i="2" s="1"/>
  <c r="H347" i="2"/>
  <c r="I347" i="2" s="1"/>
  <c r="J347" i="2" s="1"/>
  <c r="K347" i="2" s="1"/>
  <c r="L347" i="2" s="1"/>
  <c r="M347" i="2" s="1"/>
  <c r="N347" i="2" s="1"/>
  <c r="O347" i="2" s="1"/>
  <c r="P347" i="2" s="1"/>
  <c r="H339" i="2"/>
  <c r="I339" i="2" s="1"/>
  <c r="J339" i="2" s="1"/>
  <c r="K339" i="2" s="1"/>
  <c r="L339" i="2" s="1"/>
  <c r="M339" i="2" s="1"/>
  <c r="N339" i="2" s="1"/>
  <c r="O339" i="2" s="1"/>
  <c r="P339" i="2" s="1"/>
  <c r="H323" i="2"/>
  <c r="I323" i="2" s="1"/>
  <c r="J323" i="2" s="1"/>
  <c r="K323" i="2" s="1"/>
  <c r="L323" i="2" s="1"/>
  <c r="M323" i="2" s="1"/>
  <c r="N323" i="2" s="1"/>
  <c r="O323" i="2" s="1"/>
  <c r="P323" i="2" s="1"/>
  <c r="H315" i="2"/>
  <c r="I315" i="2" s="1"/>
  <c r="J315" i="2" s="1"/>
  <c r="K315" i="2" s="1"/>
  <c r="L315" i="2" s="1"/>
  <c r="M315" i="2" s="1"/>
  <c r="N315" i="2" s="1"/>
  <c r="O315" i="2" s="1"/>
  <c r="P315" i="2" s="1"/>
  <c r="H307" i="2"/>
  <c r="I307" i="2" s="1"/>
  <c r="J307" i="2" s="1"/>
  <c r="K307" i="2" s="1"/>
  <c r="L307" i="2" s="1"/>
  <c r="M307" i="2" s="1"/>
  <c r="N307" i="2" s="1"/>
  <c r="O307" i="2" s="1"/>
  <c r="P307" i="2" s="1"/>
  <c r="H299" i="2"/>
  <c r="I299" i="2" s="1"/>
  <c r="J299" i="2" s="1"/>
  <c r="K299" i="2" s="1"/>
  <c r="L299" i="2" s="1"/>
  <c r="M299" i="2" s="1"/>
  <c r="N299" i="2" s="1"/>
  <c r="O299" i="2" s="1"/>
  <c r="P299" i="2" s="1"/>
  <c r="H291" i="2"/>
  <c r="I291" i="2" s="1"/>
  <c r="J291" i="2" s="1"/>
  <c r="K291" i="2" s="1"/>
  <c r="L291" i="2" s="1"/>
  <c r="M291" i="2" s="1"/>
  <c r="N291" i="2" s="1"/>
  <c r="O291" i="2" s="1"/>
  <c r="P291" i="2" s="1"/>
  <c r="H283" i="2"/>
  <c r="I283" i="2" s="1"/>
  <c r="J283" i="2" s="1"/>
  <c r="K283" i="2" s="1"/>
  <c r="L283" i="2" s="1"/>
  <c r="M283" i="2" s="1"/>
  <c r="N283" i="2" s="1"/>
  <c r="O283" i="2" s="1"/>
  <c r="P283" i="2" s="1"/>
  <c r="H275" i="2"/>
  <c r="I275" i="2" s="1"/>
  <c r="J275" i="2" s="1"/>
  <c r="K275" i="2" s="1"/>
  <c r="L275" i="2" s="1"/>
  <c r="M275" i="2" s="1"/>
  <c r="N275" i="2" s="1"/>
  <c r="O275" i="2" s="1"/>
  <c r="P275" i="2" s="1"/>
  <c r="H259" i="2"/>
  <c r="I259" i="2" s="1"/>
  <c r="J259" i="2" s="1"/>
  <c r="K259" i="2" s="1"/>
  <c r="L259" i="2" s="1"/>
  <c r="M259" i="2" s="1"/>
  <c r="N259" i="2" s="1"/>
  <c r="O259" i="2" s="1"/>
  <c r="P259" i="2" s="1"/>
  <c r="H251" i="2"/>
  <c r="I251" i="2" s="1"/>
  <c r="J251" i="2" s="1"/>
  <c r="K251" i="2" s="1"/>
  <c r="L251" i="2" s="1"/>
  <c r="M251" i="2" s="1"/>
  <c r="N251" i="2" s="1"/>
  <c r="O251" i="2" s="1"/>
  <c r="P251" i="2" s="1"/>
  <c r="H243" i="2"/>
  <c r="I243" i="2" s="1"/>
  <c r="J243" i="2" s="1"/>
  <c r="K243" i="2" s="1"/>
  <c r="L243" i="2" s="1"/>
  <c r="M243" i="2" s="1"/>
  <c r="N243" i="2" s="1"/>
  <c r="O243" i="2" s="1"/>
  <c r="P243" i="2" s="1"/>
  <c r="H235" i="2"/>
  <c r="I235" i="2" s="1"/>
  <c r="J235" i="2" s="1"/>
  <c r="K235" i="2" s="1"/>
  <c r="L235" i="2" s="1"/>
  <c r="M235" i="2" s="1"/>
  <c r="N235" i="2" s="1"/>
  <c r="O235" i="2" s="1"/>
  <c r="P235" i="2" s="1"/>
  <c r="H227" i="2"/>
  <c r="I227" i="2" s="1"/>
  <c r="J227" i="2" s="1"/>
  <c r="K227" i="2" s="1"/>
  <c r="L227" i="2" s="1"/>
  <c r="M227" i="2" s="1"/>
  <c r="N227" i="2" s="1"/>
  <c r="O227" i="2" s="1"/>
  <c r="P227" i="2" s="1"/>
  <c r="H219" i="2"/>
  <c r="I219" i="2" s="1"/>
  <c r="J219" i="2" s="1"/>
  <c r="K219" i="2" s="1"/>
  <c r="L219" i="2" s="1"/>
  <c r="M219" i="2" s="1"/>
  <c r="N219" i="2" s="1"/>
  <c r="O219" i="2" s="1"/>
  <c r="P219" i="2" s="1"/>
  <c r="H211" i="2"/>
  <c r="I211" i="2" s="1"/>
  <c r="J211" i="2" s="1"/>
  <c r="K211" i="2" s="1"/>
  <c r="L211" i="2" s="1"/>
  <c r="M211" i="2" s="1"/>
  <c r="N211" i="2" s="1"/>
  <c r="O211" i="2" s="1"/>
  <c r="P211" i="2" s="1"/>
  <c r="H195" i="2"/>
  <c r="I195" i="2" s="1"/>
  <c r="J195" i="2" s="1"/>
  <c r="K195" i="2" s="1"/>
  <c r="L195" i="2" s="1"/>
  <c r="M195" i="2" s="1"/>
  <c r="N195" i="2" s="1"/>
  <c r="O195" i="2" s="1"/>
  <c r="P195" i="2" s="1"/>
  <c r="H187" i="2"/>
  <c r="I187" i="2" s="1"/>
  <c r="J187" i="2" s="1"/>
  <c r="K187" i="2" s="1"/>
  <c r="L187" i="2" s="1"/>
  <c r="M187" i="2" s="1"/>
  <c r="N187" i="2" s="1"/>
  <c r="O187" i="2" s="1"/>
  <c r="P187" i="2" s="1"/>
  <c r="H179" i="2"/>
  <c r="I179" i="2" s="1"/>
  <c r="J179" i="2" s="1"/>
  <c r="K179" i="2" s="1"/>
  <c r="L179" i="2" s="1"/>
  <c r="M179" i="2" s="1"/>
  <c r="N179" i="2" s="1"/>
  <c r="O179" i="2" s="1"/>
  <c r="P179" i="2" s="1"/>
  <c r="H171" i="2"/>
  <c r="I171" i="2" s="1"/>
  <c r="J171" i="2" s="1"/>
  <c r="K171" i="2" s="1"/>
  <c r="L171" i="2" s="1"/>
  <c r="M171" i="2" s="1"/>
  <c r="N171" i="2" s="1"/>
  <c r="O171" i="2" s="1"/>
  <c r="P171" i="2" s="1"/>
  <c r="H163" i="2"/>
  <c r="I163" i="2" s="1"/>
  <c r="J163" i="2" s="1"/>
  <c r="K163" i="2" s="1"/>
  <c r="L163" i="2" s="1"/>
  <c r="M163" i="2" s="1"/>
  <c r="N163" i="2" s="1"/>
  <c r="O163" i="2" s="1"/>
  <c r="P163" i="2" s="1"/>
  <c r="H155" i="2"/>
  <c r="I155" i="2" s="1"/>
  <c r="J155" i="2" s="1"/>
  <c r="K155" i="2" s="1"/>
  <c r="L155" i="2" s="1"/>
  <c r="M155" i="2" s="1"/>
  <c r="N155" i="2" s="1"/>
  <c r="O155" i="2" s="1"/>
  <c r="P155" i="2" s="1"/>
  <c r="H147" i="2"/>
  <c r="I147" i="2" s="1"/>
  <c r="J147" i="2" s="1"/>
  <c r="K147" i="2" s="1"/>
  <c r="L147" i="2" s="1"/>
  <c r="M147" i="2" s="1"/>
  <c r="N147" i="2" s="1"/>
  <c r="O147" i="2" s="1"/>
  <c r="P147" i="2" s="1"/>
  <c r="H131" i="2"/>
  <c r="I131" i="2" s="1"/>
  <c r="J131" i="2" s="1"/>
  <c r="K131" i="2" s="1"/>
  <c r="L131" i="2" s="1"/>
  <c r="M131" i="2" s="1"/>
  <c r="N131" i="2" s="1"/>
  <c r="O131" i="2" s="1"/>
  <c r="P131" i="2" s="1"/>
  <c r="H123" i="2"/>
  <c r="I123" i="2" s="1"/>
  <c r="J123" i="2" s="1"/>
  <c r="K123" i="2" s="1"/>
  <c r="L123" i="2" s="1"/>
  <c r="M123" i="2" s="1"/>
  <c r="N123" i="2" s="1"/>
  <c r="O123" i="2" s="1"/>
  <c r="P123" i="2" s="1"/>
  <c r="H115" i="2"/>
  <c r="I115" i="2" s="1"/>
  <c r="J115" i="2" s="1"/>
  <c r="K115" i="2" s="1"/>
  <c r="L115" i="2" s="1"/>
  <c r="M115" i="2" s="1"/>
  <c r="N115" i="2" s="1"/>
  <c r="O115" i="2" s="1"/>
  <c r="P115" i="2" s="1"/>
  <c r="H107" i="2"/>
  <c r="I107" i="2" s="1"/>
  <c r="J107" i="2" s="1"/>
  <c r="K107" i="2" s="1"/>
  <c r="L107" i="2" s="1"/>
  <c r="M107" i="2" s="1"/>
  <c r="N107" i="2" s="1"/>
  <c r="O107" i="2" s="1"/>
  <c r="P107" i="2" s="1"/>
  <c r="H99" i="2"/>
  <c r="I99" i="2" s="1"/>
  <c r="J99" i="2" s="1"/>
  <c r="K99" i="2" s="1"/>
  <c r="L99" i="2" s="1"/>
  <c r="M99" i="2" s="1"/>
  <c r="N99" i="2" s="1"/>
  <c r="O99" i="2" s="1"/>
  <c r="P99" i="2" s="1"/>
  <c r="H91" i="2"/>
  <c r="I91" i="2" s="1"/>
  <c r="J91" i="2" s="1"/>
  <c r="K91" i="2" s="1"/>
  <c r="L91" i="2" s="1"/>
  <c r="M91" i="2" s="1"/>
  <c r="N91" i="2" s="1"/>
  <c r="O91" i="2" s="1"/>
  <c r="P91" i="2" s="1"/>
  <c r="H83" i="2"/>
  <c r="I83" i="2" s="1"/>
  <c r="J83" i="2" s="1"/>
  <c r="K83" i="2" s="1"/>
  <c r="L83" i="2" s="1"/>
  <c r="M83" i="2" s="1"/>
  <c r="N83" i="2" s="1"/>
  <c r="O83" i="2" s="1"/>
  <c r="P83" i="2" s="1"/>
  <c r="H67" i="2"/>
  <c r="I67" i="2" s="1"/>
  <c r="J67" i="2" s="1"/>
  <c r="K67" i="2" s="1"/>
  <c r="L67" i="2" s="1"/>
  <c r="M67" i="2" s="1"/>
  <c r="N67" i="2" s="1"/>
  <c r="O67" i="2" s="1"/>
  <c r="P67" i="2" s="1"/>
  <c r="H59" i="2"/>
  <c r="I59" i="2" s="1"/>
  <c r="J59" i="2" s="1"/>
  <c r="K59" i="2" s="1"/>
  <c r="L59" i="2" s="1"/>
  <c r="M59" i="2" s="1"/>
  <c r="N59" i="2" s="1"/>
  <c r="O59" i="2" s="1"/>
  <c r="P59" i="2" s="1"/>
  <c r="H51" i="2"/>
  <c r="I51" i="2" s="1"/>
  <c r="J51" i="2" s="1"/>
  <c r="K51" i="2" s="1"/>
  <c r="L51" i="2" s="1"/>
  <c r="M51" i="2" s="1"/>
  <c r="N51" i="2" s="1"/>
  <c r="O51" i="2" s="1"/>
  <c r="P51" i="2" s="1"/>
  <c r="H43" i="2"/>
  <c r="I43" i="2" s="1"/>
  <c r="J43" i="2" s="1"/>
  <c r="K43" i="2" s="1"/>
  <c r="L43" i="2" s="1"/>
  <c r="M43" i="2" s="1"/>
  <c r="N43" i="2" s="1"/>
  <c r="O43" i="2" s="1"/>
  <c r="P43" i="2" s="1"/>
  <c r="Q998" i="2"/>
  <c r="R998" i="2" s="1"/>
  <c r="S998" i="2" s="1"/>
  <c r="Q976" i="2"/>
  <c r="R976" i="2" s="1"/>
  <c r="S976" i="2" s="1"/>
  <c r="Q953" i="2"/>
  <c r="R953" i="2" s="1"/>
  <c r="S953" i="2" s="1"/>
  <c r="Q934" i="2"/>
  <c r="R934" i="2" s="1"/>
  <c r="S934" i="2" s="1"/>
  <c r="Q912" i="2"/>
  <c r="R912" i="2" s="1"/>
  <c r="S912" i="2" s="1"/>
  <c r="Q889" i="2"/>
  <c r="R889" i="2" s="1"/>
  <c r="S889" i="2" s="1"/>
  <c r="Q870" i="2"/>
  <c r="R870" i="2" s="1"/>
  <c r="S870" i="2" s="1"/>
  <c r="Q848" i="2"/>
  <c r="R848" i="2" s="1"/>
  <c r="S848" i="2" s="1"/>
  <c r="Q825" i="2"/>
  <c r="R825" i="2" s="1"/>
  <c r="S825" i="2" s="1"/>
  <c r="Q806" i="2"/>
  <c r="R806" i="2" s="1"/>
  <c r="S806" i="2" s="1"/>
  <c r="Q784" i="2"/>
  <c r="R784" i="2" s="1"/>
  <c r="S784" i="2" s="1"/>
  <c r="Q761" i="2"/>
  <c r="R761" i="2" s="1"/>
  <c r="S761" i="2" s="1"/>
  <c r="Q742" i="2"/>
  <c r="R742" i="2" s="1"/>
  <c r="S742" i="2" s="1"/>
  <c r="Q720" i="2"/>
  <c r="R720" i="2" s="1"/>
  <c r="S720" i="2" s="1"/>
  <c r="Q697" i="2"/>
  <c r="R697" i="2" s="1"/>
  <c r="S697" i="2" s="1"/>
  <c r="Q672" i="2"/>
  <c r="R672" i="2" s="1"/>
  <c r="S672" i="2" s="1"/>
  <c r="Q638" i="2"/>
  <c r="R638" i="2" s="1"/>
  <c r="S638" i="2" s="1"/>
  <c r="Q600" i="2"/>
  <c r="R600" i="2" s="1"/>
  <c r="S600" i="2" s="1"/>
  <c r="Q566" i="2"/>
  <c r="R566" i="2" s="1"/>
  <c r="S566" i="2" s="1"/>
  <c r="Q507" i="2"/>
  <c r="R507" i="2" s="1"/>
  <c r="S507" i="2" s="1"/>
  <c r="Q446" i="2"/>
  <c r="R446" i="2" s="1"/>
  <c r="S446" i="2" s="1"/>
  <c r="Q395" i="2"/>
  <c r="R395" i="2" s="1"/>
  <c r="S395" i="2" s="1"/>
  <c r="Q224" i="2"/>
  <c r="R224" i="2" s="1"/>
  <c r="S224" i="2" s="1"/>
  <c r="H657" i="2"/>
  <c r="I657" i="2" s="1"/>
  <c r="J657" i="2" s="1"/>
  <c r="K657" i="2" s="1"/>
  <c r="L657" i="2" s="1"/>
  <c r="M657" i="2" s="1"/>
  <c r="N657" i="2" s="1"/>
  <c r="O657" i="2" s="1"/>
  <c r="P657" i="2" s="1"/>
  <c r="H577" i="2"/>
  <c r="I577" i="2" s="1"/>
  <c r="J577" i="2" s="1"/>
  <c r="K577" i="2" s="1"/>
  <c r="L577" i="2" s="1"/>
  <c r="M577" i="2" s="1"/>
  <c r="N577" i="2" s="1"/>
  <c r="O577" i="2" s="1"/>
  <c r="P577" i="2" s="1"/>
  <c r="H521" i="2"/>
  <c r="I521" i="2" s="1"/>
  <c r="J521" i="2" s="1"/>
  <c r="K521" i="2" s="1"/>
  <c r="L521" i="2" s="1"/>
  <c r="M521" i="2" s="1"/>
  <c r="N521" i="2" s="1"/>
  <c r="O521" i="2" s="1"/>
  <c r="P521" i="2" s="1"/>
  <c r="H457" i="2"/>
  <c r="I457" i="2" s="1"/>
  <c r="J457" i="2" s="1"/>
  <c r="K457" i="2" s="1"/>
  <c r="L457" i="2" s="1"/>
  <c r="M457" i="2" s="1"/>
  <c r="N457" i="2" s="1"/>
  <c r="O457" i="2" s="1"/>
  <c r="P457" i="2" s="1"/>
  <c r="H401" i="2"/>
  <c r="I401" i="2" s="1"/>
  <c r="J401" i="2" s="1"/>
  <c r="K401" i="2" s="1"/>
  <c r="L401" i="2" s="1"/>
  <c r="M401" i="2" s="1"/>
  <c r="N401" i="2" s="1"/>
  <c r="O401" i="2" s="1"/>
  <c r="P401" i="2" s="1"/>
  <c r="H329" i="2"/>
  <c r="I329" i="2" s="1"/>
  <c r="J329" i="2" s="1"/>
  <c r="K329" i="2" s="1"/>
  <c r="L329" i="2" s="1"/>
  <c r="M329" i="2" s="1"/>
  <c r="N329" i="2" s="1"/>
  <c r="O329" i="2" s="1"/>
  <c r="P329" i="2" s="1"/>
  <c r="H281" i="2"/>
  <c r="I281" i="2" s="1"/>
  <c r="J281" i="2" s="1"/>
  <c r="K281" i="2" s="1"/>
  <c r="L281" i="2" s="1"/>
  <c r="M281" i="2" s="1"/>
  <c r="N281" i="2" s="1"/>
  <c r="O281" i="2" s="1"/>
  <c r="P281" i="2" s="1"/>
  <c r="H225" i="2"/>
  <c r="I225" i="2" s="1"/>
  <c r="J225" i="2" s="1"/>
  <c r="K225" i="2" s="1"/>
  <c r="L225" i="2" s="1"/>
  <c r="M225" i="2" s="1"/>
  <c r="N225" i="2" s="1"/>
  <c r="O225" i="2" s="1"/>
  <c r="P225" i="2" s="1"/>
  <c r="H169" i="2"/>
  <c r="I169" i="2" s="1"/>
  <c r="J169" i="2" s="1"/>
  <c r="K169" i="2" s="1"/>
  <c r="L169" i="2" s="1"/>
  <c r="M169" i="2" s="1"/>
  <c r="N169" i="2" s="1"/>
  <c r="O169" i="2" s="1"/>
  <c r="P169" i="2" s="1"/>
  <c r="H121" i="2"/>
  <c r="I121" i="2" s="1"/>
  <c r="J121" i="2" s="1"/>
  <c r="K121" i="2" s="1"/>
  <c r="L121" i="2" s="1"/>
  <c r="M121" i="2" s="1"/>
  <c r="N121" i="2" s="1"/>
  <c r="O121" i="2" s="1"/>
  <c r="P121" i="2" s="1"/>
  <c r="H73" i="2"/>
  <c r="I73" i="2" s="1"/>
  <c r="J73" i="2" s="1"/>
  <c r="K73" i="2" s="1"/>
  <c r="L73" i="2" s="1"/>
  <c r="M73" i="2" s="1"/>
  <c r="N73" i="2" s="1"/>
  <c r="O73" i="2" s="1"/>
  <c r="P73" i="2" s="1"/>
  <c r="H17" i="2"/>
  <c r="I17" i="2" s="1"/>
  <c r="J17" i="2" s="1"/>
  <c r="K17" i="2" s="1"/>
  <c r="L17" i="2" s="1"/>
  <c r="M17" i="2" s="1"/>
  <c r="N17" i="2" s="1"/>
  <c r="O17" i="2" s="1"/>
  <c r="P17" i="2" s="1"/>
  <c r="H995" i="2"/>
  <c r="I995" i="2" s="1"/>
  <c r="J995" i="2" s="1"/>
  <c r="K995" i="2" s="1"/>
  <c r="L995" i="2" s="1"/>
  <c r="M995" i="2" s="1"/>
  <c r="N995" i="2" s="1"/>
  <c r="O995" i="2" s="1"/>
  <c r="P995" i="2" s="1"/>
  <c r="H979" i="2"/>
  <c r="I979" i="2" s="1"/>
  <c r="J979" i="2" s="1"/>
  <c r="K979" i="2" s="1"/>
  <c r="L979" i="2" s="1"/>
  <c r="M979" i="2" s="1"/>
  <c r="N979" i="2" s="1"/>
  <c r="O979" i="2" s="1"/>
  <c r="P979" i="2" s="1"/>
  <c r="H963" i="2"/>
  <c r="I963" i="2" s="1"/>
  <c r="J963" i="2" s="1"/>
  <c r="K963" i="2" s="1"/>
  <c r="L963" i="2" s="1"/>
  <c r="M963" i="2" s="1"/>
  <c r="N963" i="2" s="1"/>
  <c r="O963" i="2" s="1"/>
  <c r="P963" i="2" s="1"/>
  <c r="H947" i="2"/>
  <c r="I947" i="2" s="1"/>
  <c r="J947" i="2" s="1"/>
  <c r="K947" i="2" s="1"/>
  <c r="L947" i="2" s="1"/>
  <c r="M947" i="2" s="1"/>
  <c r="N947" i="2" s="1"/>
  <c r="O947" i="2" s="1"/>
  <c r="P947" i="2" s="1"/>
  <c r="H931" i="2"/>
  <c r="I931" i="2" s="1"/>
  <c r="J931" i="2" s="1"/>
  <c r="K931" i="2" s="1"/>
  <c r="L931" i="2" s="1"/>
  <c r="M931" i="2" s="1"/>
  <c r="N931" i="2" s="1"/>
  <c r="O931" i="2" s="1"/>
  <c r="P931" i="2" s="1"/>
  <c r="H915" i="2"/>
  <c r="I915" i="2" s="1"/>
  <c r="J915" i="2" s="1"/>
  <c r="K915" i="2" s="1"/>
  <c r="L915" i="2" s="1"/>
  <c r="M915" i="2" s="1"/>
  <c r="N915" i="2" s="1"/>
  <c r="O915" i="2" s="1"/>
  <c r="P915" i="2" s="1"/>
  <c r="H899" i="2"/>
  <c r="I899" i="2" s="1"/>
  <c r="J899" i="2" s="1"/>
  <c r="K899" i="2" s="1"/>
  <c r="L899" i="2" s="1"/>
  <c r="M899" i="2" s="1"/>
  <c r="N899" i="2" s="1"/>
  <c r="O899" i="2" s="1"/>
  <c r="P899" i="2" s="1"/>
  <c r="H883" i="2"/>
  <c r="I883" i="2" s="1"/>
  <c r="J883" i="2" s="1"/>
  <c r="K883" i="2" s="1"/>
  <c r="L883" i="2" s="1"/>
  <c r="M883" i="2" s="1"/>
  <c r="N883" i="2" s="1"/>
  <c r="O883" i="2" s="1"/>
  <c r="P883" i="2" s="1"/>
  <c r="H867" i="2"/>
  <c r="I867" i="2" s="1"/>
  <c r="J867" i="2" s="1"/>
  <c r="K867" i="2" s="1"/>
  <c r="L867" i="2" s="1"/>
  <c r="M867" i="2" s="1"/>
  <c r="N867" i="2" s="1"/>
  <c r="O867" i="2" s="1"/>
  <c r="P867" i="2" s="1"/>
  <c r="H851" i="2"/>
  <c r="I851" i="2" s="1"/>
  <c r="J851" i="2" s="1"/>
  <c r="K851" i="2" s="1"/>
  <c r="L851" i="2" s="1"/>
  <c r="M851" i="2" s="1"/>
  <c r="N851" i="2" s="1"/>
  <c r="O851" i="2" s="1"/>
  <c r="P851" i="2" s="1"/>
  <c r="H835" i="2"/>
  <c r="I835" i="2" s="1"/>
  <c r="J835" i="2" s="1"/>
  <c r="K835" i="2" s="1"/>
  <c r="L835" i="2" s="1"/>
  <c r="M835" i="2" s="1"/>
  <c r="N835" i="2" s="1"/>
  <c r="O835" i="2" s="1"/>
  <c r="P835" i="2" s="1"/>
  <c r="H819" i="2"/>
  <c r="I819" i="2" s="1"/>
  <c r="J819" i="2" s="1"/>
  <c r="K819" i="2" s="1"/>
  <c r="L819" i="2" s="1"/>
  <c r="M819" i="2" s="1"/>
  <c r="N819" i="2" s="1"/>
  <c r="O819" i="2" s="1"/>
  <c r="P819" i="2" s="1"/>
  <c r="H803" i="2"/>
  <c r="I803" i="2" s="1"/>
  <c r="J803" i="2" s="1"/>
  <c r="K803" i="2" s="1"/>
  <c r="L803" i="2" s="1"/>
  <c r="M803" i="2" s="1"/>
  <c r="N803" i="2" s="1"/>
  <c r="O803" i="2" s="1"/>
  <c r="P803" i="2" s="1"/>
  <c r="H787" i="2"/>
  <c r="I787" i="2" s="1"/>
  <c r="J787" i="2" s="1"/>
  <c r="K787" i="2" s="1"/>
  <c r="L787" i="2" s="1"/>
  <c r="M787" i="2" s="1"/>
  <c r="N787" i="2" s="1"/>
  <c r="O787" i="2" s="1"/>
  <c r="P787" i="2" s="1"/>
  <c r="H771" i="2"/>
  <c r="I771" i="2" s="1"/>
  <c r="J771" i="2" s="1"/>
  <c r="K771" i="2" s="1"/>
  <c r="L771" i="2" s="1"/>
  <c r="M771" i="2" s="1"/>
  <c r="N771" i="2" s="1"/>
  <c r="O771" i="2" s="1"/>
  <c r="P771" i="2" s="1"/>
  <c r="H755" i="2"/>
  <c r="I755" i="2" s="1"/>
  <c r="J755" i="2" s="1"/>
  <c r="K755" i="2" s="1"/>
  <c r="L755" i="2" s="1"/>
  <c r="M755" i="2" s="1"/>
  <c r="N755" i="2" s="1"/>
  <c r="O755" i="2" s="1"/>
  <c r="P755" i="2" s="1"/>
  <c r="H667" i="2"/>
  <c r="I667" i="2" s="1"/>
  <c r="J667" i="2" s="1"/>
  <c r="K667" i="2" s="1"/>
  <c r="L667" i="2" s="1"/>
  <c r="M667" i="2" s="1"/>
  <c r="N667" i="2" s="1"/>
  <c r="O667" i="2" s="1"/>
  <c r="P667" i="2" s="1"/>
  <c r="H635" i="2"/>
  <c r="I635" i="2" s="1"/>
  <c r="J635" i="2" s="1"/>
  <c r="K635" i="2" s="1"/>
  <c r="L635" i="2" s="1"/>
  <c r="M635" i="2" s="1"/>
  <c r="N635" i="2" s="1"/>
  <c r="O635" i="2" s="1"/>
  <c r="P635" i="2" s="1"/>
  <c r="H619" i="2"/>
  <c r="I619" i="2" s="1"/>
  <c r="J619" i="2" s="1"/>
  <c r="K619" i="2" s="1"/>
  <c r="L619" i="2" s="1"/>
  <c r="M619" i="2" s="1"/>
  <c r="N619" i="2" s="1"/>
  <c r="O619" i="2" s="1"/>
  <c r="P619" i="2" s="1"/>
  <c r="H515" i="2"/>
  <c r="I515" i="2" s="1"/>
  <c r="J515" i="2" s="1"/>
  <c r="K515" i="2" s="1"/>
  <c r="L515" i="2" s="1"/>
  <c r="M515" i="2" s="1"/>
  <c r="N515" i="2" s="1"/>
  <c r="O515" i="2" s="1"/>
  <c r="P515" i="2" s="1"/>
  <c r="H1002" i="2"/>
  <c r="I1002" i="2" s="1"/>
  <c r="J1002" i="2" s="1"/>
  <c r="K1002" i="2" s="1"/>
  <c r="L1002" i="2" s="1"/>
  <c r="M1002" i="2" s="1"/>
  <c r="N1002" i="2" s="1"/>
  <c r="O1002" i="2" s="1"/>
  <c r="P1002" i="2" s="1"/>
  <c r="H994" i="2"/>
  <c r="I994" i="2" s="1"/>
  <c r="J994" i="2" s="1"/>
  <c r="K994" i="2" s="1"/>
  <c r="L994" i="2" s="1"/>
  <c r="M994" i="2" s="1"/>
  <c r="N994" i="2" s="1"/>
  <c r="O994" i="2" s="1"/>
  <c r="P994" i="2" s="1"/>
  <c r="H986" i="2"/>
  <c r="I986" i="2" s="1"/>
  <c r="J986" i="2" s="1"/>
  <c r="K986" i="2" s="1"/>
  <c r="L986" i="2" s="1"/>
  <c r="M986" i="2" s="1"/>
  <c r="N986" i="2" s="1"/>
  <c r="O986" i="2" s="1"/>
  <c r="P986" i="2" s="1"/>
  <c r="H978" i="2"/>
  <c r="I978" i="2" s="1"/>
  <c r="J978" i="2" s="1"/>
  <c r="K978" i="2" s="1"/>
  <c r="L978" i="2" s="1"/>
  <c r="M978" i="2" s="1"/>
  <c r="N978" i="2" s="1"/>
  <c r="O978" i="2" s="1"/>
  <c r="P978" i="2" s="1"/>
  <c r="H970" i="2"/>
  <c r="I970" i="2" s="1"/>
  <c r="J970" i="2" s="1"/>
  <c r="K970" i="2" s="1"/>
  <c r="L970" i="2" s="1"/>
  <c r="M970" i="2" s="1"/>
  <c r="N970" i="2" s="1"/>
  <c r="O970" i="2" s="1"/>
  <c r="P970" i="2" s="1"/>
  <c r="H962" i="2"/>
  <c r="I962" i="2" s="1"/>
  <c r="J962" i="2" s="1"/>
  <c r="K962" i="2" s="1"/>
  <c r="L962" i="2" s="1"/>
  <c r="M962" i="2" s="1"/>
  <c r="N962" i="2" s="1"/>
  <c r="O962" i="2" s="1"/>
  <c r="P962" i="2" s="1"/>
  <c r="H954" i="2"/>
  <c r="I954" i="2" s="1"/>
  <c r="J954" i="2" s="1"/>
  <c r="K954" i="2" s="1"/>
  <c r="L954" i="2" s="1"/>
  <c r="M954" i="2" s="1"/>
  <c r="N954" i="2" s="1"/>
  <c r="O954" i="2" s="1"/>
  <c r="P954" i="2" s="1"/>
  <c r="H946" i="2"/>
  <c r="I946" i="2" s="1"/>
  <c r="J946" i="2" s="1"/>
  <c r="K946" i="2" s="1"/>
  <c r="L946" i="2" s="1"/>
  <c r="M946" i="2" s="1"/>
  <c r="N946" i="2" s="1"/>
  <c r="O946" i="2" s="1"/>
  <c r="P946" i="2" s="1"/>
  <c r="H938" i="2"/>
  <c r="I938" i="2" s="1"/>
  <c r="J938" i="2" s="1"/>
  <c r="K938" i="2" s="1"/>
  <c r="L938" i="2" s="1"/>
  <c r="M938" i="2" s="1"/>
  <c r="N938" i="2" s="1"/>
  <c r="O938" i="2" s="1"/>
  <c r="P938" i="2" s="1"/>
  <c r="H930" i="2"/>
  <c r="I930" i="2" s="1"/>
  <c r="J930" i="2" s="1"/>
  <c r="K930" i="2" s="1"/>
  <c r="L930" i="2" s="1"/>
  <c r="M930" i="2" s="1"/>
  <c r="N930" i="2" s="1"/>
  <c r="O930" i="2" s="1"/>
  <c r="P930" i="2" s="1"/>
  <c r="H922" i="2"/>
  <c r="I922" i="2" s="1"/>
  <c r="J922" i="2" s="1"/>
  <c r="K922" i="2" s="1"/>
  <c r="L922" i="2" s="1"/>
  <c r="M922" i="2" s="1"/>
  <c r="N922" i="2" s="1"/>
  <c r="O922" i="2" s="1"/>
  <c r="P922" i="2" s="1"/>
  <c r="H914" i="2"/>
  <c r="I914" i="2" s="1"/>
  <c r="J914" i="2" s="1"/>
  <c r="K914" i="2" s="1"/>
  <c r="L914" i="2" s="1"/>
  <c r="M914" i="2" s="1"/>
  <c r="N914" i="2" s="1"/>
  <c r="O914" i="2" s="1"/>
  <c r="P914" i="2" s="1"/>
  <c r="H906" i="2"/>
  <c r="I906" i="2" s="1"/>
  <c r="J906" i="2" s="1"/>
  <c r="K906" i="2" s="1"/>
  <c r="L906" i="2" s="1"/>
  <c r="M906" i="2" s="1"/>
  <c r="N906" i="2" s="1"/>
  <c r="O906" i="2" s="1"/>
  <c r="P906" i="2" s="1"/>
  <c r="H898" i="2"/>
  <c r="I898" i="2" s="1"/>
  <c r="J898" i="2" s="1"/>
  <c r="K898" i="2" s="1"/>
  <c r="L898" i="2" s="1"/>
  <c r="M898" i="2" s="1"/>
  <c r="N898" i="2" s="1"/>
  <c r="O898" i="2" s="1"/>
  <c r="P898" i="2" s="1"/>
  <c r="H890" i="2"/>
  <c r="I890" i="2" s="1"/>
  <c r="J890" i="2" s="1"/>
  <c r="K890" i="2" s="1"/>
  <c r="L890" i="2" s="1"/>
  <c r="M890" i="2" s="1"/>
  <c r="N890" i="2" s="1"/>
  <c r="O890" i="2" s="1"/>
  <c r="P890" i="2" s="1"/>
  <c r="H882" i="2"/>
  <c r="I882" i="2" s="1"/>
  <c r="J882" i="2" s="1"/>
  <c r="K882" i="2" s="1"/>
  <c r="L882" i="2" s="1"/>
  <c r="M882" i="2" s="1"/>
  <c r="N882" i="2" s="1"/>
  <c r="O882" i="2" s="1"/>
  <c r="P882" i="2" s="1"/>
  <c r="H874" i="2"/>
  <c r="I874" i="2" s="1"/>
  <c r="J874" i="2" s="1"/>
  <c r="K874" i="2" s="1"/>
  <c r="L874" i="2" s="1"/>
  <c r="M874" i="2" s="1"/>
  <c r="N874" i="2" s="1"/>
  <c r="O874" i="2" s="1"/>
  <c r="P874" i="2" s="1"/>
  <c r="H866" i="2"/>
  <c r="I866" i="2" s="1"/>
  <c r="J866" i="2" s="1"/>
  <c r="K866" i="2" s="1"/>
  <c r="L866" i="2" s="1"/>
  <c r="M866" i="2" s="1"/>
  <c r="N866" i="2" s="1"/>
  <c r="O866" i="2" s="1"/>
  <c r="P866" i="2" s="1"/>
  <c r="H858" i="2"/>
  <c r="I858" i="2" s="1"/>
  <c r="J858" i="2" s="1"/>
  <c r="K858" i="2" s="1"/>
  <c r="L858" i="2" s="1"/>
  <c r="M858" i="2" s="1"/>
  <c r="N858" i="2" s="1"/>
  <c r="O858" i="2" s="1"/>
  <c r="P858" i="2" s="1"/>
  <c r="H850" i="2"/>
  <c r="I850" i="2" s="1"/>
  <c r="J850" i="2" s="1"/>
  <c r="K850" i="2" s="1"/>
  <c r="L850" i="2" s="1"/>
  <c r="M850" i="2" s="1"/>
  <c r="N850" i="2" s="1"/>
  <c r="O850" i="2" s="1"/>
  <c r="P850" i="2" s="1"/>
  <c r="H842" i="2"/>
  <c r="I842" i="2" s="1"/>
  <c r="J842" i="2" s="1"/>
  <c r="K842" i="2" s="1"/>
  <c r="L842" i="2" s="1"/>
  <c r="M842" i="2" s="1"/>
  <c r="N842" i="2" s="1"/>
  <c r="O842" i="2" s="1"/>
  <c r="P842" i="2" s="1"/>
  <c r="H834" i="2"/>
  <c r="I834" i="2" s="1"/>
  <c r="J834" i="2" s="1"/>
  <c r="K834" i="2" s="1"/>
  <c r="L834" i="2" s="1"/>
  <c r="M834" i="2" s="1"/>
  <c r="N834" i="2" s="1"/>
  <c r="O834" i="2" s="1"/>
  <c r="P834" i="2" s="1"/>
  <c r="H826" i="2"/>
  <c r="I826" i="2" s="1"/>
  <c r="J826" i="2" s="1"/>
  <c r="K826" i="2" s="1"/>
  <c r="L826" i="2" s="1"/>
  <c r="M826" i="2" s="1"/>
  <c r="N826" i="2" s="1"/>
  <c r="O826" i="2" s="1"/>
  <c r="P826" i="2" s="1"/>
  <c r="H818" i="2"/>
  <c r="I818" i="2" s="1"/>
  <c r="J818" i="2" s="1"/>
  <c r="K818" i="2" s="1"/>
  <c r="L818" i="2" s="1"/>
  <c r="M818" i="2" s="1"/>
  <c r="N818" i="2" s="1"/>
  <c r="O818" i="2" s="1"/>
  <c r="P818" i="2" s="1"/>
  <c r="H810" i="2"/>
  <c r="I810" i="2" s="1"/>
  <c r="J810" i="2" s="1"/>
  <c r="K810" i="2" s="1"/>
  <c r="L810" i="2" s="1"/>
  <c r="M810" i="2" s="1"/>
  <c r="N810" i="2" s="1"/>
  <c r="O810" i="2" s="1"/>
  <c r="P810" i="2" s="1"/>
  <c r="H802" i="2"/>
  <c r="I802" i="2" s="1"/>
  <c r="J802" i="2" s="1"/>
  <c r="K802" i="2" s="1"/>
  <c r="L802" i="2" s="1"/>
  <c r="M802" i="2" s="1"/>
  <c r="N802" i="2" s="1"/>
  <c r="O802" i="2" s="1"/>
  <c r="P802" i="2" s="1"/>
  <c r="H794" i="2"/>
  <c r="I794" i="2" s="1"/>
  <c r="J794" i="2" s="1"/>
  <c r="K794" i="2" s="1"/>
  <c r="L794" i="2" s="1"/>
  <c r="M794" i="2" s="1"/>
  <c r="N794" i="2" s="1"/>
  <c r="O794" i="2" s="1"/>
  <c r="P794" i="2" s="1"/>
  <c r="H786" i="2"/>
  <c r="I786" i="2" s="1"/>
  <c r="J786" i="2" s="1"/>
  <c r="K786" i="2" s="1"/>
  <c r="L786" i="2" s="1"/>
  <c r="M786" i="2" s="1"/>
  <c r="N786" i="2" s="1"/>
  <c r="O786" i="2" s="1"/>
  <c r="P786" i="2" s="1"/>
  <c r="H778" i="2"/>
  <c r="I778" i="2" s="1"/>
  <c r="J778" i="2" s="1"/>
  <c r="K778" i="2" s="1"/>
  <c r="L778" i="2" s="1"/>
  <c r="M778" i="2" s="1"/>
  <c r="N778" i="2" s="1"/>
  <c r="O778" i="2" s="1"/>
  <c r="P778" i="2" s="1"/>
  <c r="H770" i="2"/>
  <c r="I770" i="2" s="1"/>
  <c r="J770" i="2" s="1"/>
  <c r="K770" i="2" s="1"/>
  <c r="L770" i="2" s="1"/>
  <c r="M770" i="2" s="1"/>
  <c r="N770" i="2" s="1"/>
  <c r="O770" i="2" s="1"/>
  <c r="P770" i="2" s="1"/>
  <c r="Q770" i="2" s="1"/>
  <c r="R770" i="2" s="1"/>
  <c r="S770" i="2" s="1"/>
  <c r="H762" i="2"/>
  <c r="I762" i="2" s="1"/>
  <c r="J762" i="2" s="1"/>
  <c r="K762" i="2" s="1"/>
  <c r="L762" i="2" s="1"/>
  <c r="M762" i="2" s="1"/>
  <c r="N762" i="2" s="1"/>
  <c r="O762" i="2" s="1"/>
  <c r="P762" i="2" s="1"/>
  <c r="H754" i="2"/>
  <c r="I754" i="2" s="1"/>
  <c r="J754" i="2" s="1"/>
  <c r="K754" i="2" s="1"/>
  <c r="L754" i="2" s="1"/>
  <c r="M754" i="2" s="1"/>
  <c r="N754" i="2" s="1"/>
  <c r="O754" i="2" s="1"/>
  <c r="P754" i="2" s="1"/>
  <c r="H746" i="2"/>
  <c r="I746" i="2" s="1"/>
  <c r="J746" i="2" s="1"/>
  <c r="K746" i="2" s="1"/>
  <c r="L746" i="2" s="1"/>
  <c r="M746" i="2" s="1"/>
  <c r="N746" i="2" s="1"/>
  <c r="O746" i="2" s="1"/>
  <c r="P746" i="2" s="1"/>
  <c r="H738" i="2"/>
  <c r="I738" i="2" s="1"/>
  <c r="J738" i="2" s="1"/>
  <c r="K738" i="2" s="1"/>
  <c r="L738" i="2" s="1"/>
  <c r="M738" i="2" s="1"/>
  <c r="N738" i="2" s="1"/>
  <c r="O738" i="2" s="1"/>
  <c r="P738" i="2" s="1"/>
  <c r="H730" i="2"/>
  <c r="I730" i="2" s="1"/>
  <c r="J730" i="2" s="1"/>
  <c r="K730" i="2" s="1"/>
  <c r="L730" i="2" s="1"/>
  <c r="M730" i="2" s="1"/>
  <c r="N730" i="2" s="1"/>
  <c r="O730" i="2" s="1"/>
  <c r="P730" i="2" s="1"/>
  <c r="H722" i="2"/>
  <c r="I722" i="2" s="1"/>
  <c r="J722" i="2" s="1"/>
  <c r="K722" i="2" s="1"/>
  <c r="L722" i="2" s="1"/>
  <c r="M722" i="2" s="1"/>
  <c r="N722" i="2" s="1"/>
  <c r="O722" i="2" s="1"/>
  <c r="P722" i="2" s="1"/>
  <c r="H714" i="2"/>
  <c r="I714" i="2" s="1"/>
  <c r="J714" i="2" s="1"/>
  <c r="K714" i="2" s="1"/>
  <c r="L714" i="2" s="1"/>
  <c r="M714" i="2" s="1"/>
  <c r="N714" i="2" s="1"/>
  <c r="O714" i="2" s="1"/>
  <c r="P714" i="2" s="1"/>
  <c r="H706" i="2"/>
  <c r="I706" i="2" s="1"/>
  <c r="J706" i="2" s="1"/>
  <c r="K706" i="2" s="1"/>
  <c r="L706" i="2" s="1"/>
  <c r="M706" i="2" s="1"/>
  <c r="N706" i="2" s="1"/>
  <c r="O706" i="2" s="1"/>
  <c r="P706" i="2" s="1"/>
  <c r="H698" i="2"/>
  <c r="I698" i="2" s="1"/>
  <c r="J698" i="2" s="1"/>
  <c r="K698" i="2" s="1"/>
  <c r="L698" i="2" s="1"/>
  <c r="M698" i="2" s="1"/>
  <c r="N698" i="2" s="1"/>
  <c r="O698" i="2" s="1"/>
  <c r="P698" i="2" s="1"/>
  <c r="H690" i="2"/>
  <c r="I690" i="2" s="1"/>
  <c r="J690" i="2" s="1"/>
  <c r="K690" i="2" s="1"/>
  <c r="L690" i="2" s="1"/>
  <c r="M690" i="2" s="1"/>
  <c r="N690" i="2" s="1"/>
  <c r="O690" i="2" s="1"/>
  <c r="P690" i="2" s="1"/>
  <c r="H682" i="2"/>
  <c r="I682" i="2" s="1"/>
  <c r="J682" i="2" s="1"/>
  <c r="K682" i="2" s="1"/>
  <c r="L682" i="2" s="1"/>
  <c r="M682" i="2" s="1"/>
  <c r="N682" i="2" s="1"/>
  <c r="O682" i="2" s="1"/>
  <c r="P682" i="2" s="1"/>
  <c r="H674" i="2"/>
  <c r="I674" i="2" s="1"/>
  <c r="J674" i="2" s="1"/>
  <c r="K674" i="2" s="1"/>
  <c r="L674" i="2" s="1"/>
  <c r="M674" i="2" s="1"/>
  <c r="N674" i="2" s="1"/>
  <c r="O674" i="2" s="1"/>
  <c r="P674" i="2" s="1"/>
  <c r="H666" i="2"/>
  <c r="I666" i="2" s="1"/>
  <c r="J666" i="2" s="1"/>
  <c r="K666" i="2" s="1"/>
  <c r="L666" i="2" s="1"/>
  <c r="M666" i="2" s="1"/>
  <c r="N666" i="2" s="1"/>
  <c r="O666" i="2" s="1"/>
  <c r="P666" i="2" s="1"/>
  <c r="H658" i="2"/>
  <c r="I658" i="2" s="1"/>
  <c r="J658" i="2" s="1"/>
  <c r="K658" i="2" s="1"/>
  <c r="L658" i="2" s="1"/>
  <c r="M658" i="2" s="1"/>
  <c r="N658" i="2" s="1"/>
  <c r="O658" i="2" s="1"/>
  <c r="P658" i="2" s="1"/>
  <c r="H642" i="2"/>
  <c r="I642" i="2" s="1"/>
  <c r="J642" i="2" s="1"/>
  <c r="K642" i="2" s="1"/>
  <c r="L642" i="2" s="1"/>
  <c r="M642" i="2" s="1"/>
  <c r="N642" i="2" s="1"/>
  <c r="O642" i="2" s="1"/>
  <c r="P642" i="2" s="1"/>
  <c r="H618" i="2"/>
  <c r="I618" i="2" s="1"/>
  <c r="J618" i="2" s="1"/>
  <c r="K618" i="2" s="1"/>
  <c r="L618" i="2" s="1"/>
  <c r="M618" i="2" s="1"/>
  <c r="N618" i="2" s="1"/>
  <c r="O618" i="2" s="1"/>
  <c r="P618" i="2" s="1"/>
  <c r="H610" i="2"/>
  <c r="I610" i="2" s="1"/>
  <c r="J610" i="2" s="1"/>
  <c r="K610" i="2" s="1"/>
  <c r="L610" i="2" s="1"/>
  <c r="M610" i="2" s="1"/>
  <c r="N610" i="2" s="1"/>
  <c r="O610" i="2" s="1"/>
  <c r="P610" i="2" s="1"/>
  <c r="H602" i="2"/>
  <c r="I602" i="2" s="1"/>
  <c r="J602" i="2" s="1"/>
  <c r="K602" i="2" s="1"/>
  <c r="L602" i="2" s="1"/>
  <c r="M602" i="2" s="1"/>
  <c r="N602" i="2" s="1"/>
  <c r="O602" i="2" s="1"/>
  <c r="P602" i="2" s="1"/>
  <c r="H594" i="2"/>
  <c r="I594" i="2" s="1"/>
  <c r="J594" i="2" s="1"/>
  <c r="K594" i="2" s="1"/>
  <c r="L594" i="2" s="1"/>
  <c r="M594" i="2" s="1"/>
  <c r="N594" i="2" s="1"/>
  <c r="O594" i="2" s="1"/>
  <c r="P594" i="2" s="1"/>
  <c r="H578" i="2"/>
  <c r="I578" i="2" s="1"/>
  <c r="J578" i="2" s="1"/>
  <c r="K578" i="2" s="1"/>
  <c r="L578" i="2" s="1"/>
  <c r="M578" i="2" s="1"/>
  <c r="N578" i="2" s="1"/>
  <c r="O578" i="2" s="1"/>
  <c r="P578" i="2" s="1"/>
  <c r="H570" i="2"/>
  <c r="I570" i="2" s="1"/>
  <c r="J570" i="2" s="1"/>
  <c r="K570" i="2" s="1"/>
  <c r="L570" i="2" s="1"/>
  <c r="M570" i="2" s="1"/>
  <c r="N570" i="2" s="1"/>
  <c r="O570" i="2" s="1"/>
  <c r="P570" i="2" s="1"/>
  <c r="H562" i="2"/>
  <c r="I562" i="2" s="1"/>
  <c r="J562" i="2" s="1"/>
  <c r="K562" i="2" s="1"/>
  <c r="L562" i="2" s="1"/>
  <c r="M562" i="2" s="1"/>
  <c r="N562" i="2" s="1"/>
  <c r="O562" i="2" s="1"/>
  <c r="P562" i="2" s="1"/>
  <c r="H554" i="2"/>
  <c r="I554" i="2" s="1"/>
  <c r="J554" i="2" s="1"/>
  <c r="K554" i="2" s="1"/>
  <c r="L554" i="2" s="1"/>
  <c r="M554" i="2" s="1"/>
  <c r="N554" i="2" s="1"/>
  <c r="O554" i="2" s="1"/>
  <c r="P554" i="2" s="1"/>
  <c r="H546" i="2"/>
  <c r="I546" i="2" s="1"/>
  <c r="J546" i="2" s="1"/>
  <c r="K546" i="2" s="1"/>
  <c r="L546" i="2" s="1"/>
  <c r="M546" i="2" s="1"/>
  <c r="N546" i="2" s="1"/>
  <c r="O546" i="2" s="1"/>
  <c r="P546" i="2" s="1"/>
  <c r="H538" i="2"/>
  <c r="I538" i="2" s="1"/>
  <c r="J538" i="2" s="1"/>
  <c r="K538" i="2" s="1"/>
  <c r="L538" i="2" s="1"/>
  <c r="M538" i="2" s="1"/>
  <c r="N538" i="2" s="1"/>
  <c r="O538" i="2" s="1"/>
  <c r="P538" i="2" s="1"/>
  <c r="H530" i="2"/>
  <c r="I530" i="2" s="1"/>
  <c r="J530" i="2" s="1"/>
  <c r="K530" i="2" s="1"/>
  <c r="L530" i="2" s="1"/>
  <c r="M530" i="2" s="1"/>
  <c r="N530" i="2" s="1"/>
  <c r="O530" i="2" s="1"/>
  <c r="P530" i="2" s="1"/>
  <c r="H522" i="2"/>
  <c r="I522" i="2" s="1"/>
  <c r="J522" i="2" s="1"/>
  <c r="K522" i="2" s="1"/>
  <c r="L522" i="2" s="1"/>
  <c r="M522" i="2" s="1"/>
  <c r="N522" i="2" s="1"/>
  <c r="O522" i="2" s="1"/>
  <c r="P522" i="2" s="1"/>
  <c r="H514" i="2"/>
  <c r="I514" i="2" s="1"/>
  <c r="J514" i="2" s="1"/>
  <c r="K514" i="2" s="1"/>
  <c r="L514" i="2" s="1"/>
  <c r="M514" i="2" s="1"/>
  <c r="N514" i="2" s="1"/>
  <c r="O514" i="2" s="1"/>
  <c r="P514" i="2" s="1"/>
  <c r="H506" i="2"/>
  <c r="I506" i="2" s="1"/>
  <c r="J506" i="2" s="1"/>
  <c r="K506" i="2" s="1"/>
  <c r="L506" i="2" s="1"/>
  <c r="M506" i="2" s="1"/>
  <c r="N506" i="2" s="1"/>
  <c r="O506" i="2" s="1"/>
  <c r="P506" i="2" s="1"/>
  <c r="H498" i="2"/>
  <c r="I498" i="2" s="1"/>
  <c r="J498" i="2" s="1"/>
  <c r="K498" i="2" s="1"/>
  <c r="L498" i="2" s="1"/>
  <c r="M498" i="2" s="1"/>
  <c r="N498" i="2" s="1"/>
  <c r="O498" i="2" s="1"/>
  <c r="P498" i="2" s="1"/>
  <c r="H490" i="2"/>
  <c r="I490" i="2" s="1"/>
  <c r="J490" i="2" s="1"/>
  <c r="K490" i="2" s="1"/>
  <c r="L490" i="2" s="1"/>
  <c r="M490" i="2" s="1"/>
  <c r="N490" i="2" s="1"/>
  <c r="O490" i="2" s="1"/>
  <c r="P490" i="2" s="1"/>
  <c r="H482" i="2"/>
  <c r="I482" i="2" s="1"/>
  <c r="J482" i="2" s="1"/>
  <c r="K482" i="2" s="1"/>
  <c r="L482" i="2" s="1"/>
  <c r="M482" i="2" s="1"/>
  <c r="N482" i="2" s="1"/>
  <c r="O482" i="2" s="1"/>
  <c r="P482" i="2" s="1"/>
  <c r="H474" i="2"/>
  <c r="I474" i="2" s="1"/>
  <c r="J474" i="2" s="1"/>
  <c r="K474" i="2" s="1"/>
  <c r="L474" i="2" s="1"/>
  <c r="M474" i="2" s="1"/>
  <c r="N474" i="2" s="1"/>
  <c r="O474" i="2" s="1"/>
  <c r="P474" i="2" s="1"/>
  <c r="H466" i="2"/>
  <c r="I466" i="2" s="1"/>
  <c r="J466" i="2" s="1"/>
  <c r="K466" i="2" s="1"/>
  <c r="L466" i="2" s="1"/>
  <c r="M466" i="2" s="1"/>
  <c r="N466" i="2" s="1"/>
  <c r="O466" i="2" s="1"/>
  <c r="P466" i="2" s="1"/>
  <c r="Q466" i="2" s="1"/>
  <c r="R466" i="2" s="1"/>
  <c r="S466" i="2" s="1"/>
  <c r="H458" i="2"/>
  <c r="I458" i="2" s="1"/>
  <c r="J458" i="2" s="1"/>
  <c r="K458" i="2" s="1"/>
  <c r="L458" i="2" s="1"/>
  <c r="M458" i="2" s="1"/>
  <c r="N458" i="2" s="1"/>
  <c r="O458" i="2" s="1"/>
  <c r="P458" i="2" s="1"/>
  <c r="H450" i="2"/>
  <c r="I450" i="2" s="1"/>
  <c r="J450" i="2" s="1"/>
  <c r="K450" i="2" s="1"/>
  <c r="L450" i="2" s="1"/>
  <c r="M450" i="2" s="1"/>
  <c r="N450" i="2" s="1"/>
  <c r="O450" i="2" s="1"/>
  <c r="P450" i="2" s="1"/>
  <c r="H442" i="2"/>
  <c r="I442" i="2" s="1"/>
  <c r="J442" i="2" s="1"/>
  <c r="K442" i="2" s="1"/>
  <c r="L442" i="2" s="1"/>
  <c r="M442" i="2" s="1"/>
  <c r="N442" i="2" s="1"/>
  <c r="O442" i="2" s="1"/>
  <c r="P442" i="2" s="1"/>
  <c r="H434" i="2"/>
  <c r="I434" i="2" s="1"/>
  <c r="J434" i="2" s="1"/>
  <c r="K434" i="2" s="1"/>
  <c r="L434" i="2" s="1"/>
  <c r="M434" i="2" s="1"/>
  <c r="N434" i="2" s="1"/>
  <c r="O434" i="2" s="1"/>
  <c r="P434" i="2" s="1"/>
  <c r="H426" i="2"/>
  <c r="I426" i="2" s="1"/>
  <c r="J426" i="2" s="1"/>
  <c r="K426" i="2" s="1"/>
  <c r="L426" i="2" s="1"/>
  <c r="M426" i="2" s="1"/>
  <c r="N426" i="2" s="1"/>
  <c r="O426" i="2" s="1"/>
  <c r="P426" i="2" s="1"/>
  <c r="H418" i="2"/>
  <c r="I418" i="2" s="1"/>
  <c r="J418" i="2" s="1"/>
  <c r="K418" i="2" s="1"/>
  <c r="L418" i="2" s="1"/>
  <c r="M418" i="2" s="1"/>
  <c r="N418" i="2" s="1"/>
  <c r="O418" i="2" s="1"/>
  <c r="P418" i="2" s="1"/>
  <c r="H410" i="2"/>
  <c r="I410" i="2" s="1"/>
  <c r="J410" i="2" s="1"/>
  <c r="K410" i="2" s="1"/>
  <c r="L410" i="2" s="1"/>
  <c r="M410" i="2" s="1"/>
  <c r="N410" i="2" s="1"/>
  <c r="O410" i="2" s="1"/>
  <c r="P410" i="2" s="1"/>
  <c r="H402" i="2"/>
  <c r="I402" i="2" s="1"/>
  <c r="J402" i="2" s="1"/>
  <c r="K402" i="2" s="1"/>
  <c r="L402" i="2" s="1"/>
  <c r="M402" i="2" s="1"/>
  <c r="N402" i="2" s="1"/>
  <c r="O402" i="2" s="1"/>
  <c r="P402" i="2" s="1"/>
  <c r="H394" i="2"/>
  <c r="I394" i="2" s="1"/>
  <c r="J394" i="2" s="1"/>
  <c r="K394" i="2" s="1"/>
  <c r="L394" i="2" s="1"/>
  <c r="M394" i="2" s="1"/>
  <c r="N394" i="2" s="1"/>
  <c r="O394" i="2" s="1"/>
  <c r="P394" i="2" s="1"/>
  <c r="H386" i="2"/>
  <c r="I386" i="2" s="1"/>
  <c r="J386" i="2" s="1"/>
  <c r="K386" i="2" s="1"/>
  <c r="L386" i="2" s="1"/>
  <c r="M386" i="2" s="1"/>
  <c r="N386" i="2" s="1"/>
  <c r="O386" i="2" s="1"/>
  <c r="P386" i="2" s="1"/>
  <c r="H378" i="2"/>
  <c r="I378" i="2" s="1"/>
  <c r="J378" i="2" s="1"/>
  <c r="K378" i="2" s="1"/>
  <c r="L378" i="2" s="1"/>
  <c r="M378" i="2" s="1"/>
  <c r="N378" i="2" s="1"/>
  <c r="O378" i="2" s="1"/>
  <c r="P378" i="2" s="1"/>
  <c r="H370" i="2"/>
  <c r="I370" i="2" s="1"/>
  <c r="J370" i="2" s="1"/>
  <c r="K370" i="2" s="1"/>
  <c r="L370" i="2" s="1"/>
  <c r="M370" i="2" s="1"/>
  <c r="N370" i="2" s="1"/>
  <c r="O370" i="2" s="1"/>
  <c r="P370" i="2" s="1"/>
  <c r="H362" i="2"/>
  <c r="I362" i="2" s="1"/>
  <c r="J362" i="2" s="1"/>
  <c r="K362" i="2" s="1"/>
  <c r="L362" i="2" s="1"/>
  <c r="M362" i="2" s="1"/>
  <c r="N362" i="2" s="1"/>
  <c r="O362" i="2" s="1"/>
  <c r="P362" i="2" s="1"/>
  <c r="H354" i="2"/>
  <c r="I354" i="2" s="1"/>
  <c r="J354" i="2" s="1"/>
  <c r="K354" i="2" s="1"/>
  <c r="L354" i="2" s="1"/>
  <c r="M354" i="2" s="1"/>
  <c r="N354" i="2" s="1"/>
  <c r="O354" i="2" s="1"/>
  <c r="P354" i="2" s="1"/>
  <c r="H346" i="2"/>
  <c r="I346" i="2" s="1"/>
  <c r="J346" i="2" s="1"/>
  <c r="K346" i="2" s="1"/>
  <c r="L346" i="2" s="1"/>
  <c r="M346" i="2" s="1"/>
  <c r="N346" i="2" s="1"/>
  <c r="O346" i="2" s="1"/>
  <c r="P346" i="2" s="1"/>
  <c r="H338" i="2"/>
  <c r="I338" i="2" s="1"/>
  <c r="J338" i="2" s="1"/>
  <c r="K338" i="2" s="1"/>
  <c r="L338" i="2" s="1"/>
  <c r="M338" i="2" s="1"/>
  <c r="N338" i="2" s="1"/>
  <c r="O338" i="2" s="1"/>
  <c r="P338" i="2" s="1"/>
  <c r="H330" i="2"/>
  <c r="I330" i="2" s="1"/>
  <c r="J330" i="2" s="1"/>
  <c r="K330" i="2" s="1"/>
  <c r="L330" i="2" s="1"/>
  <c r="M330" i="2" s="1"/>
  <c r="N330" i="2" s="1"/>
  <c r="O330" i="2" s="1"/>
  <c r="P330" i="2" s="1"/>
  <c r="H322" i="2"/>
  <c r="I322" i="2" s="1"/>
  <c r="J322" i="2" s="1"/>
  <c r="K322" i="2" s="1"/>
  <c r="L322" i="2" s="1"/>
  <c r="M322" i="2" s="1"/>
  <c r="N322" i="2" s="1"/>
  <c r="O322" i="2" s="1"/>
  <c r="P322" i="2" s="1"/>
  <c r="H314" i="2"/>
  <c r="I314" i="2" s="1"/>
  <c r="J314" i="2" s="1"/>
  <c r="K314" i="2" s="1"/>
  <c r="L314" i="2" s="1"/>
  <c r="M314" i="2" s="1"/>
  <c r="N314" i="2" s="1"/>
  <c r="O314" i="2" s="1"/>
  <c r="P314" i="2" s="1"/>
  <c r="H306" i="2"/>
  <c r="I306" i="2" s="1"/>
  <c r="J306" i="2" s="1"/>
  <c r="K306" i="2" s="1"/>
  <c r="L306" i="2" s="1"/>
  <c r="M306" i="2" s="1"/>
  <c r="N306" i="2" s="1"/>
  <c r="O306" i="2" s="1"/>
  <c r="P306" i="2" s="1"/>
  <c r="H298" i="2"/>
  <c r="I298" i="2" s="1"/>
  <c r="J298" i="2" s="1"/>
  <c r="K298" i="2" s="1"/>
  <c r="L298" i="2" s="1"/>
  <c r="M298" i="2" s="1"/>
  <c r="N298" i="2" s="1"/>
  <c r="O298" i="2" s="1"/>
  <c r="P298" i="2" s="1"/>
  <c r="H290" i="2"/>
  <c r="I290" i="2" s="1"/>
  <c r="J290" i="2" s="1"/>
  <c r="K290" i="2" s="1"/>
  <c r="L290" i="2" s="1"/>
  <c r="M290" i="2" s="1"/>
  <c r="N290" i="2" s="1"/>
  <c r="O290" i="2" s="1"/>
  <c r="P290" i="2" s="1"/>
  <c r="H282" i="2"/>
  <c r="I282" i="2" s="1"/>
  <c r="J282" i="2" s="1"/>
  <c r="K282" i="2" s="1"/>
  <c r="L282" i="2" s="1"/>
  <c r="M282" i="2" s="1"/>
  <c r="N282" i="2" s="1"/>
  <c r="O282" i="2" s="1"/>
  <c r="P282" i="2" s="1"/>
  <c r="H274" i="2"/>
  <c r="I274" i="2" s="1"/>
  <c r="J274" i="2" s="1"/>
  <c r="K274" i="2" s="1"/>
  <c r="L274" i="2" s="1"/>
  <c r="M274" i="2" s="1"/>
  <c r="N274" i="2" s="1"/>
  <c r="O274" i="2" s="1"/>
  <c r="P274" i="2" s="1"/>
  <c r="H266" i="2"/>
  <c r="I266" i="2" s="1"/>
  <c r="J266" i="2" s="1"/>
  <c r="K266" i="2" s="1"/>
  <c r="L266" i="2" s="1"/>
  <c r="M266" i="2" s="1"/>
  <c r="N266" i="2" s="1"/>
  <c r="O266" i="2" s="1"/>
  <c r="P266" i="2" s="1"/>
  <c r="H258" i="2"/>
  <c r="I258" i="2" s="1"/>
  <c r="J258" i="2" s="1"/>
  <c r="K258" i="2" s="1"/>
  <c r="L258" i="2" s="1"/>
  <c r="M258" i="2" s="1"/>
  <c r="N258" i="2" s="1"/>
  <c r="O258" i="2" s="1"/>
  <c r="P258" i="2" s="1"/>
  <c r="H250" i="2"/>
  <c r="I250" i="2" s="1"/>
  <c r="J250" i="2" s="1"/>
  <c r="K250" i="2" s="1"/>
  <c r="L250" i="2" s="1"/>
  <c r="M250" i="2" s="1"/>
  <c r="N250" i="2" s="1"/>
  <c r="O250" i="2" s="1"/>
  <c r="P250" i="2" s="1"/>
  <c r="H242" i="2"/>
  <c r="I242" i="2" s="1"/>
  <c r="J242" i="2" s="1"/>
  <c r="K242" i="2" s="1"/>
  <c r="L242" i="2" s="1"/>
  <c r="M242" i="2" s="1"/>
  <c r="N242" i="2" s="1"/>
  <c r="O242" i="2" s="1"/>
  <c r="P242" i="2" s="1"/>
  <c r="Q993" i="2"/>
  <c r="R993" i="2" s="1"/>
  <c r="S993" i="2" s="1"/>
  <c r="Q974" i="2"/>
  <c r="R974" i="2" s="1"/>
  <c r="S974" i="2" s="1"/>
  <c r="Q952" i="2"/>
  <c r="R952" i="2" s="1"/>
  <c r="S952" i="2" s="1"/>
  <c r="Q929" i="2"/>
  <c r="R929" i="2" s="1"/>
  <c r="S929" i="2" s="1"/>
  <c r="Q910" i="2"/>
  <c r="R910" i="2" s="1"/>
  <c r="S910" i="2" s="1"/>
  <c r="Q888" i="2"/>
  <c r="R888" i="2" s="1"/>
  <c r="S888" i="2" s="1"/>
  <c r="Q865" i="2"/>
  <c r="R865" i="2" s="1"/>
  <c r="S865" i="2" s="1"/>
  <c r="Q846" i="2"/>
  <c r="R846" i="2" s="1"/>
  <c r="S846" i="2" s="1"/>
  <c r="Q824" i="2"/>
  <c r="R824" i="2" s="1"/>
  <c r="S824" i="2" s="1"/>
  <c r="Q801" i="2"/>
  <c r="R801" i="2" s="1"/>
  <c r="S801" i="2" s="1"/>
  <c r="Q782" i="2"/>
  <c r="R782" i="2" s="1"/>
  <c r="S782" i="2" s="1"/>
  <c r="Q760" i="2"/>
  <c r="R760" i="2" s="1"/>
  <c r="S760" i="2" s="1"/>
  <c r="Q737" i="2"/>
  <c r="R737" i="2" s="1"/>
  <c r="S737" i="2" s="1"/>
  <c r="Q718" i="2"/>
  <c r="R718" i="2" s="1"/>
  <c r="S718" i="2" s="1"/>
  <c r="Q696" i="2"/>
  <c r="R696" i="2" s="1"/>
  <c r="S696" i="2" s="1"/>
  <c r="Q664" i="2"/>
  <c r="R664" i="2" s="1"/>
  <c r="S664" i="2" s="1"/>
  <c r="Q634" i="2"/>
  <c r="R634" i="2" s="1"/>
  <c r="S634" i="2" s="1"/>
  <c r="Q599" i="2"/>
  <c r="R599" i="2" s="1"/>
  <c r="S599" i="2" s="1"/>
  <c r="Q552" i="2"/>
  <c r="R552" i="2" s="1"/>
  <c r="S552" i="2" s="1"/>
  <c r="Q502" i="2"/>
  <c r="R502" i="2" s="1"/>
  <c r="S502" i="2" s="1"/>
  <c r="Q443" i="2"/>
  <c r="R443" i="2" s="1"/>
  <c r="S443" i="2" s="1"/>
  <c r="Q374" i="2"/>
  <c r="R374" i="2" s="1"/>
  <c r="S374" i="2" s="1"/>
  <c r="Q203" i="2"/>
  <c r="R203" i="2" s="1"/>
  <c r="S203" i="2" s="1"/>
  <c r="Q32" i="2"/>
  <c r="R32" i="2" s="1"/>
  <c r="S32" i="2" s="1"/>
  <c r="H205" i="2"/>
  <c r="I205" i="2" s="1"/>
  <c r="J205" i="2" s="1"/>
  <c r="K205" i="2" s="1"/>
  <c r="L205" i="2" s="1"/>
  <c r="M205" i="2" s="1"/>
  <c r="N205" i="2" s="1"/>
  <c r="O205" i="2" s="1"/>
  <c r="P205" i="2" s="1"/>
  <c r="H197" i="2"/>
  <c r="I197" i="2" s="1"/>
  <c r="J197" i="2" s="1"/>
  <c r="K197" i="2" s="1"/>
  <c r="L197" i="2" s="1"/>
  <c r="M197" i="2" s="1"/>
  <c r="N197" i="2" s="1"/>
  <c r="O197" i="2" s="1"/>
  <c r="P197" i="2" s="1"/>
  <c r="H189" i="2"/>
  <c r="I189" i="2" s="1"/>
  <c r="J189" i="2" s="1"/>
  <c r="K189" i="2" s="1"/>
  <c r="L189" i="2" s="1"/>
  <c r="M189" i="2" s="1"/>
  <c r="N189" i="2" s="1"/>
  <c r="O189" i="2" s="1"/>
  <c r="P189" i="2" s="1"/>
  <c r="H181" i="2"/>
  <c r="I181" i="2" s="1"/>
  <c r="J181" i="2" s="1"/>
  <c r="K181" i="2" s="1"/>
  <c r="L181" i="2" s="1"/>
  <c r="M181" i="2" s="1"/>
  <c r="N181" i="2" s="1"/>
  <c r="O181" i="2" s="1"/>
  <c r="P181" i="2" s="1"/>
  <c r="H173" i="2"/>
  <c r="I173" i="2" s="1"/>
  <c r="J173" i="2" s="1"/>
  <c r="K173" i="2" s="1"/>
  <c r="L173" i="2" s="1"/>
  <c r="M173" i="2" s="1"/>
  <c r="N173" i="2" s="1"/>
  <c r="O173" i="2" s="1"/>
  <c r="P173" i="2" s="1"/>
  <c r="H165" i="2"/>
  <c r="I165" i="2" s="1"/>
  <c r="J165" i="2" s="1"/>
  <c r="K165" i="2" s="1"/>
  <c r="L165" i="2" s="1"/>
  <c r="M165" i="2" s="1"/>
  <c r="N165" i="2" s="1"/>
  <c r="O165" i="2" s="1"/>
  <c r="P165" i="2" s="1"/>
  <c r="H157" i="2"/>
  <c r="I157" i="2" s="1"/>
  <c r="J157" i="2" s="1"/>
  <c r="K157" i="2" s="1"/>
  <c r="L157" i="2" s="1"/>
  <c r="M157" i="2" s="1"/>
  <c r="N157" i="2" s="1"/>
  <c r="O157" i="2" s="1"/>
  <c r="P157" i="2" s="1"/>
  <c r="H149" i="2"/>
  <c r="I149" i="2" s="1"/>
  <c r="J149" i="2" s="1"/>
  <c r="K149" i="2" s="1"/>
  <c r="L149" i="2" s="1"/>
  <c r="M149" i="2" s="1"/>
  <c r="N149" i="2" s="1"/>
  <c r="O149" i="2" s="1"/>
  <c r="P149" i="2" s="1"/>
  <c r="H141" i="2"/>
  <c r="I141" i="2" s="1"/>
  <c r="J141" i="2" s="1"/>
  <c r="K141" i="2" s="1"/>
  <c r="L141" i="2" s="1"/>
  <c r="M141" i="2" s="1"/>
  <c r="N141" i="2" s="1"/>
  <c r="O141" i="2" s="1"/>
  <c r="P141" i="2" s="1"/>
  <c r="H133" i="2"/>
  <c r="I133" i="2" s="1"/>
  <c r="J133" i="2" s="1"/>
  <c r="K133" i="2" s="1"/>
  <c r="L133" i="2" s="1"/>
  <c r="M133" i="2" s="1"/>
  <c r="N133" i="2" s="1"/>
  <c r="O133" i="2" s="1"/>
  <c r="P133" i="2" s="1"/>
  <c r="H125" i="2"/>
  <c r="I125" i="2" s="1"/>
  <c r="J125" i="2" s="1"/>
  <c r="K125" i="2" s="1"/>
  <c r="L125" i="2" s="1"/>
  <c r="M125" i="2" s="1"/>
  <c r="N125" i="2" s="1"/>
  <c r="O125" i="2" s="1"/>
  <c r="P125" i="2" s="1"/>
  <c r="Q125" i="2" s="1"/>
  <c r="R125" i="2" s="1"/>
  <c r="S125" i="2" s="1"/>
  <c r="H117" i="2"/>
  <c r="I117" i="2" s="1"/>
  <c r="J117" i="2" s="1"/>
  <c r="K117" i="2" s="1"/>
  <c r="L117" i="2" s="1"/>
  <c r="M117" i="2" s="1"/>
  <c r="N117" i="2" s="1"/>
  <c r="O117" i="2" s="1"/>
  <c r="P117" i="2" s="1"/>
  <c r="H109" i="2"/>
  <c r="I109" i="2" s="1"/>
  <c r="J109" i="2" s="1"/>
  <c r="K109" i="2" s="1"/>
  <c r="L109" i="2" s="1"/>
  <c r="M109" i="2" s="1"/>
  <c r="N109" i="2" s="1"/>
  <c r="O109" i="2" s="1"/>
  <c r="P109" i="2" s="1"/>
  <c r="H101" i="2"/>
  <c r="I101" i="2" s="1"/>
  <c r="J101" i="2" s="1"/>
  <c r="K101" i="2" s="1"/>
  <c r="L101" i="2" s="1"/>
  <c r="M101" i="2" s="1"/>
  <c r="N101" i="2" s="1"/>
  <c r="O101" i="2" s="1"/>
  <c r="P101" i="2" s="1"/>
  <c r="H93" i="2"/>
  <c r="I93" i="2" s="1"/>
  <c r="J93" i="2" s="1"/>
  <c r="K93" i="2" s="1"/>
  <c r="L93" i="2" s="1"/>
  <c r="M93" i="2" s="1"/>
  <c r="N93" i="2" s="1"/>
  <c r="O93" i="2" s="1"/>
  <c r="P93" i="2" s="1"/>
  <c r="H85" i="2"/>
  <c r="I85" i="2" s="1"/>
  <c r="J85" i="2" s="1"/>
  <c r="K85" i="2" s="1"/>
  <c r="L85" i="2" s="1"/>
  <c r="M85" i="2" s="1"/>
  <c r="N85" i="2" s="1"/>
  <c r="O85" i="2" s="1"/>
  <c r="P85" i="2" s="1"/>
  <c r="H77" i="2"/>
  <c r="I77" i="2" s="1"/>
  <c r="J77" i="2" s="1"/>
  <c r="K77" i="2" s="1"/>
  <c r="L77" i="2" s="1"/>
  <c r="M77" i="2" s="1"/>
  <c r="N77" i="2" s="1"/>
  <c r="O77" i="2" s="1"/>
  <c r="P77" i="2" s="1"/>
  <c r="H69" i="2"/>
  <c r="I69" i="2" s="1"/>
  <c r="J69" i="2" s="1"/>
  <c r="K69" i="2" s="1"/>
  <c r="L69" i="2" s="1"/>
  <c r="M69" i="2" s="1"/>
  <c r="N69" i="2" s="1"/>
  <c r="O69" i="2" s="1"/>
  <c r="P69" i="2" s="1"/>
  <c r="H61" i="2"/>
  <c r="I61" i="2" s="1"/>
  <c r="J61" i="2" s="1"/>
  <c r="K61" i="2" s="1"/>
  <c r="L61" i="2" s="1"/>
  <c r="M61" i="2" s="1"/>
  <c r="N61" i="2" s="1"/>
  <c r="O61" i="2" s="1"/>
  <c r="P61" i="2" s="1"/>
  <c r="H53" i="2"/>
  <c r="I53" i="2" s="1"/>
  <c r="J53" i="2" s="1"/>
  <c r="K53" i="2" s="1"/>
  <c r="L53" i="2" s="1"/>
  <c r="M53" i="2" s="1"/>
  <c r="N53" i="2" s="1"/>
  <c r="O53" i="2" s="1"/>
  <c r="P53" i="2" s="1"/>
  <c r="H45" i="2"/>
  <c r="I45" i="2" s="1"/>
  <c r="J45" i="2" s="1"/>
  <c r="K45" i="2" s="1"/>
  <c r="L45" i="2" s="1"/>
  <c r="M45" i="2" s="1"/>
  <c r="N45" i="2" s="1"/>
  <c r="O45" i="2" s="1"/>
  <c r="P45" i="2" s="1"/>
  <c r="H37" i="2"/>
  <c r="I37" i="2" s="1"/>
  <c r="J37" i="2" s="1"/>
  <c r="K37" i="2" s="1"/>
  <c r="L37" i="2" s="1"/>
  <c r="M37" i="2" s="1"/>
  <c r="N37" i="2" s="1"/>
  <c r="O37" i="2" s="1"/>
  <c r="P37" i="2" s="1"/>
  <c r="H29" i="2"/>
  <c r="I29" i="2" s="1"/>
  <c r="J29" i="2" s="1"/>
  <c r="K29" i="2" s="1"/>
  <c r="L29" i="2" s="1"/>
  <c r="M29" i="2" s="1"/>
  <c r="N29" i="2" s="1"/>
  <c r="O29" i="2" s="1"/>
  <c r="P29" i="2" s="1"/>
  <c r="H21" i="2"/>
  <c r="I21" i="2" s="1"/>
  <c r="J21" i="2" s="1"/>
  <c r="K21" i="2" s="1"/>
  <c r="L21" i="2" s="1"/>
  <c r="M21" i="2" s="1"/>
  <c r="N21" i="2" s="1"/>
  <c r="O21" i="2" s="1"/>
  <c r="P21" i="2" s="1"/>
  <c r="H13" i="2"/>
  <c r="I13" i="2" s="1"/>
  <c r="J13" i="2" s="1"/>
  <c r="K13" i="2" s="1"/>
  <c r="L13" i="2" s="1"/>
  <c r="M13" i="2" s="1"/>
  <c r="N13" i="2" s="1"/>
  <c r="O13" i="2" s="1"/>
  <c r="P13" i="2" s="1"/>
  <c r="H236" i="2"/>
  <c r="I236" i="2" s="1"/>
  <c r="J236" i="2" s="1"/>
  <c r="K236" i="2" s="1"/>
  <c r="L236" i="2" s="1"/>
  <c r="M236" i="2" s="1"/>
  <c r="N236" i="2" s="1"/>
  <c r="O236" i="2" s="1"/>
  <c r="P236" i="2" s="1"/>
  <c r="H228" i="2"/>
  <c r="I228" i="2" s="1"/>
  <c r="J228" i="2" s="1"/>
  <c r="K228" i="2" s="1"/>
  <c r="L228" i="2" s="1"/>
  <c r="M228" i="2" s="1"/>
  <c r="N228" i="2" s="1"/>
  <c r="O228" i="2" s="1"/>
  <c r="P228" i="2" s="1"/>
  <c r="H220" i="2"/>
  <c r="I220" i="2" s="1"/>
  <c r="J220" i="2" s="1"/>
  <c r="K220" i="2" s="1"/>
  <c r="L220" i="2" s="1"/>
  <c r="M220" i="2" s="1"/>
  <c r="N220" i="2" s="1"/>
  <c r="O220" i="2" s="1"/>
  <c r="P220" i="2" s="1"/>
  <c r="H212" i="2"/>
  <c r="I212" i="2" s="1"/>
  <c r="J212" i="2" s="1"/>
  <c r="K212" i="2" s="1"/>
  <c r="L212" i="2" s="1"/>
  <c r="M212" i="2" s="1"/>
  <c r="N212" i="2" s="1"/>
  <c r="O212" i="2" s="1"/>
  <c r="P212" i="2" s="1"/>
  <c r="H204" i="2"/>
  <c r="I204" i="2" s="1"/>
  <c r="J204" i="2" s="1"/>
  <c r="K204" i="2" s="1"/>
  <c r="L204" i="2" s="1"/>
  <c r="M204" i="2" s="1"/>
  <c r="N204" i="2" s="1"/>
  <c r="O204" i="2" s="1"/>
  <c r="P204" i="2" s="1"/>
  <c r="H196" i="2"/>
  <c r="I196" i="2" s="1"/>
  <c r="J196" i="2" s="1"/>
  <c r="K196" i="2" s="1"/>
  <c r="L196" i="2" s="1"/>
  <c r="M196" i="2" s="1"/>
  <c r="N196" i="2" s="1"/>
  <c r="O196" i="2" s="1"/>
  <c r="P196" i="2" s="1"/>
  <c r="H188" i="2"/>
  <c r="I188" i="2" s="1"/>
  <c r="J188" i="2" s="1"/>
  <c r="K188" i="2" s="1"/>
  <c r="L188" i="2" s="1"/>
  <c r="M188" i="2" s="1"/>
  <c r="N188" i="2" s="1"/>
  <c r="O188" i="2" s="1"/>
  <c r="P188" i="2" s="1"/>
  <c r="H180" i="2"/>
  <c r="I180" i="2" s="1"/>
  <c r="J180" i="2" s="1"/>
  <c r="K180" i="2" s="1"/>
  <c r="L180" i="2" s="1"/>
  <c r="M180" i="2" s="1"/>
  <c r="N180" i="2" s="1"/>
  <c r="O180" i="2" s="1"/>
  <c r="P180" i="2" s="1"/>
  <c r="H172" i="2"/>
  <c r="I172" i="2" s="1"/>
  <c r="J172" i="2" s="1"/>
  <c r="K172" i="2" s="1"/>
  <c r="L172" i="2" s="1"/>
  <c r="M172" i="2" s="1"/>
  <c r="N172" i="2" s="1"/>
  <c r="O172" i="2" s="1"/>
  <c r="P172" i="2" s="1"/>
  <c r="H164" i="2"/>
  <c r="I164" i="2" s="1"/>
  <c r="J164" i="2" s="1"/>
  <c r="K164" i="2" s="1"/>
  <c r="L164" i="2" s="1"/>
  <c r="M164" i="2" s="1"/>
  <c r="N164" i="2" s="1"/>
  <c r="O164" i="2" s="1"/>
  <c r="P164" i="2" s="1"/>
  <c r="H156" i="2"/>
  <c r="I156" i="2" s="1"/>
  <c r="J156" i="2" s="1"/>
  <c r="K156" i="2" s="1"/>
  <c r="L156" i="2" s="1"/>
  <c r="M156" i="2" s="1"/>
  <c r="N156" i="2" s="1"/>
  <c r="O156" i="2" s="1"/>
  <c r="P156" i="2" s="1"/>
  <c r="H148" i="2"/>
  <c r="I148" i="2" s="1"/>
  <c r="J148" i="2" s="1"/>
  <c r="K148" i="2" s="1"/>
  <c r="L148" i="2" s="1"/>
  <c r="M148" i="2" s="1"/>
  <c r="N148" i="2" s="1"/>
  <c r="O148" i="2" s="1"/>
  <c r="P148" i="2" s="1"/>
  <c r="H140" i="2"/>
  <c r="I140" i="2" s="1"/>
  <c r="J140" i="2" s="1"/>
  <c r="K140" i="2" s="1"/>
  <c r="L140" i="2" s="1"/>
  <c r="M140" i="2" s="1"/>
  <c r="N140" i="2" s="1"/>
  <c r="O140" i="2" s="1"/>
  <c r="P140" i="2" s="1"/>
  <c r="H132" i="2"/>
  <c r="I132" i="2" s="1"/>
  <c r="J132" i="2" s="1"/>
  <c r="K132" i="2" s="1"/>
  <c r="L132" i="2" s="1"/>
  <c r="M132" i="2" s="1"/>
  <c r="N132" i="2" s="1"/>
  <c r="O132" i="2" s="1"/>
  <c r="P132" i="2" s="1"/>
  <c r="H124" i="2"/>
  <c r="I124" i="2" s="1"/>
  <c r="J124" i="2" s="1"/>
  <c r="K124" i="2" s="1"/>
  <c r="L124" i="2" s="1"/>
  <c r="M124" i="2" s="1"/>
  <c r="N124" i="2" s="1"/>
  <c r="O124" i="2" s="1"/>
  <c r="P124" i="2" s="1"/>
  <c r="H116" i="2"/>
  <c r="I116" i="2" s="1"/>
  <c r="J116" i="2" s="1"/>
  <c r="K116" i="2" s="1"/>
  <c r="L116" i="2" s="1"/>
  <c r="M116" i="2" s="1"/>
  <c r="N116" i="2" s="1"/>
  <c r="O116" i="2" s="1"/>
  <c r="P116" i="2" s="1"/>
  <c r="H108" i="2"/>
  <c r="I108" i="2" s="1"/>
  <c r="J108" i="2" s="1"/>
  <c r="K108" i="2" s="1"/>
  <c r="L108" i="2" s="1"/>
  <c r="M108" i="2" s="1"/>
  <c r="N108" i="2" s="1"/>
  <c r="O108" i="2" s="1"/>
  <c r="P108" i="2" s="1"/>
  <c r="H100" i="2"/>
  <c r="I100" i="2" s="1"/>
  <c r="J100" i="2" s="1"/>
  <c r="K100" i="2" s="1"/>
  <c r="L100" i="2" s="1"/>
  <c r="M100" i="2" s="1"/>
  <c r="N100" i="2" s="1"/>
  <c r="O100" i="2" s="1"/>
  <c r="P100" i="2" s="1"/>
  <c r="H92" i="2"/>
  <c r="I92" i="2" s="1"/>
  <c r="J92" i="2" s="1"/>
  <c r="K92" i="2" s="1"/>
  <c r="L92" i="2" s="1"/>
  <c r="M92" i="2" s="1"/>
  <c r="N92" i="2" s="1"/>
  <c r="O92" i="2" s="1"/>
  <c r="P92" i="2" s="1"/>
  <c r="H84" i="2"/>
  <c r="I84" i="2" s="1"/>
  <c r="J84" i="2" s="1"/>
  <c r="K84" i="2" s="1"/>
  <c r="L84" i="2" s="1"/>
  <c r="M84" i="2" s="1"/>
  <c r="N84" i="2" s="1"/>
  <c r="O84" i="2" s="1"/>
  <c r="P84" i="2" s="1"/>
  <c r="H76" i="2"/>
  <c r="I76" i="2" s="1"/>
  <c r="J76" i="2" s="1"/>
  <c r="K76" i="2" s="1"/>
  <c r="L76" i="2" s="1"/>
  <c r="M76" i="2" s="1"/>
  <c r="N76" i="2" s="1"/>
  <c r="O76" i="2" s="1"/>
  <c r="P76" i="2" s="1"/>
  <c r="H68" i="2"/>
  <c r="I68" i="2" s="1"/>
  <c r="J68" i="2" s="1"/>
  <c r="K68" i="2" s="1"/>
  <c r="L68" i="2" s="1"/>
  <c r="M68" i="2" s="1"/>
  <c r="N68" i="2" s="1"/>
  <c r="O68" i="2" s="1"/>
  <c r="P68" i="2" s="1"/>
  <c r="H60" i="2"/>
  <c r="I60" i="2" s="1"/>
  <c r="J60" i="2" s="1"/>
  <c r="K60" i="2" s="1"/>
  <c r="L60" i="2" s="1"/>
  <c r="M60" i="2" s="1"/>
  <c r="N60" i="2" s="1"/>
  <c r="O60" i="2" s="1"/>
  <c r="P60" i="2" s="1"/>
  <c r="H52" i="2"/>
  <c r="I52" i="2" s="1"/>
  <c r="J52" i="2" s="1"/>
  <c r="K52" i="2" s="1"/>
  <c r="L52" i="2" s="1"/>
  <c r="M52" i="2" s="1"/>
  <c r="N52" i="2" s="1"/>
  <c r="O52" i="2" s="1"/>
  <c r="P52" i="2" s="1"/>
  <c r="H44" i="2"/>
  <c r="I44" i="2" s="1"/>
  <c r="J44" i="2" s="1"/>
  <c r="K44" i="2" s="1"/>
  <c r="L44" i="2" s="1"/>
  <c r="M44" i="2" s="1"/>
  <c r="N44" i="2" s="1"/>
  <c r="O44" i="2" s="1"/>
  <c r="P44" i="2" s="1"/>
  <c r="H36" i="2"/>
  <c r="I36" i="2" s="1"/>
  <c r="J36" i="2" s="1"/>
  <c r="K36" i="2" s="1"/>
  <c r="L36" i="2" s="1"/>
  <c r="M36" i="2" s="1"/>
  <c r="N36" i="2" s="1"/>
  <c r="O36" i="2" s="1"/>
  <c r="P36" i="2" s="1"/>
  <c r="H28" i="2"/>
  <c r="I28" i="2" s="1"/>
  <c r="J28" i="2" s="1"/>
  <c r="K28" i="2" s="1"/>
  <c r="L28" i="2" s="1"/>
  <c r="M28" i="2" s="1"/>
  <c r="N28" i="2" s="1"/>
  <c r="O28" i="2" s="1"/>
  <c r="P28" i="2" s="1"/>
  <c r="H20" i="2"/>
  <c r="I20" i="2" s="1"/>
  <c r="J20" i="2" s="1"/>
  <c r="K20" i="2" s="1"/>
  <c r="L20" i="2" s="1"/>
  <c r="M20" i="2" s="1"/>
  <c r="N20" i="2" s="1"/>
  <c r="O20" i="2" s="1"/>
  <c r="P20" i="2" s="1"/>
  <c r="H12" i="2"/>
  <c r="I12" i="2" s="1"/>
  <c r="J12" i="2" s="1"/>
  <c r="K12" i="2" s="1"/>
  <c r="L12" i="2" s="1"/>
  <c r="M12" i="2" s="1"/>
  <c r="N12" i="2" s="1"/>
  <c r="O12" i="2" s="1"/>
  <c r="P12" i="2" s="1"/>
  <c r="Q27" i="2"/>
  <c r="R27" i="2" s="1"/>
  <c r="S27" i="2" s="1"/>
  <c r="H11" i="2"/>
  <c r="I11" i="2" s="1"/>
  <c r="J11" i="2" s="1"/>
  <c r="K11" i="2" s="1"/>
  <c r="L11" i="2" s="1"/>
  <c r="M11" i="2" s="1"/>
  <c r="N11" i="2" s="1"/>
  <c r="O11" i="2" s="1"/>
  <c r="P11" i="2" s="1"/>
  <c r="H234" i="2"/>
  <c r="I234" i="2" s="1"/>
  <c r="J234" i="2" s="1"/>
  <c r="K234" i="2" s="1"/>
  <c r="L234" i="2" s="1"/>
  <c r="M234" i="2" s="1"/>
  <c r="N234" i="2" s="1"/>
  <c r="O234" i="2" s="1"/>
  <c r="P234" i="2" s="1"/>
  <c r="H226" i="2"/>
  <c r="I226" i="2" s="1"/>
  <c r="J226" i="2" s="1"/>
  <c r="K226" i="2" s="1"/>
  <c r="L226" i="2" s="1"/>
  <c r="M226" i="2" s="1"/>
  <c r="N226" i="2" s="1"/>
  <c r="O226" i="2" s="1"/>
  <c r="P226" i="2" s="1"/>
  <c r="H218" i="2"/>
  <c r="I218" i="2" s="1"/>
  <c r="J218" i="2" s="1"/>
  <c r="K218" i="2" s="1"/>
  <c r="L218" i="2" s="1"/>
  <c r="M218" i="2" s="1"/>
  <c r="N218" i="2" s="1"/>
  <c r="O218" i="2" s="1"/>
  <c r="P218" i="2" s="1"/>
  <c r="H210" i="2"/>
  <c r="I210" i="2" s="1"/>
  <c r="J210" i="2" s="1"/>
  <c r="K210" i="2" s="1"/>
  <c r="L210" i="2" s="1"/>
  <c r="M210" i="2" s="1"/>
  <c r="N210" i="2" s="1"/>
  <c r="O210" i="2" s="1"/>
  <c r="P210" i="2" s="1"/>
  <c r="H202" i="2"/>
  <c r="I202" i="2" s="1"/>
  <c r="J202" i="2" s="1"/>
  <c r="K202" i="2" s="1"/>
  <c r="L202" i="2" s="1"/>
  <c r="M202" i="2" s="1"/>
  <c r="N202" i="2" s="1"/>
  <c r="O202" i="2" s="1"/>
  <c r="P202" i="2" s="1"/>
  <c r="H194" i="2"/>
  <c r="I194" i="2" s="1"/>
  <c r="J194" i="2" s="1"/>
  <c r="K194" i="2" s="1"/>
  <c r="L194" i="2" s="1"/>
  <c r="M194" i="2" s="1"/>
  <c r="N194" i="2" s="1"/>
  <c r="O194" i="2" s="1"/>
  <c r="P194" i="2" s="1"/>
  <c r="H186" i="2"/>
  <c r="I186" i="2" s="1"/>
  <c r="J186" i="2" s="1"/>
  <c r="K186" i="2" s="1"/>
  <c r="L186" i="2" s="1"/>
  <c r="M186" i="2" s="1"/>
  <c r="N186" i="2" s="1"/>
  <c r="O186" i="2" s="1"/>
  <c r="P186" i="2" s="1"/>
  <c r="H178" i="2"/>
  <c r="I178" i="2" s="1"/>
  <c r="J178" i="2" s="1"/>
  <c r="K178" i="2" s="1"/>
  <c r="L178" i="2" s="1"/>
  <c r="M178" i="2" s="1"/>
  <c r="N178" i="2" s="1"/>
  <c r="O178" i="2" s="1"/>
  <c r="P178" i="2" s="1"/>
  <c r="H170" i="2"/>
  <c r="I170" i="2" s="1"/>
  <c r="J170" i="2" s="1"/>
  <c r="K170" i="2" s="1"/>
  <c r="L170" i="2" s="1"/>
  <c r="M170" i="2" s="1"/>
  <c r="N170" i="2" s="1"/>
  <c r="O170" i="2" s="1"/>
  <c r="P170" i="2" s="1"/>
  <c r="H162" i="2"/>
  <c r="I162" i="2" s="1"/>
  <c r="J162" i="2" s="1"/>
  <c r="K162" i="2" s="1"/>
  <c r="L162" i="2" s="1"/>
  <c r="M162" i="2" s="1"/>
  <c r="N162" i="2" s="1"/>
  <c r="O162" i="2" s="1"/>
  <c r="P162" i="2" s="1"/>
  <c r="H154" i="2"/>
  <c r="I154" i="2" s="1"/>
  <c r="J154" i="2" s="1"/>
  <c r="K154" i="2" s="1"/>
  <c r="L154" i="2" s="1"/>
  <c r="M154" i="2" s="1"/>
  <c r="N154" i="2" s="1"/>
  <c r="O154" i="2" s="1"/>
  <c r="P154" i="2" s="1"/>
  <c r="H146" i="2"/>
  <c r="I146" i="2" s="1"/>
  <c r="J146" i="2" s="1"/>
  <c r="K146" i="2" s="1"/>
  <c r="L146" i="2" s="1"/>
  <c r="M146" i="2" s="1"/>
  <c r="N146" i="2" s="1"/>
  <c r="O146" i="2" s="1"/>
  <c r="P146" i="2" s="1"/>
  <c r="H138" i="2"/>
  <c r="I138" i="2" s="1"/>
  <c r="J138" i="2" s="1"/>
  <c r="K138" i="2" s="1"/>
  <c r="L138" i="2" s="1"/>
  <c r="M138" i="2" s="1"/>
  <c r="N138" i="2" s="1"/>
  <c r="O138" i="2" s="1"/>
  <c r="P138" i="2" s="1"/>
  <c r="H130" i="2"/>
  <c r="I130" i="2" s="1"/>
  <c r="J130" i="2" s="1"/>
  <c r="K130" i="2" s="1"/>
  <c r="L130" i="2" s="1"/>
  <c r="M130" i="2" s="1"/>
  <c r="N130" i="2" s="1"/>
  <c r="O130" i="2" s="1"/>
  <c r="P130" i="2" s="1"/>
  <c r="H122" i="2"/>
  <c r="I122" i="2" s="1"/>
  <c r="J122" i="2" s="1"/>
  <c r="K122" i="2" s="1"/>
  <c r="L122" i="2" s="1"/>
  <c r="M122" i="2" s="1"/>
  <c r="N122" i="2" s="1"/>
  <c r="O122" i="2" s="1"/>
  <c r="P122" i="2" s="1"/>
  <c r="H114" i="2"/>
  <c r="I114" i="2" s="1"/>
  <c r="J114" i="2" s="1"/>
  <c r="K114" i="2" s="1"/>
  <c r="L114" i="2" s="1"/>
  <c r="M114" i="2" s="1"/>
  <c r="N114" i="2" s="1"/>
  <c r="O114" i="2" s="1"/>
  <c r="P114" i="2" s="1"/>
  <c r="H106" i="2"/>
  <c r="I106" i="2" s="1"/>
  <c r="J106" i="2" s="1"/>
  <c r="K106" i="2" s="1"/>
  <c r="L106" i="2" s="1"/>
  <c r="M106" i="2" s="1"/>
  <c r="N106" i="2" s="1"/>
  <c r="O106" i="2" s="1"/>
  <c r="P106" i="2" s="1"/>
  <c r="H98" i="2"/>
  <c r="I98" i="2" s="1"/>
  <c r="J98" i="2" s="1"/>
  <c r="K98" i="2" s="1"/>
  <c r="L98" i="2" s="1"/>
  <c r="M98" i="2" s="1"/>
  <c r="N98" i="2" s="1"/>
  <c r="O98" i="2" s="1"/>
  <c r="P98" i="2" s="1"/>
  <c r="H90" i="2"/>
  <c r="I90" i="2" s="1"/>
  <c r="J90" i="2" s="1"/>
  <c r="K90" i="2" s="1"/>
  <c r="L90" i="2" s="1"/>
  <c r="M90" i="2" s="1"/>
  <c r="N90" i="2" s="1"/>
  <c r="O90" i="2" s="1"/>
  <c r="P90" i="2" s="1"/>
  <c r="H82" i="2"/>
  <c r="I82" i="2" s="1"/>
  <c r="J82" i="2" s="1"/>
  <c r="K82" i="2" s="1"/>
  <c r="L82" i="2" s="1"/>
  <c r="M82" i="2" s="1"/>
  <c r="N82" i="2" s="1"/>
  <c r="O82" i="2" s="1"/>
  <c r="P82" i="2" s="1"/>
  <c r="H74" i="2"/>
  <c r="I74" i="2" s="1"/>
  <c r="J74" i="2" s="1"/>
  <c r="K74" i="2" s="1"/>
  <c r="L74" i="2" s="1"/>
  <c r="M74" i="2" s="1"/>
  <c r="N74" i="2" s="1"/>
  <c r="O74" i="2" s="1"/>
  <c r="P74" i="2" s="1"/>
  <c r="H66" i="2"/>
  <c r="I66" i="2" s="1"/>
  <c r="J66" i="2" s="1"/>
  <c r="K66" i="2" s="1"/>
  <c r="L66" i="2" s="1"/>
  <c r="M66" i="2" s="1"/>
  <c r="N66" i="2" s="1"/>
  <c r="O66" i="2" s="1"/>
  <c r="P66" i="2" s="1"/>
  <c r="H58" i="2"/>
  <c r="I58" i="2" s="1"/>
  <c r="J58" i="2" s="1"/>
  <c r="K58" i="2" s="1"/>
  <c r="L58" i="2" s="1"/>
  <c r="M58" i="2" s="1"/>
  <c r="N58" i="2" s="1"/>
  <c r="O58" i="2" s="1"/>
  <c r="P58" i="2" s="1"/>
  <c r="H50" i="2"/>
  <c r="I50" i="2" s="1"/>
  <c r="J50" i="2" s="1"/>
  <c r="K50" i="2" s="1"/>
  <c r="L50" i="2" s="1"/>
  <c r="M50" i="2" s="1"/>
  <c r="N50" i="2" s="1"/>
  <c r="O50" i="2" s="1"/>
  <c r="P50" i="2" s="1"/>
  <c r="H42" i="2"/>
  <c r="I42" i="2" s="1"/>
  <c r="J42" i="2" s="1"/>
  <c r="K42" i="2" s="1"/>
  <c r="L42" i="2" s="1"/>
  <c r="M42" i="2" s="1"/>
  <c r="N42" i="2" s="1"/>
  <c r="O42" i="2" s="1"/>
  <c r="P42" i="2" s="1"/>
  <c r="H34" i="2"/>
  <c r="I34" i="2" s="1"/>
  <c r="J34" i="2" s="1"/>
  <c r="K34" i="2" s="1"/>
  <c r="L34" i="2" s="1"/>
  <c r="M34" i="2" s="1"/>
  <c r="N34" i="2" s="1"/>
  <c r="O34" i="2" s="1"/>
  <c r="P34" i="2" s="1"/>
  <c r="H26" i="2"/>
  <c r="I26" i="2" s="1"/>
  <c r="J26" i="2" s="1"/>
  <c r="K26" i="2" s="1"/>
  <c r="L26" i="2" s="1"/>
  <c r="M26" i="2" s="1"/>
  <c r="N26" i="2" s="1"/>
  <c r="O26" i="2" s="1"/>
  <c r="P26" i="2" s="1"/>
  <c r="H18" i="2"/>
  <c r="I18" i="2" s="1"/>
  <c r="J18" i="2" s="1"/>
  <c r="K18" i="2" s="1"/>
  <c r="L18" i="2" s="1"/>
  <c r="M18" i="2" s="1"/>
  <c r="N18" i="2" s="1"/>
  <c r="O18" i="2" s="1"/>
  <c r="P18" i="2" s="1"/>
  <c r="H10" i="2"/>
  <c r="I10" i="2" s="1"/>
  <c r="J10" i="2" s="1"/>
  <c r="K10" i="2" s="1"/>
  <c r="L10" i="2" s="1"/>
  <c r="M10" i="2" s="1"/>
  <c r="N10" i="2" s="1"/>
  <c r="O10" i="2" s="1"/>
  <c r="P10" i="2" s="1"/>
  <c r="Q19" i="2"/>
  <c r="R19" i="2" s="1"/>
  <c r="S19" i="2" s="1"/>
  <c r="H231" i="2"/>
  <c r="I231" i="2" s="1"/>
  <c r="J231" i="2" s="1"/>
  <c r="K231" i="2" s="1"/>
  <c r="L231" i="2" s="1"/>
  <c r="M231" i="2" s="1"/>
  <c r="N231" i="2" s="1"/>
  <c r="O231" i="2" s="1"/>
  <c r="P231" i="2" s="1"/>
  <c r="H223" i="2"/>
  <c r="I223" i="2" s="1"/>
  <c r="J223" i="2" s="1"/>
  <c r="K223" i="2" s="1"/>
  <c r="L223" i="2" s="1"/>
  <c r="M223" i="2" s="1"/>
  <c r="N223" i="2" s="1"/>
  <c r="O223" i="2" s="1"/>
  <c r="P223" i="2" s="1"/>
  <c r="H215" i="2"/>
  <c r="I215" i="2" s="1"/>
  <c r="J215" i="2" s="1"/>
  <c r="K215" i="2" s="1"/>
  <c r="L215" i="2" s="1"/>
  <c r="M215" i="2" s="1"/>
  <c r="N215" i="2" s="1"/>
  <c r="O215" i="2" s="1"/>
  <c r="P215" i="2" s="1"/>
  <c r="H207" i="2"/>
  <c r="I207" i="2" s="1"/>
  <c r="J207" i="2" s="1"/>
  <c r="K207" i="2" s="1"/>
  <c r="L207" i="2" s="1"/>
  <c r="M207" i="2" s="1"/>
  <c r="N207" i="2" s="1"/>
  <c r="O207" i="2" s="1"/>
  <c r="P207" i="2" s="1"/>
  <c r="H199" i="2"/>
  <c r="I199" i="2" s="1"/>
  <c r="J199" i="2" s="1"/>
  <c r="K199" i="2" s="1"/>
  <c r="L199" i="2" s="1"/>
  <c r="M199" i="2" s="1"/>
  <c r="N199" i="2" s="1"/>
  <c r="O199" i="2" s="1"/>
  <c r="P199" i="2" s="1"/>
  <c r="H191" i="2"/>
  <c r="I191" i="2" s="1"/>
  <c r="J191" i="2" s="1"/>
  <c r="K191" i="2" s="1"/>
  <c r="L191" i="2" s="1"/>
  <c r="M191" i="2" s="1"/>
  <c r="N191" i="2" s="1"/>
  <c r="O191" i="2" s="1"/>
  <c r="P191" i="2" s="1"/>
  <c r="H183" i="2"/>
  <c r="I183" i="2" s="1"/>
  <c r="J183" i="2" s="1"/>
  <c r="K183" i="2" s="1"/>
  <c r="L183" i="2" s="1"/>
  <c r="M183" i="2" s="1"/>
  <c r="N183" i="2" s="1"/>
  <c r="O183" i="2" s="1"/>
  <c r="P183" i="2" s="1"/>
  <c r="H175" i="2"/>
  <c r="I175" i="2" s="1"/>
  <c r="J175" i="2" s="1"/>
  <c r="K175" i="2" s="1"/>
  <c r="L175" i="2" s="1"/>
  <c r="M175" i="2" s="1"/>
  <c r="N175" i="2" s="1"/>
  <c r="O175" i="2" s="1"/>
  <c r="P175" i="2" s="1"/>
  <c r="H167" i="2"/>
  <c r="I167" i="2" s="1"/>
  <c r="J167" i="2" s="1"/>
  <c r="K167" i="2" s="1"/>
  <c r="L167" i="2" s="1"/>
  <c r="M167" i="2" s="1"/>
  <c r="N167" i="2" s="1"/>
  <c r="O167" i="2" s="1"/>
  <c r="P167" i="2" s="1"/>
  <c r="H159" i="2"/>
  <c r="I159" i="2" s="1"/>
  <c r="J159" i="2" s="1"/>
  <c r="K159" i="2" s="1"/>
  <c r="L159" i="2" s="1"/>
  <c r="M159" i="2" s="1"/>
  <c r="N159" i="2" s="1"/>
  <c r="O159" i="2" s="1"/>
  <c r="P159" i="2" s="1"/>
  <c r="H151" i="2"/>
  <c r="I151" i="2" s="1"/>
  <c r="J151" i="2" s="1"/>
  <c r="K151" i="2" s="1"/>
  <c r="L151" i="2" s="1"/>
  <c r="M151" i="2" s="1"/>
  <c r="N151" i="2" s="1"/>
  <c r="O151" i="2" s="1"/>
  <c r="P151" i="2" s="1"/>
  <c r="H143" i="2"/>
  <c r="I143" i="2" s="1"/>
  <c r="J143" i="2" s="1"/>
  <c r="K143" i="2" s="1"/>
  <c r="L143" i="2" s="1"/>
  <c r="M143" i="2" s="1"/>
  <c r="N143" i="2" s="1"/>
  <c r="O143" i="2" s="1"/>
  <c r="P143" i="2" s="1"/>
  <c r="H135" i="2"/>
  <c r="I135" i="2" s="1"/>
  <c r="J135" i="2" s="1"/>
  <c r="K135" i="2" s="1"/>
  <c r="L135" i="2" s="1"/>
  <c r="M135" i="2" s="1"/>
  <c r="N135" i="2" s="1"/>
  <c r="O135" i="2" s="1"/>
  <c r="P135" i="2" s="1"/>
  <c r="H127" i="2"/>
  <c r="I127" i="2" s="1"/>
  <c r="J127" i="2" s="1"/>
  <c r="K127" i="2" s="1"/>
  <c r="L127" i="2" s="1"/>
  <c r="M127" i="2" s="1"/>
  <c r="N127" i="2" s="1"/>
  <c r="O127" i="2" s="1"/>
  <c r="P127" i="2" s="1"/>
  <c r="H119" i="2"/>
  <c r="I119" i="2" s="1"/>
  <c r="J119" i="2" s="1"/>
  <c r="K119" i="2" s="1"/>
  <c r="L119" i="2" s="1"/>
  <c r="M119" i="2" s="1"/>
  <c r="N119" i="2" s="1"/>
  <c r="O119" i="2" s="1"/>
  <c r="P119" i="2" s="1"/>
  <c r="Q119" i="2" s="1"/>
  <c r="R119" i="2" s="1"/>
  <c r="S119" i="2" s="1"/>
  <c r="H111" i="2"/>
  <c r="I111" i="2" s="1"/>
  <c r="J111" i="2" s="1"/>
  <c r="K111" i="2" s="1"/>
  <c r="L111" i="2" s="1"/>
  <c r="M111" i="2" s="1"/>
  <c r="N111" i="2" s="1"/>
  <c r="O111" i="2" s="1"/>
  <c r="P111" i="2" s="1"/>
  <c r="H103" i="2"/>
  <c r="I103" i="2" s="1"/>
  <c r="J103" i="2" s="1"/>
  <c r="K103" i="2" s="1"/>
  <c r="L103" i="2" s="1"/>
  <c r="M103" i="2" s="1"/>
  <c r="N103" i="2" s="1"/>
  <c r="O103" i="2" s="1"/>
  <c r="P103" i="2" s="1"/>
  <c r="H95" i="2"/>
  <c r="I95" i="2" s="1"/>
  <c r="J95" i="2" s="1"/>
  <c r="K95" i="2" s="1"/>
  <c r="L95" i="2" s="1"/>
  <c r="M95" i="2" s="1"/>
  <c r="N95" i="2" s="1"/>
  <c r="O95" i="2" s="1"/>
  <c r="P95" i="2" s="1"/>
  <c r="H87" i="2"/>
  <c r="I87" i="2" s="1"/>
  <c r="J87" i="2" s="1"/>
  <c r="K87" i="2" s="1"/>
  <c r="L87" i="2" s="1"/>
  <c r="M87" i="2" s="1"/>
  <c r="N87" i="2" s="1"/>
  <c r="O87" i="2" s="1"/>
  <c r="P87" i="2" s="1"/>
  <c r="H79" i="2"/>
  <c r="I79" i="2" s="1"/>
  <c r="J79" i="2" s="1"/>
  <c r="K79" i="2" s="1"/>
  <c r="L79" i="2" s="1"/>
  <c r="M79" i="2" s="1"/>
  <c r="N79" i="2" s="1"/>
  <c r="O79" i="2" s="1"/>
  <c r="P79" i="2" s="1"/>
  <c r="H71" i="2"/>
  <c r="I71" i="2" s="1"/>
  <c r="J71" i="2" s="1"/>
  <c r="K71" i="2" s="1"/>
  <c r="L71" i="2" s="1"/>
  <c r="M71" i="2" s="1"/>
  <c r="N71" i="2" s="1"/>
  <c r="O71" i="2" s="1"/>
  <c r="P71" i="2" s="1"/>
  <c r="H63" i="2"/>
  <c r="I63" i="2" s="1"/>
  <c r="J63" i="2" s="1"/>
  <c r="K63" i="2" s="1"/>
  <c r="L63" i="2" s="1"/>
  <c r="M63" i="2" s="1"/>
  <c r="N63" i="2" s="1"/>
  <c r="O63" i="2" s="1"/>
  <c r="P63" i="2" s="1"/>
  <c r="H55" i="2"/>
  <c r="I55" i="2" s="1"/>
  <c r="J55" i="2" s="1"/>
  <c r="K55" i="2" s="1"/>
  <c r="L55" i="2" s="1"/>
  <c r="M55" i="2" s="1"/>
  <c r="N55" i="2" s="1"/>
  <c r="O55" i="2" s="1"/>
  <c r="P55" i="2" s="1"/>
  <c r="H47" i="2"/>
  <c r="I47" i="2" s="1"/>
  <c r="J47" i="2" s="1"/>
  <c r="K47" i="2" s="1"/>
  <c r="L47" i="2" s="1"/>
  <c r="M47" i="2" s="1"/>
  <c r="N47" i="2" s="1"/>
  <c r="O47" i="2" s="1"/>
  <c r="P47" i="2" s="1"/>
  <c r="H39" i="2"/>
  <c r="I39" i="2" s="1"/>
  <c r="J39" i="2" s="1"/>
  <c r="K39" i="2" s="1"/>
  <c r="L39" i="2" s="1"/>
  <c r="M39" i="2" s="1"/>
  <c r="N39" i="2" s="1"/>
  <c r="O39" i="2" s="1"/>
  <c r="P39" i="2" s="1"/>
  <c r="H31" i="2"/>
  <c r="I31" i="2" s="1"/>
  <c r="J31" i="2" s="1"/>
  <c r="K31" i="2" s="1"/>
  <c r="L31" i="2" s="1"/>
  <c r="M31" i="2" s="1"/>
  <c r="N31" i="2" s="1"/>
  <c r="O31" i="2" s="1"/>
  <c r="P31" i="2" s="1"/>
  <c r="H23" i="2"/>
  <c r="I23" i="2" s="1"/>
  <c r="J23" i="2" s="1"/>
  <c r="K23" i="2" s="1"/>
  <c r="L23" i="2" s="1"/>
  <c r="M23" i="2" s="1"/>
  <c r="N23" i="2" s="1"/>
  <c r="O23" i="2" s="1"/>
  <c r="P23" i="2" s="1"/>
  <c r="H15" i="2"/>
  <c r="I15" i="2" s="1"/>
  <c r="J15" i="2" s="1"/>
  <c r="K15" i="2" s="1"/>
  <c r="L15" i="2" s="1"/>
  <c r="M15" i="2" s="1"/>
  <c r="N15" i="2" s="1"/>
  <c r="O15" i="2" s="1"/>
  <c r="P15" i="2" s="1"/>
  <c r="H7" i="2"/>
  <c r="I7" i="2" s="1"/>
  <c r="J7" i="2" s="1"/>
  <c r="K7" i="2" s="1"/>
  <c r="L7" i="2" s="1"/>
  <c r="M7" i="2" s="1"/>
  <c r="N7" i="2" s="1"/>
  <c r="O7" i="2" s="1"/>
  <c r="P7" i="2" s="1"/>
  <c r="Q35" i="2"/>
  <c r="R35" i="2" s="1"/>
  <c r="S35" i="2" s="1"/>
  <c r="Q6" i="2"/>
  <c r="R6" i="2" s="1"/>
  <c r="S6" i="2" s="1"/>
  <c r="G24" i="1"/>
  <c r="H24" i="1" s="1"/>
  <c r="I24" i="1" s="1"/>
  <c r="N660" i="4" l="1"/>
  <c r="N684" i="4"/>
  <c r="N812" i="4"/>
  <c r="N955" i="4"/>
  <c r="N283" i="4"/>
  <c r="N995" i="4"/>
  <c r="M98" i="4"/>
  <c r="N570" i="4"/>
  <c r="N388" i="4"/>
  <c r="N690" i="4"/>
  <c r="N526" i="4"/>
  <c r="N900" i="4"/>
  <c r="N923" i="4"/>
  <c r="N562" i="4"/>
  <c r="N358" i="4"/>
  <c r="N844" i="4"/>
  <c r="N574" i="4"/>
  <c r="N35" i="4"/>
  <c r="N18" i="4"/>
  <c r="N598" i="4"/>
  <c r="N275" i="4"/>
  <c r="M14" i="4"/>
  <c r="N38" i="4"/>
  <c r="N115" i="4"/>
  <c r="N579" i="4"/>
  <c r="N142" i="4"/>
  <c r="N196" i="4"/>
  <c r="N93" i="4"/>
  <c r="N790" i="4"/>
  <c r="N286" i="4"/>
  <c r="N41" i="4"/>
  <c r="N121" i="4"/>
  <c r="N273" i="4"/>
  <c r="N361" i="4"/>
  <c r="N457" i="4"/>
  <c r="N525" i="4"/>
  <c r="N609" i="4"/>
  <c r="N681" i="4"/>
  <c r="N801" i="4"/>
  <c r="N953" i="4"/>
  <c r="N49" i="4"/>
  <c r="N113" i="4"/>
  <c r="N201" i="4"/>
  <c r="N281" i="4"/>
  <c r="N461" i="4"/>
  <c r="N597" i="4"/>
  <c r="N677" i="4"/>
  <c r="N825" i="4"/>
  <c r="N905" i="4"/>
  <c r="N961" i="4"/>
  <c r="N37" i="4"/>
  <c r="N189" i="4"/>
  <c r="N305" i="4"/>
  <c r="N369" i="4"/>
  <c r="N481" i="4"/>
  <c r="N549" i="4"/>
  <c r="N673" i="4"/>
  <c r="N833" i="4"/>
  <c r="N764" i="4"/>
  <c r="N123" i="4"/>
  <c r="N235" i="4"/>
  <c r="N491" i="4"/>
  <c r="N715" i="4"/>
  <c r="N843" i="4"/>
  <c r="N971" i="4"/>
  <c r="N700" i="4"/>
  <c r="N133" i="4"/>
  <c r="N979" i="4"/>
  <c r="N798" i="4"/>
  <c r="N362" i="4"/>
  <c r="N706" i="4"/>
  <c r="N414" i="4"/>
  <c r="N618" i="4"/>
  <c r="N723" i="4"/>
  <c r="M342" i="4"/>
  <c r="N620" i="4"/>
  <c r="N709" i="4"/>
  <c r="N106" i="4"/>
  <c r="N934" i="4"/>
  <c r="N394" i="4"/>
  <c r="N858" i="4"/>
  <c r="N482" i="4"/>
  <c r="N453" i="4"/>
  <c r="N493" i="4"/>
  <c r="N634" i="4"/>
  <c r="N171" i="4"/>
  <c r="M862" i="4"/>
  <c r="N644" i="4"/>
  <c r="N10" i="4"/>
  <c r="N990" i="4"/>
  <c r="N538" i="4"/>
  <c r="N938" i="4"/>
  <c r="N982" i="4"/>
  <c r="N378" i="4"/>
  <c r="N43" i="4"/>
  <c r="N890" i="4"/>
  <c r="N57" i="4"/>
  <c r="N153" i="4"/>
  <c r="N293" i="4"/>
  <c r="N377" i="4"/>
  <c r="N473" i="4"/>
  <c r="N537" i="4"/>
  <c r="N625" i="4"/>
  <c r="N697" i="4"/>
  <c r="N817" i="4"/>
  <c r="N969" i="4"/>
  <c r="N65" i="4"/>
  <c r="N129" i="4"/>
  <c r="N217" i="4"/>
  <c r="N297" i="4"/>
  <c r="N545" i="4"/>
  <c r="N613" i="4"/>
  <c r="N737" i="4"/>
  <c r="N841" i="4"/>
  <c r="N921" i="4"/>
  <c r="N1001" i="4"/>
  <c r="N77" i="4"/>
  <c r="N209" i="4"/>
  <c r="N321" i="4"/>
  <c r="N385" i="4"/>
  <c r="N497" i="4"/>
  <c r="N569" i="4"/>
  <c r="N689" i="4"/>
  <c r="N849" i="4"/>
  <c r="N796" i="4"/>
  <c r="N187" i="4"/>
  <c r="N403" i="4"/>
  <c r="N515" i="4"/>
  <c r="N747" i="4"/>
  <c r="N875" i="4"/>
  <c r="N1003" i="4"/>
  <c r="N517" i="4"/>
  <c r="N74" i="4"/>
  <c r="N370" i="4"/>
  <c r="N722" i="4"/>
  <c r="N771" i="4"/>
  <c r="M870" i="4"/>
  <c r="N629" i="4"/>
  <c r="N117" i="4"/>
  <c r="N78" i="4"/>
  <c r="N299" i="4"/>
  <c r="N122" i="4"/>
  <c r="N366" i="4"/>
  <c r="N654" i="4"/>
  <c r="N806" i="4"/>
  <c r="N998" i="4"/>
  <c r="N66" i="4"/>
  <c r="N386" i="4"/>
  <c r="N578" i="4"/>
  <c r="N770" i="4"/>
  <c r="N950" i="4"/>
  <c r="N867" i="4"/>
  <c r="N878" i="4"/>
  <c r="N54" i="4"/>
  <c r="N276" i="4"/>
  <c r="N748" i="4"/>
  <c r="N221" i="4"/>
  <c r="N22" i="4"/>
  <c r="N118" i="4"/>
  <c r="N363" i="4"/>
  <c r="N202" i="4"/>
  <c r="N442" i="4"/>
  <c r="N686" i="4"/>
  <c r="N822" i="4"/>
  <c r="N379" i="4"/>
  <c r="N150" i="4"/>
  <c r="N406" i="4"/>
  <c r="N626" i="4"/>
  <c r="N794" i="4"/>
  <c r="N59" i="4"/>
  <c r="N251" i="4"/>
  <c r="N670" i="4"/>
  <c r="N46" i="4"/>
  <c r="N350" i="4"/>
  <c r="N954" i="4"/>
  <c r="N323" i="4"/>
  <c r="N662" i="4"/>
  <c r="N348" i="4"/>
  <c r="N756" i="4"/>
  <c r="N237" i="4"/>
  <c r="N20" i="4"/>
  <c r="N555" i="4"/>
  <c r="N246" i="4"/>
  <c r="N458" i="4"/>
  <c r="N734" i="4"/>
  <c r="N571" i="4"/>
  <c r="N238" i="4"/>
  <c r="N462" i="4"/>
  <c r="N810" i="4"/>
  <c r="N643" i="4"/>
  <c r="N802" i="4"/>
  <c r="N750" i="4"/>
  <c r="N899" i="4"/>
  <c r="N781" i="4"/>
  <c r="N82" i="4"/>
  <c r="N178" i="4"/>
  <c r="N382" i="4"/>
  <c r="N814" i="4"/>
  <c r="N778" i="4"/>
  <c r="N364" i="4"/>
  <c r="N772" i="4"/>
  <c r="N301" i="4"/>
  <c r="N42" i="4"/>
  <c r="N540" i="4"/>
  <c r="N755" i="4"/>
  <c r="N282" i="4"/>
  <c r="N502" i="4"/>
  <c r="N742" i="4"/>
  <c r="N619" i="4"/>
  <c r="N278" i="4"/>
  <c r="N478" i="4"/>
  <c r="N650" i="4"/>
  <c r="N818" i="4"/>
  <c r="N339" i="4"/>
  <c r="N787" i="4"/>
  <c r="N454" i="4"/>
  <c r="M99" i="4"/>
  <c r="N99" i="4"/>
  <c r="M494" i="4"/>
  <c r="N494" i="4"/>
  <c r="M830" i="4"/>
  <c r="N830" i="4"/>
  <c r="M50" i="4"/>
  <c r="N50" i="4"/>
  <c r="M434" i="4"/>
  <c r="N434" i="4"/>
  <c r="M190" i="4"/>
  <c r="N190" i="4"/>
  <c r="M387" i="4"/>
  <c r="N387" i="4"/>
  <c r="N933" i="4"/>
  <c r="M933" i="4"/>
  <c r="M413" i="4"/>
  <c r="N413" i="4"/>
  <c r="M365" i="4"/>
  <c r="N365" i="4"/>
  <c r="M931" i="4"/>
  <c r="N931" i="4"/>
  <c r="M53" i="4"/>
  <c r="N53" i="4"/>
  <c r="M324" i="4"/>
  <c r="N324" i="4"/>
  <c r="M948" i="4"/>
  <c r="N948" i="4"/>
  <c r="M186" i="4"/>
  <c r="N186" i="4"/>
  <c r="M158" i="4"/>
  <c r="N158" i="4"/>
  <c r="M834" i="4"/>
  <c r="N834" i="4"/>
  <c r="M166" i="4"/>
  <c r="N166" i="4"/>
  <c r="M170" i="4"/>
  <c r="N170" i="4"/>
  <c r="M908" i="4"/>
  <c r="N908" i="4"/>
  <c r="M172" i="4"/>
  <c r="N172" i="4"/>
  <c r="M294" i="4"/>
  <c r="N294" i="4"/>
  <c r="M850" i="4"/>
  <c r="N850" i="4"/>
  <c r="M566" i="4"/>
  <c r="N566" i="4"/>
  <c r="M146" i="4"/>
  <c r="N146" i="4"/>
  <c r="M518" i="4"/>
  <c r="N518" i="4"/>
  <c r="M882" i="4"/>
  <c r="N882" i="4"/>
  <c r="M972" i="4"/>
  <c r="N972" i="4"/>
  <c r="M67" i="4"/>
  <c r="N67" i="4"/>
  <c r="N922" i="4"/>
  <c r="N446" i="4"/>
  <c r="N410" i="4"/>
  <c r="N741" i="4"/>
  <c r="N266" i="4"/>
  <c r="N302" i="4"/>
  <c r="N470" i="4"/>
  <c r="N91" i="4"/>
  <c r="M766" i="4"/>
  <c r="N766" i="4"/>
  <c r="M214" i="4"/>
  <c r="N214" i="4"/>
  <c r="M666" i="4"/>
  <c r="N666" i="4"/>
  <c r="M925" i="4"/>
  <c r="N925" i="4"/>
  <c r="M757" i="4"/>
  <c r="N757" i="4"/>
  <c r="M645" i="4"/>
  <c r="N645" i="4"/>
  <c r="M546" i="4"/>
  <c r="N546" i="4"/>
  <c r="M842" i="4"/>
  <c r="N842" i="4"/>
  <c r="M110" i="4"/>
  <c r="N110" i="4"/>
  <c r="M522" i="4"/>
  <c r="N522" i="4"/>
  <c r="M710" i="4"/>
  <c r="N710" i="4"/>
  <c r="M774" i="4"/>
  <c r="N774" i="4"/>
  <c r="M838" i="4"/>
  <c r="N838" i="4"/>
  <c r="M902" i="4"/>
  <c r="N902" i="4"/>
  <c r="M966" i="4"/>
  <c r="N966" i="4"/>
  <c r="M75" i="4"/>
  <c r="N75" i="4"/>
  <c r="M242" i="4"/>
  <c r="N242" i="4"/>
  <c r="M51" i="4"/>
  <c r="N51" i="4"/>
  <c r="M218" i="4"/>
  <c r="N218" i="4"/>
  <c r="M27" i="4"/>
  <c r="N27" i="4"/>
  <c r="N15" i="4"/>
  <c r="N47" i="4"/>
  <c r="N79" i="4"/>
  <c r="N111" i="4"/>
  <c r="N143" i="4"/>
  <c r="N175" i="4"/>
  <c r="N207" i="4"/>
  <c r="N239" i="4"/>
  <c r="N271" i="4"/>
  <c r="N303" i="4"/>
  <c r="M412" i="4"/>
  <c r="N412" i="4"/>
  <c r="M685" i="4"/>
  <c r="N685" i="4"/>
  <c r="M813" i="4"/>
  <c r="N813" i="4"/>
  <c r="N941" i="4"/>
  <c r="M941" i="4"/>
  <c r="M29" i="4"/>
  <c r="N29" i="4"/>
  <c r="N73" i="4"/>
  <c r="N137" i="4"/>
  <c r="N185" i="4"/>
  <c r="N225" i="4"/>
  <c r="N289" i="4"/>
  <c r="N357" i="4"/>
  <c r="N409" i="4"/>
  <c r="N449" i="4"/>
  <c r="N509" i="4"/>
  <c r="N589" i="4"/>
  <c r="N649" i="4"/>
  <c r="N761" i="4"/>
  <c r="N865" i="4"/>
  <c r="M108" i="4"/>
  <c r="N108" i="4"/>
  <c r="M437" i="4"/>
  <c r="N437" i="4"/>
  <c r="N311" i="4"/>
  <c r="N335" i="4"/>
  <c r="N355" i="4"/>
  <c r="N375" i="4"/>
  <c r="N399" i="4"/>
  <c r="N419" i="4"/>
  <c r="N439" i="4"/>
  <c r="N463" i="4"/>
  <c r="N483" i="4"/>
  <c r="N503" i="4"/>
  <c r="N527" i="4"/>
  <c r="N547" i="4"/>
  <c r="N567" i="4"/>
  <c r="N591" i="4"/>
  <c r="N611" i="4"/>
  <c r="N631" i="4"/>
  <c r="N655" i="4"/>
  <c r="N675" i="4"/>
  <c r="N703" i="4"/>
  <c r="N735" i="4"/>
  <c r="N767" i="4"/>
  <c r="N799" i="4"/>
  <c r="N831" i="4"/>
  <c r="N863" i="4"/>
  <c r="N895" i="4"/>
  <c r="N927" i="4"/>
  <c r="N959" i="4"/>
  <c r="N991" i="4"/>
  <c r="M805" i="4"/>
  <c r="N805" i="4"/>
  <c r="M389" i="4"/>
  <c r="N389" i="4"/>
  <c r="M691" i="4"/>
  <c r="N691" i="4"/>
  <c r="M819" i="4"/>
  <c r="N819" i="4"/>
  <c r="M947" i="4"/>
  <c r="N947" i="4"/>
  <c r="M773" i="4"/>
  <c r="N773" i="4"/>
  <c r="M541" i="4"/>
  <c r="N541" i="4"/>
  <c r="M349" i="4"/>
  <c r="N349" i="4"/>
  <c r="N708" i="4"/>
  <c r="M708" i="4"/>
  <c r="M836" i="4"/>
  <c r="N836" i="4"/>
  <c r="M964" i="4"/>
  <c r="N964" i="4"/>
  <c r="N16" i="4"/>
  <c r="N40" i="4"/>
  <c r="N60" i="4"/>
  <c r="N80" i="4"/>
  <c r="N104" i="4"/>
  <c r="N124" i="4"/>
  <c r="N144" i="4"/>
  <c r="N168" i="4"/>
  <c r="N188" i="4"/>
  <c r="N208" i="4"/>
  <c r="N232" i="4"/>
  <c r="N252" i="4"/>
  <c r="N272" i="4"/>
  <c r="N296" i="4"/>
  <c r="N316" i="4"/>
  <c r="N336" i="4"/>
  <c r="N360" i="4"/>
  <c r="N380" i="4"/>
  <c r="N400" i="4"/>
  <c r="N424" i="4"/>
  <c r="N444" i="4"/>
  <c r="N464" i="4"/>
  <c r="N488" i="4"/>
  <c r="N508" i="4"/>
  <c r="N528" i="4"/>
  <c r="N552" i="4"/>
  <c r="N572" i="4"/>
  <c r="N592" i="4"/>
  <c r="N616" i="4"/>
  <c r="N636" i="4"/>
  <c r="N656" i="4"/>
  <c r="N680" i="4"/>
  <c r="N712" i="4"/>
  <c r="N744" i="4"/>
  <c r="N776" i="4"/>
  <c r="N808" i="4"/>
  <c r="N840" i="4"/>
  <c r="N872" i="4"/>
  <c r="N904" i="4"/>
  <c r="N936" i="4"/>
  <c r="N968" i="4"/>
  <c r="N1000" i="4"/>
  <c r="M298" i="4"/>
  <c r="N298" i="4"/>
  <c r="M674" i="4"/>
  <c r="N674" i="4"/>
  <c r="M261" i="4"/>
  <c r="N261" i="4"/>
  <c r="M594" i="4"/>
  <c r="N594" i="4"/>
  <c r="M194" i="4"/>
  <c r="N194" i="4"/>
  <c r="M606" i="4"/>
  <c r="N606" i="4"/>
  <c r="M874" i="4"/>
  <c r="N874" i="4"/>
  <c r="M270" i="4"/>
  <c r="N270" i="4"/>
  <c r="M731" i="4"/>
  <c r="N731" i="4"/>
  <c r="N212" i="4"/>
  <c r="N516" i="4"/>
  <c r="N956" i="4"/>
  <c r="M940" i="4"/>
  <c r="N940" i="4"/>
  <c r="M222" i="4"/>
  <c r="N222" i="4"/>
  <c r="M762" i="4"/>
  <c r="N762" i="4"/>
  <c r="M334" i="4"/>
  <c r="N334" i="4"/>
  <c r="M230" i="4"/>
  <c r="N230" i="4"/>
  <c r="M102" i="4"/>
  <c r="N102" i="4"/>
  <c r="M426" i="4"/>
  <c r="N426" i="4"/>
  <c r="M338" i="4"/>
  <c r="N338" i="4"/>
  <c r="M698" i="4"/>
  <c r="N698" i="4"/>
  <c r="M206" i="4"/>
  <c r="N206" i="4"/>
  <c r="M582" i="4"/>
  <c r="N582" i="4"/>
  <c r="M946" i="4"/>
  <c r="N946" i="4"/>
  <c r="M451" i="4"/>
  <c r="N451" i="4"/>
  <c r="M716" i="4"/>
  <c r="N716" i="4"/>
  <c r="M83" i="4"/>
  <c r="N83" i="4"/>
  <c r="N267" i="4"/>
  <c r="N291" i="4"/>
  <c r="M894" i="4"/>
  <c r="N894" i="4"/>
  <c r="M26" i="4"/>
  <c r="N26" i="4"/>
  <c r="M797" i="4"/>
  <c r="N797" i="4"/>
  <c r="M84" i="4"/>
  <c r="N84" i="4"/>
  <c r="M820" i="4"/>
  <c r="N820" i="4"/>
  <c r="M550" i="4"/>
  <c r="N550" i="4"/>
  <c r="M138" i="4"/>
  <c r="N138" i="4"/>
  <c r="M558" i="4"/>
  <c r="N558" i="4"/>
  <c r="M718" i="4"/>
  <c r="N718" i="4"/>
  <c r="M782" i="4"/>
  <c r="N782" i="4"/>
  <c r="M846" i="4"/>
  <c r="N846" i="4"/>
  <c r="M910" i="4"/>
  <c r="N910" i="4"/>
  <c r="M974" i="4"/>
  <c r="N974" i="4"/>
  <c r="M86" i="4"/>
  <c r="N86" i="4"/>
  <c r="M498" i="4"/>
  <c r="N498" i="4"/>
  <c r="M62" i="4"/>
  <c r="N62" i="4"/>
  <c r="M243" i="4"/>
  <c r="N243" i="4"/>
  <c r="M474" i="4"/>
  <c r="N474" i="4"/>
  <c r="M156" i="4"/>
  <c r="N156" i="4"/>
  <c r="M429" i="4"/>
  <c r="N429" i="4"/>
  <c r="M701" i="4"/>
  <c r="N701" i="4"/>
  <c r="M829" i="4"/>
  <c r="N829" i="4"/>
  <c r="M957" i="4"/>
  <c r="N957" i="4"/>
  <c r="M132" i="4"/>
  <c r="N132" i="4"/>
  <c r="M596" i="4"/>
  <c r="N596" i="4"/>
  <c r="M837" i="4"/>
  <c r="N837" i="4"/>
  <c r="N9" i="4"/>
  <c r="N89" i="4"/>
  <c r="N241" i="4"/>
  <c r="N329" i="4"/>
  <c r="N397" i="4"/>
  <c r="N489" i="4"/>
  <c r="N573" i="4"/>
  <c r="N641" i="4"/>
  <c r="N729" i="4"/>
  <c r="N881" i="4"/>
  <c r="N985" i="4"/>
  <c r="M507" i="4"/>
  <c r="N507" i="4"/>
  <c r="M707" i="4"/>
  <c r="N707" i="4"/>
  <c r="M835" i="4"/>
  <c r="N835" i="4"/>
  <c r="M963" i="4"/>
  <c r="N963" i="4"/>
  <c r="M821" i="4"/>
  <c r="N821" i="4"/>
  <c r="M565" i="4"/>
  <c r="N565" i="4"/>
  <c r="N81" i="4"/>
  <c r="N145" i="4"/>
  <c r="N233" i="4"/>
  <c r="N313" i="4"/>
  <c r="N561" i="4"/>
  <c r="N633" i="4"/>
  <c r="N777" i="4"/>
  <c r="N857" i="4"/>
  <c r="N937" i="4"/>
  <c r="M44" i="4"/>
  <c r="N44" i="4"/>
  <c r="M373" i="4"/>
  <c r="N373" i="4"/>
  <c r="M724" i="4"/>
  <c r="N724" i="4"/>
  <c r="M852" i="4"/>
  <c r="N852" i="4"/>
  <c r="M980" i="4"/>
  <c r="N980" i="4"/>
  <c r="M789" i="4"/>
  <c r="N789" i="4"/>
  <c r="N141" i="4"/>
  <c r="N229" i="4"/>
  <c r="N337" i="4"/>
  <c r="N401" i="4"/>
  <c r="N513" i="4"/>
  <c r="N585" i="4"/>
  <c r="N705" i="4"/>
  <c r="N929" i="4"/>
  <c r="M354" i="4"/>
  <c r="N354" i="4"/>
  <c r="M28" i="4"/>
  <c r="N28" i="4"/>
  <c r="M310" i="4"/>
  <c r="N310" i="4"/>
  <c r="M642" i="4"/>
  <c r="N642" i="4"/>
  <c r="M898" i="4"/>
  <c r="N898" i="4"/>
  <c r="M262" i="4"/>
  <c r="N262" i="4"/>
  <c r="M646" i="4"/>
  <c r="N646" i="4"/>
  <c r="M906" i="4"/>
  <c r="N906" i="4"/>
  <c r="M322" i="4"/>
  <c r="N322" i="4"/>
  <c r="M795" i="4"/>
  <c r="N795" i="4"/>
  <c r="M1004" i="4"/>
  <c r="N1004" i="4"/>
  <c r="N924" i="4"/>
  <c r="N195" i="4"/>
  <c r="N427" i="4"/>
  <c r="N635" i="4"/>
  <c r="N779" i="4"/>
  <c r="N907" i="4"/>
  <c r="N236" i="4"/>
  <c r="M274" i="4"/>
  <c r="N274" i="4"/>
  <c r="M58" i="4"/>
  <c r="N58" i="4"/>
  <c r="M658" i="4"/>
  <c r="N658" i="4"/>
  <c r="M290" i="4"/>
  <c r="N290" i="4"/>
  <c r="M198" i="4"/>
  <c r="N198" i="4"/>
  <c r="M501" i="4"/>
  <c r="N501" i="4"/>
  <c r="M258" i="4"/>
  <c r="N258" i="4"/>
  <c r="M786" i="4"/>
  <c r="N786" i="4"/>
  <c r="M614" i="4"/>
  <c r="N614" i="4"/>
  <c r="M245" i="4"/>
  <c r="N245" i="4"/>
  <c r="M492" i="4"/>
  <c r="N492" i="4"/>
  <c r="M19" i="4"/>
  <c r="N19" i="4"/>
  <c r="M131" i="4"/>
  <c r="N131" i="4"/>
  <c r="N510" i="4"/>
  <c r="N866" i="4"/>
  <c r="M702" i="4"/>
  <c r="N702" i="4"/>
  <c r="M958" i="4"/>
  <c r="N958" i="4"/>
  <c r="M668" i="4"/>
  <c r="N668" i="4"/>
  <c r="M309" i="4"/>
  <c r="N309" i="4"/>
  <c r="M803" i="4"/>
  <c r="N803" i="4"/>
  <c r="M692" i="4"/>
  <c r="N692" i="4"/>
  <c r="M590" i="4"/>
  <c r="N590" i="4"/>
  <c r="M162" i="4"/>
  <c r="N162" i="4"/>
  <c r="M452" i="4"/>
  <c r="N452" i="4"/>
  <c r="M876" i="4"/>
  <c r="N876" i="4"/>
  <c r="M163" i="4"/>
  <c r="N163" i="4"/>
  <c r="M330" i="4"/>
  <c r="N330" i="4"/>
  <c r="M586" i="4"/>
  <c r="N586" i="4"/>
  <c r="M726" i="4"/>
  <c r="N726" i="4"/>
  <c r="M854" i="4"/>
  <c r="N854" i="4"/>
  <c r="M918" i="4"/>
  <c r="N918" i="4"/>
  <c r="N114" i="4"/>
  <c r="M114" i="4"/>
  <c r="M534" i="4"/>
  <c r="N534" i="4"/>
  <c r="M90" i="4"/>
  <c r="N90" i="4"/>
  <c r="M254" i="4"/>
  <c r="N254" i="4"/>
  <c r="M155" i="4"/>
  <c r="N155" i="4"/>
  <c r="N23" i="4"/>
  <c r="N55" i="4"/>
  <c r="N87" i="4"/>
  <c r="N119" i="4"/>
  <c r="N151" i="4"/>
  <c r="N914" i="4"/>
  <c r="N443" i="4"/>
  <c r="N183" i="4"/>
  <c r="N215" i="4"/>
  <c r="N247" i="4"/>
  <c r="N279" i="4"/>
  <c r="M173" i="4"/>
  <c r="N173" i="4"/>
  <c r="M717" i="4"/>
  <c r="N717" i="4"/>
  <c r="M845" i="4"/>
  <c r="N845" i="4"/>
  <c r="M973" i="4"/>
  <c r="N973" i="4"/>
  <c r="N21" i="4"/>
  <c r="N85" i="4"/>
  <c r="N149" i="4"/>
  <c r="N193" i="4"/>
  <c r="N253" i="4"/>
  <c r="N317" i="4"/>
  <c r="N381" i="4"/>
  <c r="N425" i="4"/>
  <c r="N465" i="4"/>
  <c r="N521" i="4"/>
  <c r="N601" i="4"/>
  <c r="N657" i="4"/>
  <c r="N769" i="4"/>
  <c r="N889" i="4"/>
  <c r="M157" i="4"/>
  <c r="N157" i="4"/>
  <c r="N319" i="4"/>
  <c r="N343" i="4"/>
  <c r="N359" i="4"/>
  <c r="N383" i="4"/>
  <c r="N407" i="4"/>
  <c r="N423" i="4"/>
  <c r="N447" i="4"/>
  <c r="N471" i="4"/>
  <c r="N487" i="4"/>
  <c r="N511" i="4"/>
  <c r="N535" i="4"/>
  <c r="N551" i="4"/>
  <c r="N575" i="4"/>
  <c r="N599" i="4"/>
  <c r="N615" i="4"/>
  <c r="N639" i="4"/>
  <c r="N663" i="4"/>
  <c r="N679" i="4"/>
  <c r="N711" i="4"/>
  <c r="N743" i="4"/>
  <c r="N775" i="4"/>
  <c r="N807" i="4"/>
  <c r="N839" i="4"/>
  <c r="N871" i="4"/>
  <c r="N903" i="4"/>
  <c r="N935" i="4"/>
  <c r="N967" i="4"/>
  <c r="N999" i="4"/>
  <c r="M869" i="4"/>
  <c r="N869" i="4"/>
  <c r="M92" i="4"/>
  <c r="N92" i="4"/>
  <c r="M531" i="4"/>
  <c r="N531" i="4"/>
  <c r="M68" i="4"/>
  <c r="N68" i="4"/>
  <c r="M532" i="4"/>
  <c r="N532" i="4"/>
  <c r="M868" i="4"/>
  <c r="N868" i="4"/>
  <c r="M996" i="4"/>
  <c r="N996" i="4"/>
  <c r="N24" i="4"/>
  <c r="N48" i="4"/>
  <c r="N64" i="4"/>
  <c r="N88" i="4"/>
  <c r="N112" i="4"/>
  <c r="N128" i="4"/>
  <c r="N152" i="4"/>
  <c r="N176" i="4"/>
  <c r="N192" i="4"/>
  <c r="N216" i="4"/>
  <c r="N240" i="4"/>
  <c r="N256" i="4"/>
  <c r="N280" i="4"/>
  <c r="N304" i="4"/>
  <c r="N320" i="4"/>
  <c r="N344" i="4"/>
  <c r="N368" i="4"/>
  <c r="N384" i="4"/>
  <c r="N408" i="4"/>
  <c r="N432" i="4"/>
  <c r="N448" i="4"/>
  <c r="N472" i="4"/>
  <c r="N496" i="4"/>
  <c r="N512" i="4"/>
  <c r="N536" i="4"/>
  <c r="N560" i="4"/>
  <c r="N576" i="4"/>
  <c r="N853" i="4"/>
  <c r="N851" i="4"/>
  <c r="N740" i="4"/>
  <c r="N624" i="4"/>
  <c r="N688" i="4"/>
  <c r="N784" i="4"/>
  <c r="N880" i="4"/>
  <c r="N976" i="4"/>
  <c r="N828" i="4"/>
  <c r="N678" i="4"/>
  <c r="N107" i="4"/>
  <c r="M861" i="4"/>
  <c r="N861" i="4"/>
  <c r="M917" i="4"/>
  <c r="N917" i="4"/>
  <c r="N25" i="4"/>
  <c r="N105" i="4"/>
  <c r="N257" i="4"/>
  <c r="N345" i="4"/>
  <c r="N441" i="4"/>
  <c r="N505" i="4"/>
  <c r="N593" i="4"/>
  <c r="N665" i="4"/>
  <c r="N897" i="4"/>
  <c r="M109" i="4"/>
  <c r="N109" i="4"/>
  <c r="M885" i="4"/>
  <c r="N885" i="4"/>
  <c r="N17" i="4"/>
  <c r="N97" i="4"/>
  <c r="N165" i="4"/>
  <c r="N249" i="4"/>
  <c r="N417" i="4"/>
  <c r="N577" i="4"/>
  <c r="N661" i="4"/>
  <c r="N793" i="4"/>
  <c r="N873" i="4"/>
  <c r="N945" i="4"/>
  <c r="N13" i="4"/>
  <c r="N177" i="4"/>
  <c r="N269" i="4"/>
  <c r="N353" i="4"/>
  <c r="N421" i="4"/>
  <c r="N529" i="4"/>
  <c r="N653" i="4"/>
  <c r="N721" i="4"/>
  <c r="N993" i="4"/>
  <c r="N732" i="4"/>
  <c r="N211" i="4"/>
  <c r="N467" i="4"/>
  <c r="N683" i="4"/>
  <c r="N811" i="4"/>
  <c r="N939" i="4"/>
  <c r="N428" i="4"/>
  <c r="N284" i="4"/>
  <c r="N476" i="4"/>
  <c r="N306" i="4"/>
  <c r="N139" i="4"/>
  <c r="N174" i="4"/>
  <c r="N730" i="4"/>
  <c r="N986" i="4"/>
  <c r="N147" i="4"/>
  <c r="N891" i="4"/>
  <c r="N31" i="4"/>
  <c r="N63" i="4"/>
  <c r="N95" i="4"/>
  <c r="N127" i="4"/>
  <c r="N159" i="4"/>
  <c r="N191" i="4"/>
  <c r="N223" i="4"/>
  <c r="N255" i="4"/>
  <c r="N287" i="4"/>
  <c r="M749" i="4"/>
  <c r="N749" i="4"/>
  <c r="M877" i="4"/>
  <c r="N877" i="4"/>
  <c r="M1005" i="4"/>
  <c r="N1005" i="4"/>
  <c r="N33" i="4"/>
  <c r="N101" i="4"/>
  <c r="N161" i="4"/>
  <c r="N205" i="4"/>
  <c r="N265" i="4"/>
  <c r="N333" i="4"/>
  <c r="N393" i="4"/>
  <c r="N433" i="4"/>
  <c r="N469" i="4"/>
  <c r="N533" i="4"/>
  <c r="N617" i="4"/>
  <c r="N713" i="4"/>
  <c r="N785" i="4"/>
  <c r="N913" i="4"/>
  <c r="M669" i="4"/>
  <c r="N669" i="4"/>
  <c r="N327" i="4"/>
  <c r="N347" i="4"/>
  <c r="N367" i="4"/>
  <c r="N391" i="4"/>
  <c r="N411" i="4"/>
  <c r="N431" i="4"/>
  <c r="N455" i="4"/>
  <c r="N475" i="4"/>
  <c r="N495" i="4"/>
  <c r="N519" i="4"/>
  <c r="N539" i="4"/>
  <c r="N559" i="4"/>
  <c r="N583" i="4"/>
  <c r="N603" i="4"/>
  <c r="N623" i="4"/>
  <c r="N647" i="4"/>
  <c r="N667" i="4"/>
  <c r="N687" i="4"/>
  <c r="N719" i="4"/>
  <c r="N751" i="4"/>
  <c r="N783" i="4"/>
  <c r="N815" i="4"/>
  <c r="N847" i="4"/>
  <c r="N879" i="4"/>
  <c r="N911" i="4"/>
  <c r="N943" i="4"/>
  <c r="N975" i="4"/>
  <c r="M325" i="4"/>
  <c r="N325" i="4"/>
  <c r="M965" i="4"/>
  <c r="N965" i="4"/>
  <c r="M901" i="4"/>
  <c r="N901" i="4"/>
  <c r="M580" i="4"/>
  <c r="N580" i="4"/>
  <c r="N8" i="4"/>
  <c r="N32" i="4"/>
  <c r="N52" i="4"/>
  <c r="N72" i="4"/>
  <c r="N96" i="4"/>
  <c r="N116" i="4"/>
  <c r="N136" i="4"/>
  <c r="N160" i="4"/>
  <c r="N180" i="4"/>
  <c r="N200" i="4"/>
  <c r="N224" i="4"/>
  <c r="N244" i="4"/>
  <c r="N264" i="4"/>
  <c r="N288" i="4"/>
  <c r="N308" i="4"/>
  <c r="N328" i="4"/>
  <c r="N352" i="4"/>
  <c r="N372" i="4"/>
  <c r="N392" i="4"/>
  <c r="N416" i="4"/>
  <c r="N436" i="4"/>
  <c r="N456" i="4"/>
  <c r="N480" i="4"/>
  <c r="N500" i="4"/>
  <c r="N520" i="4"/>
  <c r="N544" i="4"/>
  <c r="N564" i="4"/>
  <c r="N584" i="4"/>
  <c r="N608" i="4"/>
  <c r="N628" i="4"/>
  <c r="N648" i="4"/>
  <c r="N672" i="4"/>
  <c r="N696" i="4"/>
  <c r="N728" i="4"/>
  <c r="N760" i="4"/>
  <c r="N792" i="4"/>
  <c r="N824" i="4"/>
  <c r="N856" i="4"/>
  <c r="N888" i="4"/>
  <c r="N920" i="4"/>
  <c r="N952" i="4"/>
  <c r="N984" i="4"/>
  <c r="M738" i="4"/>
  <c r="N738" i="4"/>
  <c r="N260" i="4"/>
  <c r="N860" i="4"/>
  <c r="M926" i="4"/>
  <c r="N557" i="4"/>
  <c r="N300" i="4"/>
  <c r="N780" i="4"/>
  <c r="N477" i="4"/>
  <c r="N94" i="4"/>
  <c r="N226" i="4"/>
  <c r="N314" i="4"/>
  <c r="N390" i="4"/>
  <c r="N466" i="4"/>
  <c r="N542" i="4"/>
  <c r="N622" i="4"/>
  <c r="N694" i="4"/>
  <c r="N758" i="4"/>
  <c r="N886" i="4"/>
  <c r="N962" i="4"/>
  <c r="N179" i="4"/>
  <c r="N739" i="4"/>
  <c r="N182" i="4"/>
  <c r="N422" i="4"/>
  <c r="N506" i="4"/>
  <c r="N746" i="4"/>
  <c r="N826" i="4"/>
  <c r="N994" i="4"/>
  <c r="N595" i="4"/>
  <c r="N374" i="4"/>
  <c r="N640" i="4"/>
  <c r="N720" i="4"/>
  <c r="N816" i="4"/>
  <c r="N912" i="4"/>
  <c r="N988" i="4"/>
  <c r="M733" i="4"/>
  <c r="N733" i="4"/>
  <c r="N745" i="4"/>
  <c r="M942" i="4"/>
  <c r="N942" i="4"/>
  <c r="M765" i="4"/>
  <c r="N765" i="4"/>
  <c r="M893" i="4"/>
  <c r="N893" i="4"/>
  <c r="M45" i="4"/>
  <c r="N45" i="4"/>
  <c r="M997" i="4"/>
  <c r="N997" i="4"/>
  <c r="M581" i="4"/>
  <c r="N581" i="4"/>
  <c r="M949" i="4"/>
  <c r="N949" i="4"/>
  <c r="M916" i="4"/>
  <c r="N916" i="4"/>
  <c r="M610" i="4"/>
  <c r="N610" i="4"/>
  <c r="M418" i="4"/>
  <c r="N418" i="4"/>
  <c r="M340" i="4"/>
  <c r="N556" i="4"/>
  <c r="N788" i="4"/>
  <c r="N181" i="4"/>
  <c r="N30" i="4"/>
  <c r="N468" i="4"/>
  <c r="N203" i="4"/>
  <c r="N883" i="4"/>
  <c r="N154" i="4"/>
  <c r="N234" i="4"/>
  <c r="N318" i="4"/>
  <c r="N398" i="4"/>
  <c r="N630" i="4"/>
  <c r="N970" i="4"/>
  <c r="N219" i="4"/>
  <c r="N763" i="4"/>
  <c r="N126" i="4"/>
  <c r="N346" i="4"/>
  <c r="N430" i="4"/>
  <c r="N514" i="4"/>
  <c r="N754" i="4"/>
  <c r="N1002" i="4"/>
  <c r="N659" i="4"/>
  <c r="N714" i="4"/>
  <c r="N486" i="4"/>
  <c r="N210" i="4"/>
  <c r="N600" i="4"/>
  <c r="N664" i="4"/>
  <c r="N752" i="4"/>
  <c r="N848" i="4"/>
  <c r="N944" i="4"/>
  <c r="N220" i="4"/>
  <c r="M250" i="4"/>
  <c r="N250" i="4"/>
  <c r="M450" i="4"/>
  <c r="N450" i="4"/>
  <c r="M989" i="4"/>
  <c r="N989" i="4"/>
  <c r="M69" i="4"/>
  <c r="N69" i="4"/>
  <c r="N7" i="4"/>
  <c r="N39" i="4"/>
  <c r="N71" i="4"/>
  <c r="N103" i="4"/>
  <c r="N135" i="4"/>
  <c r="N167" i="4"/>
  <c r="N199" i="4"/>
  <c r="N231" i="4"/>
  <c r="N263" i="4"/>
  <c r="N295" i="4"/>
  <c r="M909" i="4"/>
  <c r="N909" i="4"/>
  <c r="M693" i="4"/>
  <c r="N693" i="4"/>
  <c r="N61" i="4"/>
  <c r="N125" i="4"/>
  <c r="N169" i="4"/>
  <c r="N213" i="4"/>
  <c r="N277" i="4"/>
  <c r="N341" i="4"/>
  <c r="N405" i="4"/>
  <c r="N445" i="4"/>
  <c r="N485" i="4"/>
  <c r="N553" i="4"/>
  <c r="N637" i="4"/>
  <c r="N753" i="4"/>
  <c r="N809" i="4"/>
  <c r="N977" i="4"/>
  <c r="N307" i="4"/>
  <c r="N331" i="4"/>
  <c r="N351" i="4"/>
  <c r="N371" i="4"/>
  <c r="N395" i="4"/>
  <c r="N415" i="4"/>
  <c r="N435" i="4"/>
  <c r="N459" i="4"/>
  <c r="N479" i="4"/>
  <c r="N499" i="4"/>
  <c r="N523" i="4"/>
  <c r="N543" i="4"/>
  <c r="N563" i="4"/>
  <c r="N587" i="4"/>
  <c r="N607" i="4"/>
  <c r="N627" i="4"/>
  <c r="N651" i="4"/>
  <c r="N671" i="4"/>
  <c r="N695" i="4"/>
  <c r="N727" i="4"/>
  <c r="N759" i="4"/>
  <c r="N791" i="4"/>
  <c r="N823" i="4"/>
  <c r="N855" i="4"/>
  <c r="N887" i="4"/>
  <c r="N919" i="4"/>
  <c r="N951" i="4"/>
  <c r="N983" i="4"/>
  <c r="M725" i="4"/>
  <c r="N725" i="4"/>
  <c r="M285" i="4"/>
  <c r="N285" i="4"/>
  <c r="M981" i="4"/>
  <c r="N981" i="4"/>
  <c r="M932" i="4"/>
  <c r="N932" i="4"/>
  <c r="N12" i="4"/>
  <c r="N36" i="4"/>
  <c r="N56" i="4"/>
  <c r="N76" i="4"/>
  <c r="N100" i="4"/>
  <c r="N120" i="4"/>
  <c r="N140" i="4"/>
  <c r="N164" i="4"/>
  <c r="N184" i="4"/>
  <c r="N204" i="4"/>
  <c r="N228" i="4"/>
  <c r="N248" i="4"/>
  <c r="N268" i="4"/>
  <c r="N292" i="4"/>
  <c r="N312" i="4"/>
  <c r="N332" i="4"/>
  <c r="N356" i="4"/>
  <c r="N376" i="4"/>
  <c r="N396" i="4"/>
  <c r="N420" i="4"/>
  <c r="N440" i="4"/>
  <c r="N460" i="4"/>
  <c r="N484" i="4"/>
  <c r="N504" i="4"/>
  <c r="N524" i="4"/>
  <c r="N548" i="4"/>
  <c r="N568" i="4"/>
  <c r="N588" i="4"/>
  <c r="N612" i="4"/>
  <c r="N632" i="4"/>
  <c r="N652" i="4"/>
  <c r="N676" i="4"/>
  <c r="N704" i="4"/>
  <c r="N736" i="4"/>
  <c r="N768" i="4"/>
  <c r="N800" i="4"/>
  <c r="N832" i="4"/>
  <c r="N864" i="4"/>
  <c r="N896" i="4"/>
  <c r="N928" i="4"/>
  <c r="N960" i="4"/>
  <c r="N992" i="4"/>
  <c r="M130" i="4"/>
  <c r="N130" i="4"/>
  <c r="N148" i="4"/>
  <c r="N404" i="4"/>
  <c r="N892" i="4"/>
  <c r="N621" i="4"/>
  <c r="N604" i="4"/>
  <c r="N804" i="4"/>
  <c r="N884" i="4"/>
  <c r="N197" i="4"/>
  <c r="N605" i="4"/>
  <c r="N34" i="4"/>
  <c r="N70" i="4"/>
  <c r="N227" i="4"/>
  <c r="N915" i="4"/>
  <c r="N326" i="4"/>
  <c r="N402" i="4"/>
  <c r="N490" i="4"/>
  <c r="N638" i="4"/>
  <c r="N978" i="4"/>
  <c r="N315" i="4"/>
  <c r="N827" i="4"/>
  <c r="N134" i="4"/>
  <c r="N438" i="4"/>
  <c r="N530" i="4"/>
  <c r="N602" i="4"/>
  <c r="N682" i="4"/>
  <c r="N930" i="4"/>
  <c r="N11" i="4"/>
  <c r="N259" i="4"/>
  <c r="N699" i="4"/>
  <c r="N987" i="4"/>
  <c r="N859" i="4"/>
  <c r="N554" i="4"/>
  <c r="M39" i="4"/>
  <c r="M103" i="4"/>
  <c r="M167" i="4"/>
  <c r="M231" i="4"/>
  <c r="M295" i="4"/>
  <c r="M61" i="4"/>
  <c r="M169" i="4"/>
  <c r="M213" i="4"/>
  <c r="M341" i="4"/>
  <c r="M445" i="4"/>
  <c r="M485" i="4"/>
  <c r="M637" i="4"/>
  <c r="M7" i="4"/>
  <c r="M71" i="4"/>
  <c r="M135" i="4"/>
  <c r="M199" i="4"/>
  <c r="M263" i="4"/>
  <c r="M125" i="4"/>
  <c r="M277" i="4"/>
  <c r="M405" i="4"/>
  <c r="M553" i="4"/>
  <c r="M753" i="4"/>
  <c r="M809" i="4"/>
  <c r="M977" i="4"/>
  <c r="M307" i="4"/>
  <c r="M331" i="4"/>
  <c r="M351" i="4"/>
  <c r="M371" i="4"/>
  <c r="M395" i="4"/>
  <c r="M415" i="4"/>
  <c r="M435" i="4"/>
  <c r="M459" i="4"/>
  <c r="M479" i="4"/>
  <c r="M499" i="4"/>
  <c r="M523" i="4"/>
  <c r="M543" i="4"/>
  <c r="M563" i="4"/>
  <c r="M587" i="4"/>
  <c r="M607" i="4"/>
  <c r="M627" i="4"/>
  <c r="M651" i="4"/>
  <c r="M671" i="4"/>
  <c r="M695" i="4"/>
  <c r="M727" i="4"/>
  <c r="M759" i="4"/>
  <c r="M791" i="4"/>
  <c r="M823" i="4"/>
  <c r="M855" i="4"/>
  <c r="M887" i="4"/>
  <c r="M919" i="4"/>
  <c r="M951" i="4"/>
  <c r="M983" i="4"/>
  <c r="M12" i="4"/>
  <c r="M36" i="4"/>
  <c r="M56" i="4"/>
  <c r="M76" i="4"/>
  <c r="M100" i="4"/>
  <c r="M120" i="4"/>
  <c r="M140" i="4"/>
  <c r="M164" i="4"/>
  <c r="M184" i="4"/>
  <c r="M204" i="4"/>
  <c r="M228" i="4"/>
  <c r="M248" i="4"/>
  <c r="M268" i="4"/>
  <c r="M292" i="4"/>
  <c r="M312" i="4"/>
  <c r="M332" i="4"/>
  <c r="M356" i="4"/>
  <c r="M376" i="4"/>
  <c r="M396" i="4"/>
  <c r="M420" i="4"/>
  <c r="M440" i="4"/>
  <c r="M460" i="4"/>
  <c r="M484" i="4"/>
  <c r="M504" i="4"/>
  <c r="M524" i="4"/>
  <c r="M548" i="4"/>
  <c r="M568" i="4"/>
  <c r="M588" i="4"/>
  <c r="M612" i="4"/>
  <c r="M632" i="4"/>
  <c r="M652" i="4"/>
  <c r="M676" i="4"/>
  <c r="M704" i="4"/>
  <c r="M736" i="4"/>
  <c r="M768" i="4"/>
  <c r="M800" i="4"/>
  <c r="M832" i="4"/>
  <c r="M864" i="4"/>
  <c r="M896" i="4"/>
  <c r="M928" i="4"/>
  <c r="M960" i="4"/>
  <c r="M992" i="4"/>
  <c r="M148" i="4"/>
  <c r="M404" i="4"/>
  <c r="M892" i="4"/>
  <c r="N6" i="4"/>
  <c r="M223" i="4"/>
  <c r="M255" i="4"/>
  <c r="M287" i="4"/>
  <c r="M41" i="4"/>
  <c r="M121" i="4"/>
  <c r="M273" i="4"/>
  <c r="M361" i="4"/>
  <c r="M457" i="4"/>
  <c r="M525" i="4"/>
  <c r="M609" i="4"/>
  <c r="M681" i="4"/>
  <c r="M801" i="4"/>
  <c r="M953" i="4"/>
  <c r="M49" i="4"/>
  <c r="M113" i="4"/>
  <c r="M201" i="4"/>
  <c r="M281" i="4"/>
  <c r="M461" i="4"/>
  <c r="M597" i="4"/>
  <c r="M677" i="4"/>
  <c r="M825" i="4"/>
  <c r="M905" i="4"/>
  <c r="M961" i="4"/>
  <c r="M37" i="4"/>
  <c r="M189" i="4"/>
  <c r="M305" i="4"/>
  <c r="M369" i="4"/>
  <c r="M481" i="4"/>
  <c r="M549" i="4"/>
  <c r="M673" i="4"/>
  <c r="M833" i="4"/>
  <c r="M764" i="4"/>
  <c r="M123" i="4"/>
  <c r="M235" i="4"/>
  <c r="M491" i="4"/>
  <c r="M715" i="4"/>
  <c r="M843" i="4"/>
  <c r="M971" i="4"/>
  <c r="M700" i="4"/>
  <c r="M57" i="4"/>
  <c r="M377" i="4"/>
  <c r="M697" i="4"/>
  <c r="M817" i="4"/>
  <c r="M969" i="4"/>
  <c r="M129" i="4"/>
  <c r="M297" i="4"/>
  <c r="M841" i="4"/>
  <c r="M1001" i="4"/>
  <c r="M321" i="4"/>
  <c r="M569" i="4"/>
  <c r="M796" i="4"/>
  <c r="M515" i="4"/>
  <c r="M175" i="4"/>
  <c r="M185" i="4"/>
  <c r="M357" i="4"/>
  <c r="M449" i="4"/>
  <c r="M649" i="4"/>
  <c r="M865" i="4"/>
  <c r="M355" i="4"/>
  <c r="M293" i="4"/>
  <c r="M625" i="4"/>
  <c r="M217" i="4"/>
  <c r="M737" i="4"/>
  <c r="M921" i="4"/>
  <c r="M209" i="4"/>
  <c r="M689" i="4"/>
  <c r="M403" i="4"/>
  <c r="M1003" i="4"/>
  <c r="M15" i="4"/>
  <c r="M143" i="4"/>
  <c r="M271" i="4"/>
  <c r="M73" i="4"/>
  <c r="M289" i="4"/>
  <c r="M589" i="4"/>
  <c r="M375" i="4"/>
  <c r="M153" i="4"/>
  <c r="M473" i="4"/>
  <c r="M65" i="4"/>
  <c r="M545" i="4"/>
  <c r="M385" i="4"/>
  <c r="M849" i="4"/>
  <c r="M187" i="4"/>
  <c r="M875" i="4"/>
  <c r="M47" i="4"/>
  <c r="M111" i="4"/>
  <c r="M239" i="4"/>
  <c r="M303" i="4"/>
  <c r="M225" i="4"/>
  <c r="M509" i="4"/>
  <c r="M335" i="4"/>
  <c r="M399" i="4"/>
  <c r="M537" i="4"/>
  <c r="M613" i="4"/>
  <c r="M77" i="4"/>
  <c r="M497" i="4"/>
  <c r="M747" i="4"/>
  <c r="M79" i="4"/>
  <c r="M207" i="4"/>
  <c r="M137" i="4"/>
  <c r="M409" i="4"/>
  <c r="M761" i="4"/>
  <c r="M311" i="4"/>
  <c r="M527" i="4"/>
  <c r="M655" i="4"/>
  <c r="M895" i="4"/>
  <c r="M16" i="4"/>
  <c r="M168" i="4"/>
  <c r="M296" i="4"/>
  <c r="M444" i="4"/>
  <c r="M552" i="4"/>
  <c r="M712" i="4"/>
  <c r="M936" i="4"/>
  <c r="M9" i="4"/>
  <c r="M89" i="4"/>
  <c r="M241" i="4"/>
  <c r="M329" i="4"/>
  <c r="M397" i="4"/>
  <c r="M489" i="4"/>
  <c r="M573" i="4"/>
  <c r="M641" i="4"/>
  <c r="M729" i="4"/>
  <c r="M881" i="4"/>
  <c r="M985" i="4"/>
  <c r="M81" i="4"/>
  <c r="M145" i="4"/>
  <c r="M233" i="4"/>
  <c r="M313" i="4"/>
  <c r="M561" i="4"/>
  <c r="M633" i="4"/>
  <c r="M777" i="4"/>
  <c r="M857" i="4"/>
  <c r="M937" i="4"/>
  <c r="M141" i="4"/>
  <c r="M229" i="4"/>
  <c r="M337" i="4"/>
  <c r="M401" i="4"/>
  <c r="M513" i="4"/>
  <c r="M585" i="4"/>
  <c r="M705" i="4"/>
  <c r="M929" i="4"/>
  <c r="M924" i="4"/>
  <c r="M195" i="4"/>
  <c r="M427" i="4"/>
  <c r="M635" i="4"/>
  <c r="M779" i="4"/>
  <c r="M907" i="4"/>
  <c r="M236" i="4"/>
  <c r="M419" i="4"/>
  <c r="M483" i="4"/>
  <c r="M547" i="4"/>
  <c r="M631" i="4"/>
  <c r="M675" i="4"/>
  <c r="M799" i="4"/>
  <c r="M959" i="4"/>
  <c r="M80" i="4"/>
  <c r="M188" i="4"/>
  <c r="M252" i="4"/>
  <c r="M316" i="4"/>
  <c r="M400" i="4"/>
  <c r="M508" i="4"/>
  <c r="M572" i="4"/>
  <c r="M656" i="4"/>
  <c r="M776" i="4"/>
  <c r="M872" i="4"/>
  <c r="M1000" i="4"/>
  <c r="M516" i="4"/>
  <c r="M55" i="4"/>
  <c r="M87" i="4"/>
  <c r="M183" i="4"/>
  <c r="M279" i="4"/>
  <c r="M149" i="4"/>
  <c r="M193" i="4"/>
  <c r="M381" i="4"/>
  <c r="M425" i="4"/>
  <c r="M601" i="4"/>
  <c r="M657" i="4"/>
  <c r="M343" i="4"/>
  <c r="M359" i="4"/>
  <c r="M423" i="4"/>
  <c r="M447" i="4"/>
  <c r="M511" i="4"/>
  <c r="M535" i="4"/>
  <c r="M599" i="4"/>
  <c r="M615" i="4"/>
  <c r="M679" i="4"/>
  <c r="M775" i="4"/>
  <c r="M871" i="4"/>
  <c r="M935" i="4"/>
  <c r="M999" i="4"/>
  <c r="M64" i="4"/>
  <c r="M128" i="4"/>
  <c r="M176" i="4"/>
  <c r="M240" i="4"/>
  <c r="M304" i="4"/>
  <c r="M344" i="4"/>
  <c r="M384" i="4"/>
  <c r="M448" i="4"/>
  <c r="M512" i="4"/>
  <c r="M576" i="4"/>
  <c r="M600" i="4"/>
  <c r="M664" i="4"/>
  <c r="M752" i="4"/>
  <c r="M848" i="4"/>
  <c r="M944" i="4"/>
  <c r="M988" i="4"/>
  <c r="M463" i="4"/>
  <c r="M611" i="4"/>
  <c r="M767" i="4"/>
  <c r="M927" i="4"/>
  <c r="M40" i="4"/>
  <c r="M144" i="4"/>
  <c r="M272" i="4"/>
  <c r="M360" i="4"/>
  <c r="M464" i="4"/>
  <c r="M592" i="4"/>
  <c r="M680" i="4"/>
  <c r="M840" i="4"/>
  <c r="M212" i="4"/>
  <c r="M23" i="4"/>
  <c r="M151" i="4"/>
  <c r="M247" i="4"/>
  <c r="M85" i="4"/>
  <c r="M317" i="4"/>
  <c r="M521" i="4"/>
  <c r="M889" i="4"/>
  <c r="M319" i="4"/>
  <c r="M407" i="4"/>
  <c r="M487" i="4"/>
  <c r="M575" i="4"/>
  <c r="M663" i="4"/>
  <c r="M743" i="4"/>
  <c r="M839" i="4"/>
  <c r="M967" i="4"/>
  <c r="M48" i="4"/>
  <c r="M112" i="4"/>
  <c r="M192" i="4"/>
  <c r="M256" i="4"/>
  <c r="M320" i="4"/>
  <c r="M408" i="4"/>
  <c r="M496" i="4"/>
  <c r="M536" i="4"/>
  <c r="M640" i="4"/>
  <c r="M720" i="4"/>
  <c r="M816" i="4"/>
  <c r="M912" i="4"/>
  <c r="M220" i="4"/>
  <c r="M25" i="4"/>
  <c r="M105" i="4"/>
  <c r="M257" i="4"/>
  <c r="M345" i="4"/>
  <c r="M441" i="4"/>
  <c r="M505" i="4"/>
  <c r="M593" i="4"/>
  <c r="M665" i="4"/>
  <c r="M745" i="4"/>
  <c r="M897" i="4"/>
  <c r="M17" i="4"/>
  <c r="M97" i="4"/>
  <c r="M165" i="4"/>
  <c r="M249" i="4"/>
  <c r="M417" i="4"/>
  <c r="M577" i="4"/>
  <c r="M661" i="4"/>
  <c r="M793" i="4"/>
  <c r="M873" i="4"/>
  <c r="M945" i="4"/>
  <c r="M13" i="4"/>
  <c r="M177" i="4"/>
  <c r="M269" i="4"/>
  <c r="M353" i="4"/>
  <c r="M421" i="4"/>
  <c r="M529" i="4"/>
  <c r="M653" i="4"/>
  <c r="M721" i="4"/>
  <c r="M993" i="4"/>
  <c r="M732" i="4"/>
  <c r="M211" i="4"/>
  <c r="M467" i="4"/>
  <c r="M683" i="4"/>
  <c r="M811" i="4"/>
  <c r="M939" i="4"/>
  <c r="M428" i="4"/>
  <c r="M439" i="4"/>
  <c r="M567" i="4"/>
  <c r="M735" i="4"/>
  <c r="M863" i="4"/>
  <c r="M104" i="4"/>
  <c r="M232" i="4"/>
  <c r="M380" i="4"/>
  <c r="M488" i="4"/>
  <c r="M616" i="4"/>
  <c r="M744" i="4"/>
  <c r="M904" i="4"/>
  <c r="M119" i="4"/>
  <c r="M215" i="4"/>
  <c r="M21" i="4"/>
  <c r="M253" i="4"/>
  <c r="M465" i="4"/>
  <c r="M769" i="4"/>
  <c r="M383" i="4"/>
  <c r="M471" i="4"/>
  <c r="M551" i="4"/>
  <c r="M639" i="4"/>
  <c r="M711" i="4"/>
  <c r="M807" i="4"/>
  <c r="M903" i="4"/>
  <c r="M24" i="4"/>
  <c r="M88" i="4"/>
  <c r="M152" i="4"/>
  <c r="M216" i="4"/>
  <c r="M280" i="4"/>
  <c r="M368" i="4"/>
  <c r="M432" i="4"/>
  <c r="M472" i="4"/>
  <c r="M560" i="4"/>
  <c r="M624" i="4"/>
  <c r="M688" i="4"/>
  <c r="M784" i="4"/>
  <c r="M880" i="4"/>
  <c r="M976" i="4"/>
  <c r="M828" i="4"/>
  <c r="M31" i="4"/>
  <c r="M63" i="4"/>
  <c r="M95" i="4"/>
  <c r="M127" i="4"/>
  <c r="M159" i="4"/>
  <c r="M191" i="4"/>
  <c r="M33" i="4"/>
  <c r="M101" i="4"/>
  <c r="M161" i="4"/>
  <c r="M205" i="4"/>
  <c r="M265" i="4"/>
  <c r="M333" i="4"/>
  <c r="M393" i="4"/>
  <c r="M433" i="4"/>
  <c r="M469" i="4"/>
  <c r="M533" i="4"/>
  <c r="M617" i="4"/>
  <c r="M713" i="4"/>
  <c r="M785" i="4"/>
  <c r="M913" i="4"/>
  <c r="M327" i="4"/>
  <c r="M347" i="4"/>
  <c r="M367" i="4"/>
  <c r="M391" i="4"/>
  <c r="M411" i="4"/>
  <c r="M431" i="4"/>
  <c r="M455" i="4"/>
  <c r="M475" i="4"/>
  <c r="M495" i="4"/>
  <c r="M519" i="4"/>
  <c r="M539" i="4"/>
  <c r="M559" i="4"/>
  <c r="M583" i="4"/>
  <c r="M603" i="4"/>
  <c r="M623" i="4"/>
  <c r="M647" i="4"/>
  <c r="M667" i="4"/>
  <c r="M687" i="4"/>
  <c r="M719" i="4"/>
  <c r="M751" i="4"/>
  <c r="M783" i="4"/>
  <c r="M815" i="4"/>
  <c r="M847" i="4"/>
  <c r="M879" i="4"/>
  <c r="M911" i="4"/>
  <c r="M943" i="4"/>
  <c r="M975" i="4"/>
  <c r="M8" i="4"/>
  <c r="M32" i="4"/>
  <c r="M52" i="4"/>
  <c r="M72" i="4"/>
  <c r="M96" i="4"/>
  <c r="M116" i="4"/>
  <c r="M136" i="4"/>
  <c r="M160" i="4"/>
  <c r="M180" i="4"/>
  <c r="M200" i="4"/>
  <c r="M224" i="4"/>
  <c r="M244" i="4"/>
  <c r="M264" i="4"/>
  <c r="M288" i="4"/>
  <c r="M308" i="4"/>
  <c r="M328" i="4"/>
  <c r="M352" i="4"/>
  <c r="M372" i="4"/>
  <c r="M392" i="4"/>
  <c r="M416" i="4"/>
  <c r="M436" i="4"/>
  <c r="M456" i="4"/>
  <c r="M480" i="4"/>
  <c r="M500" i="4"/>
  <c r="M520" i="4"/>
  <c r="M544" i="4"/>
  <c r="M564" i="4"/>
  <c r="M584" i="4"/>
  <c r="M608" i="4"/>
  <c r="M628" i="4"/>
  <c r="M648" i="4"/>
  <c r="M672" i="4"/>
  <c r="M696" i="4"/>
  <c r="M728" i="4"/>
  <c r="M760" i="4"/>
  <c r="M792" i="4"/>
  <c r="M824" i="4"/>
  <c r="M856" i="4"/>
  <c r="M888" i="4"/>
  <c r="M920" i="4"/>
  <c r="M952" i="4"/>
  <c r="M984" i="4"/>
  <c r="M260" i="4"/>
  <c r="M860" i="4"/>
  <c r="M503" i="4"/>
  <c r="M591" i="4"/>
  <c r="M703" i="4"/>
  <c r="M831" i="4"/>
  <c r="M991" i="4"/>
  <c r="M60" i="4"/>
  <c r="M124" i="4"/>
  <c r="M208" i="4"/>
  <c r="M336" i="4"/>
  <c r="M424" i="4"/>
  <c r="M528" i="4"/>
  <c r="M636" i="4"/>
  <c r="M808" i="4"/>
  <c r="M968" i="4"/>
  <c r="M956" i="4"/>
  <c r="Q597" i="3"/>
  <c r="R597" i="3" s="1"/>
  <c r="S597" i="3" s="1"/>
  <c r="Q945" i="3"/>
  <c r="R945" i="3" s="1"/>
  <c r="S945" i="3" s="1"/>
  <c r="Q403" i="3"/>
  <c r="R403" i="3" s="1"/>
  <c r="S403" i="3" s="1"/>
  <c r="Q523" i="3"/>
  <c r="R523" i="3" s="1"/>
  <c r="S523" i="3" s="1"/>
  <c r="Q557" i="3"/>
  <c r="R557" i="3" s="1"/>
  <c r="S557" i="3" s="1"/>
  <c r="Q489" i="3"/>
  <c r="R489" i="3" s="1"/>
  <c r="S489" i="3" s="1"/>
  <c r="Q809" i="3"/>
  <c r="R809" i="3" s="1"/>
  <c r="S809" i="3" s="1"/>
  <c r="Q588" i="3"/>
  <c r="R588" i="3" s="1"/>
  <c r="S588" i="3" s="1"/>
  <c r="Q411" i="3"/>
  <c r="R411" i="3" s="1"/>
  <c r="S411" i="3" s="1"/>
  <c r="Q739" i="3"/>
  <c r="R739" i="3" s="1"/>
  <c r="S739" i="3" s="1"/>
  <c r="Q283" i="3"/>
  <c r="R283" i="3" s="1"/>
  <c r="S283" i="3" s="1"/>
  <c r="Q85" i="3"/>
  <c r="R85" i="3" s="1"/>
  <c r="S85" i="3" s="1"/>
  <c r="Q880" i="3"/>
  <c r="R880" i="3" s="1"/>
  <c r="S880" i="3" s="1"/>
  <c r="Q960" i="3"/>
  <c r="R960" i="3" s="1"/>
  <c r="S960" i="3" s="1"/>
  <c r="Q979" i="3"/>
  <c r="R979" i="3" s="1"/>
  <c r="S979" i="3" s="1"/>
  <c r="Q371" i="3"/>
  <c r="R371" i="3" s="1"/>
  <c r="S371" i="3" s="1"/>
  <c r="Q475" i="3"/>
  <c r="R475" i="3" s="1"/>
  <c r="S475" i="3" s="1"/>
  <c r="Q429" i="3"/>
  <c r="R429" i="3" s="1"/>
  <c r="S429" i="3" s="1"/>
  <c r="Q643" i="3"/>
  <c r="R643" i="3" s="1"/>
  <c r="S643" i="3" s="1"/>
  <c r="Q883" i="3"/>
  <c r="R883" i="3" s="1"/>
  <c r="S883" i="3" s="1"/>
  <c r="Q804" i="3"/>
  <c r="R804" i="3" s="1"/>
  <c r="S804" i="3" s="1"/>
  <c r="Q576" i="3"/>
  <c r="R576" i="3" s="1"/>
  <c r="S576" i="3" s="1"/>
  <c r="Q625" i="3"/>
  <c r="R625" i="3" s="1"/>
  <c r="S625" i="3" s="1"/>
  <c r="Q953" i="3"/>
  <c r="R953" i="3" s="1"/>
  <c r="S953" i="3" s="1"/>
  <c r="Q810" i="3"/>
  <c r="R810" i="3" s="1"/>
  <c r="S810" i="3" s="1"/>
  <c r="Q930" i="3"/>
  <c r="R930" i="3" s="1"/>
  <c r="S930" i="3" s="1"/>
  <c r="Q787" i="3"/>
  <c r="R787" i="3" s="1"/>
  <c r="S787" i="3" s="1"/>
  <c r="Q876" i="3"/>
  <c r="R876" i="3" s="1"/>
  <c r="S876" i="3" s="1"/>
  <c r="Q829" i="3"/>
  <c r="R829" i="3" s="1"/>
  <c r="S829" i="3" s="1"/>
  <c r="Q556" i="3"/>
  <c r="R556" i="3" s="1"/>
  <c r="S556" i="3" s="1"/>
  <c r="Q91" i="3"/>
  <c r="R91" i="3" s="1"/>
  <c r="S91" i="3" s="1"/>
  <c r="Q379" i="3"/>
  <c r="R379" i="3" s="1"/>
  <c r="S379" i="3" s="1"/>
  <c r="Q587" i="3"/>
  <c r="R587" i="3" s="1"/>
  <c r="S587" i="3" s="1"/>
  <c r="Q469" i="3"/>
  <c r="R469" i="3" s="1"/>
  <c r="S469" i="3" s="1"/>
  <c r="Q457" i="3"/>
  <c r="R457" i="3" s="1"/>
  <c r="S457" i="3" s="1"/>
  <c r="Q714" i="3"/>
  <c r="R714" i="3" s="1"/>
  <c r="S714" i="3" s="1"/>
  <c r="Q907" i="3"/>
  <c r="R907" i="3" s="1"/>
  <c r="S907" i="3" s="1"/>
  <c r="Q219" i="3"/>
  <c r="R219" i="3" s="1"/>
  <c r="S219" i="3" s="1"/>
  <c r="Q539" i="3"/>
  <c r="R539" i="3" s="1"/>
  <c r="S539" i="3" s="1"/>
  <c r="Q301" i="3"/>
  <c r="R301" i="3" s="1"/>
  <c r="S301" i="3" s="1"/>
  <c r="Q800" i="3"/>
  <c r="R800" i="3" s="1"/>
  <c r="S800" i="3" s="1"/>
  <c r="Q969" i="3"/>
  <c r="R969" i="3" s="1"/>
  <c r="S969" i="3" s="1"/>
  <c r="Q778" i="3"/>
  <c r="R778" i="3" s="1"/>
  <c r="S778" i="3" s="1"/>
  <c r="Q971" i="3"/>
  <c r="R971" i="3" s="1"/>
  <c r="S971" i="3" s="1"/>
  <c r="Q741" i="3"/>
  <c r="R741" i="3" s="1"/>
  <c r="S741" i="3" s="1"/>
  <c r="Q808" i="3"/>
  <c r="R808" i="3" s="1"/>
  <c r="S808" i="3" s="1"/>
  <c r="Q872" i="3"/>
  <c r="R872" i="3" s="1"/>
  <c r="S872" i="3" s="1"/>
  <c r="Q651" i="3"/>
  <c r="R651" i="3" s="1"/>
  <c r="S651" i="3" s="1"/>
  <c r="Q347" i="3"/>
  <c r="R347" i="3" s="1"/>
  <c r="S347" i="3" s="1"/>
  <c r="Q531" i="3"/>
  <c r="R531" i="3" s="1"/>
  <c r="S531" i="3" s="1"/>
  <c r="Q512" i="3"/>
  <c r="R512" i="3" s="1"/>
  <c r="S512" i="3" s="1"/>
  <c r="Q744" i="3"/>
  <c r="R744" i="3" s="1"/>
  <c r="S744" i="3" s="1"/>
  <c r="Q761" i="3"/>
  <c r="R761" i="3" s="1"/>
  <c r="S761" i="3" s="1"/>
  <c r="Q977" i="3"/>
  <c r="R977" i="3" s="1"/>
  <c r="S977" i="3" s="1"/>
  <c r="Q938" i="3"/>
  <c r="R938" i="3" s="1"/>
  <c r="S938" i="3" s="1"/>
  <c r="Q747" i="3"/>
  <c r="R747" i="3" s="1"/>
  <c r="S747" i="3" s="1"/>
  <c r="Q772" i="3"/>
  <c r="R772" i="3" s="1"/>
  <c r="S772" i="3" s="1"/>
  <c r="Q715" i="3"/>
  <c r="R715" i="3" s="1"/>
  <c r="S715" i="3" s="1"/>
  <c r="Q899" i="3"/>
  <c r="R899" i="3" s="1"/>
  <c r="S899" i="3" s="1"/>
  <c r="Q524" i="3"/>
  <c r="R524" i="3" s="1"/>
  <c r="S524" i="3" s="1"/>
  <c r="Q459" i="3"/>
  <c r="R459" i="3" s="1"/>
  <c r="S459" i="3" s="1"/>
  <c r="Q595" i="3"/>
  <c r="R595" i="3" s="1"/>
  <c r="S595" i="3" s="1"/>
  <c r="Q45" i="3"/>
  <c r="R45" i="3" s="1"/>
  <c r="S45" i="3" s="1"/>
  <c r="Q213" i="3"/>
  <c r="R213" i="3" s="1"/>
  <c r="S213" i="3" s="1"/>
  <c r="Q906" i="3"/>
  <c r="R906" i="3" s="1"/>
  <c r="S906" i="3" s="1"/>
  <c r="Q1002" i="3"/>
  <c r="R1002" i="3" s="1"/>
  <c r="S1002" i="3" s="1"/>
  <c r="Q627" i="3"/>
  <c r="R627" i="3" s="1"/>
  <c r="S627" i="3" s="1"/>
  <c r="Q811" i="3"/>
  <c r="R811" i="3" s="1"/>
  <c r="S811" i="3" s="1"/>
  <c r="Q995" i="3"/>
  <c r="R995" i="3" s="1"/>
  <c r="S995" i="3" s="1"/>
  <c r="Q844" i="3"/>
  <c r="R844" i="3" s="1"/>
  <c r="S844" i="3" s="1"/>
  <c r="Q425" i="3"/>
  <c r="R425" i="3" s="1"/>
  <c r="S425" i="3" s="1"/>
  <c r="Q841" i="3"/>
  <c r="R841" i="3" s="1"/>
  <c r="S841" i="3" s="1"/>
  <c r="Q905" i="3"/>
  <c r="R905" i="3" s="1"/>
  <c r="S905" i="3" s="1"/>
  <c r="Q1001" i="3"/>
  <c r="R1001" i="3" s="1"/>
  <c r="S1001" i="3" s="1"/>
  <c r="Q746" i="3"/>
  <c r="R746" i="3" s="1"/>
  <c r="S746" i="3" s="1"/>
  <c r="Q954" i="3"/>
  <c r="R954" i="3" s="1"/>
  <c r="S954" i="3" s="1"/>
  <c r="Q675" i="3"/>
  <c r="R675" i="3" s="1"/>
  <c r="S675" i="3" s="1"/>
  <c r="Q723" i="3"/>
  <c r="R723" i="3" s="1"/>
  <c r="S723" i="3" s="1"/>
  <c r="Q155" i="3"/>
  <c r="R155" i="3" s="1"/>
  <c r="S155" i="3" s="1"/>
  <c r="Q467" i="3"/>
  <c r="R467" i="3" s="1"/>
  <c r="S467" i="3" s="1"/>
  <c r="Q603" i="3"/>
  <c r="R603" i="3" s="1"/>
  <c r="S603" i="3" s="1"/>
  <c r="Q173" i="3"/>
  <c r="R173" i="3" s="1"/>
  <c r="S173" i="3" s="1"/>
  <c r="Q341" i="3"/>
  <c r="R341" i="3" s="1"/>
  <c r="S341" i="3" s="1"/>
  <c r="Q701" i="3"/>
  <c r="R701" i="3" s="1"/>
  <c r="S701" i="3" s="1"/>
  <c r="Q869" i="3"/>
  <c r="R869" i="3" s="1"/>
  <c r="S869" i="3" s="1"/>
  <c r="Q927" i="3"/>
  <c r="R927" i="3" s="1"/>
  <c r="S927" i="3" s="1"/>
  <c r="Q544" i="3"/>
  <c r="R544" i="3" s="1"/>
  <c r="S544" i="3" s="1"/>
  <c r="Q728" i="3"/>
  <c r="R728" i="3" s="1"/>
  <c r="S728" i="3" s="1"/>
  <c r="Q888" i="3"/>
  <c r="R888" i="3" s="1"/>
  <c r="S888" i="3" s="1"/>
  <c r="Q952" i="3"/>
  <c r="R952" i="3" s="1"/>
  <c r="S952" i="3" s="1"/>
  <c r="Q793" i="3"/>
  <c r="R793" i="3" s="1"/>
  <c r="S793" i="3" s="1"/>
  <c r="Q819" i="3"/>
  <c r="R819" i="3" s="1"/>
  <c r="S819" i="3" s="1"/>
  <c r="Q1003" i="3"/>
  <c r="R1003" i="3" s="1"/>
  <c r="S1003" i="3" s="1"/>
  <c r="Q484" i="3"/>
  <c r="R484" i="3" s="1"/>
  <c r="S484" i="3" s="1"/>
  <c r="Q59" i="3"/>
  <c r="R59" i="3" s="1"/>
  <c r="S59" i="3" s="1"/>
  <c r="Q315" i="3"/>
  <c r="R315" i="3" s="1"/>
  <c r="S315" i="3" s="1"/>
  <c r="Q443" i="3"/>
  <c r="R443" i="3" s="1"/>
  <c r="S443" i="3" s="1"/>
  <c r="Q555" i="3"/>
  <c r="R555" i="3" s="1"/>
  <c r="S555" i="3" s="1"/>
  <c r="Q20" i="3"/>
  <c r="R20" i="3" s="1"/>
  <c r="S20" i="3" s="1"/>
  <c r="Q60" i="3"/>
  <c r="R60" i="3" s="1"/>
  <c r="S60" i="3" s="1"/>
  <c r="Q116" i="3"/>
  <c r="R116" i="3" s="1"/>
  <c r="S116" i="3" s="1"/>
  <c r="Q172" i="3"/>
  <c r="R172" i="3" s="1"/>
  <c r="S172" i="3" s="1"/>
  <c r="Q276" i="3"/>
  <c r="R276" i="3" s="1"/>
  <c r="S276" i="3" s="1"/>
  <c r="Q356" i="3"/>
  <c r="R356" i="3" s="1"/>
  <c r="S356" i="3" s="1"/>
  <c r="Q428" i="3"/>
  <c r="R428" i="3" s="1"/>
  <c r="S428" i="3" s="1"/>
  <c r="Q495" i="3"/>
  <c r="R495" i="3" s="1"/>
  <c r="S495" i="3" s="1"/>
  <c r="Q535" i="3"/>
  <c r="R535" i="3" s="1"/>
  <c r="S535" i="3" s="1"/>
  <c r="Q575" i="3"/>
  <c r="R575" i="3" s="1"/>
  <c r="S575" i="3" s="1"/>
  <c r="Q607" i="3"/>
  <c r="R607" i="3" s="1"/>
  <c r="S607" i="3" s="1"/>
  <c r="Q639" i="3"/>
  <c r="R639" i="3" s="1"/>
  <c r="S639" i="3" s="1"/>
  <c r="Q671" i="3"/>
  <c r="R671" i="3" s="1"/>
  <c r="S671" i="3" s="1"/>
  <c r="Q711" i="3"/>
  <c r="R711" i="3" s="1"/>
  <c r="S711" i="3" s="1"/>
  <c r="Q743" i="3"/>
  <c r="R743" i="3" s="1"/>
  <c r="S743" i="3" s="1"/>
  <c r="Q783" i="3"/>
  <c r="R783" i="3" s="1"/>
  <c r="S783" i="3" s="1"/>
  <c r="Q823" i="3"/>
  <c r="R823" i="3" s="1"/>
  <c r="S823" i="3" s="1"/>
  <c r="Q855" i="3"/>
  <c r="R855" i="3" s="1"/>
  <c r="S855" i="3" s="1"/>
  <c r="Q895" i="3"/>
  <c r="R895" i="3" s="1"/>
  <c r="S895" i="3" s="1"/>
  <c r="Q768" i="3"/>
  <c r="R768" i="3" s="1"/>
  <c r="S768" i="3" s="1"/>
  <c r="Q856" i="3"/>
  <c r="R856" i="3" s="1"/>
  <c r="S856" i="3" s="1"/>
  <c r="Q976" i="3"/>
  <c r="R976" i="3" s="1"/>
  <c r="S976" i="3" s="1"/>
  <c r="Q657" i="3"/>
  <c r="R657" i="3" s="1"/>
  <c r="S657" i="3" s="1"/>
  <c r="Q697" i="3"/>
  <c r="R697" i="3" s="1"/>
  <c r="S697" i="3" s="1"/>
  <c r="Q640" i="3"/>
  <c r="R640" i="3" s="1"/>
  <c r="S640" i="3" s="1"/>
  <c r="Q688" i="3"/>
  <c r="R688" i="3" s="1"/>
  <c r="S688" i="3" s="1"/>
  <c r="Q736" i="3"/>
  <c r="R736" i="3" s="1"/>
  <c r="S736" i="3" s="1"/>
  <c r="Q816" i="3"/>
  <c r="R816" i="3" s="1"/>
  <c r="S816" i="3" s="1"/>
  <c r="Q944" i="3"/>
  <c r="R944" i="3" s="1"/>
  <c r="S944" i="3" s="1"/>
  <c r="Q553" i="3"/>
  <c r="R553" i="3" s="1"/>
  <c r="S553" i="3" s="1"/>
  <c r="Q985" i="3"/>
  <c r="R985" i="3" s="1"/>
  <c r="S985" i="3" s="1"/>
  <c r="Q874" i="3"/>
  <c r="R874" i="3" s="1"/>
  <c r="S874" i="3" s="1"/>
  <c r="Q986" i="3"/>
  <c r="R986" i="3" s="1"/>
  <c r="S986" i="3" s="1"/>
  <c r="Q683" i="3"/>
  <c r="R683" i="3" s="1"/>
  <c r="S683" i="3" s="1"/>
  <c r="Q755" i="3"/>
  <c r="R755" i="3" s="1"/>
  <c r="S755" i="3" s="1"/>
  <c r="Q867" i="3"/>
  <c r="R867" i="3" s="1"/>
  <c r="S867" i="3" s="1"/>
  <c r="Q939" i="3"/>
  <c r="R939" i="3" s="1"/>
  <c r="S939" i="3" s="1"/>
  <c r="Q660" i="3"/>
  <c r="R660" i="3" s="1"/>
  <c r="S660" i="3" s="1"/>
  <c r="Q948" i="3"/>
  <c r="R948" i="3" s="1"/>
  <c r="S948" i="3" s="1"/>
  <c r="Q123" i="3"/>
  <c r="R123" i="3" s="1"/>
  <c r="S123" i="3" s="1"/>
  <c r="Q491" i="3"/>
  <c r="R491" i="3" s="1"/>
  <c r="S491" i="3" s="1"/>
  <c r="Q563" i="3"/>
  <c r="R563" i="3" s="1"/>
  <c r="S563" i="3" s="1"/>
  <c r="Q36" i="3"/>
  <c r="R36" i="3" s="1"/>
  <c r="S36" i="3" s="1"/>
  <c r="Q84" i="3"/>
  <c r="R84" i="3" s="1"/>
  <c r="S84" i="3" s="1"/>
  <c r="Q124" i="3"/>
  <c r="R124" i="3" s="1"/>
  <c r="S124" i="3" s="1"/>
  <c r="Q212" i="3"/>
  <c r="R212" i="3" s="1"/>
  <c r="S212" i="3" s="1"/>
  <c r="Q292" i="3"/>
  <c r="R292" i="3" s="1"/>
  <c r="S292" i="3" s="1"/>
  <c r="Q364" i="3"/>
  <c r="R364" i="3" s="1"/>
  <c r="S364" i="3" s="1"/>
  <c r="Q463" i="3"/>
  <c r="R463" i="3" s="1"/>
  <c r="S463" i="3" s="1"/>
  <c r="Q503" i="3"/>
  <c r="R503" i="3" s="1"/>
  <c r="S503" i="3" s="1"/>
  <c r="Q543" i="3"/>
  <c r="R543" i="3" s="1"/>
  <c r="S543" i="3" s="1"/>
  <c r="Q583" i="3"/>
  <c r="R583" i="3" s="1"/>
  <c r="S583" i="3" s="1"/>
  <c r="Q615" i="3"/>
  <c r="R615" i="3" s="1"/>
  <c r="S615" i="3" s="1"/>
  <c r="Q647" i="3"/>
  <c r="R647" i="3" s="1"/>
  <c r="S647" i="3" s="1"/>
  <c r="Q679" i="3"/>
  <c r="R679" i="3" s="1"/>
  <c r="S679" i="3" s="1"/>
  <c r="Q719" i="3"/>
  <c r="R719" i="3" s="1"/>
  <c r="S719" i="3" s="1"/>
  <c r="Q759" i="3"/>
  <c r="R759" i="3" s="1"/>
  <c r="S759" i="3" s="1"/>
  <c r="Q791" i="3"/>
  <c r="R791" i="3" s="1"/>
  <c r="S791" i="3" s="1"/>
  <c r="Q831" i="3"/>
  <c r="R831" i="3" s="1"/>
  <c r="S831" i="3" s="1"/>
  <c r="Q863" i="3"/>
  <c r="R863" i="3" s="1"/>
  <c r="S863" i="3" s="1"/>
  <c r="Q903" i="3"/>
  <c r="R903" i="3" s="1"/>
  <c r="S903" i="3" s="1"/>
  <c r="Q935" i="3"/>
  <c r="R935" i="3" s="1"/>
  <c r="S935" i="3" s="1"/>
  <c r="Q784" i="3"/>
  <c r="R784" i="3" s="1"/>
  <c r="S784" i="3" s="1"/>
  <c r="Q912" i="3"/>
  <c r="R912" i="3" s="1"/>
  <c r="S912" i="3" s="1"/>
  <c r="Q984" i="3"/>
  <c r="R984" i="3" s="1"/>
  <c r="S984" i="3" s="1"/>
  <c r="Q665" i="3"/>
  <c r="R665" i="3" s="1"/>
  <c r="S665" i="3" s="1"/>
  <c r="Q993" i="3"/>
  <c r="R993" i="3" s="1"/>
  <c r="S993" i="3" s="1"/>
  <c r="Q922" i="3"/>
  <c r="R922" i="3" s="1"/>
  <c r="S922" i="3" s="1"/>
  <c r="Q994" i="3"/>
  <c r="R994" i="3" s="1"/>
  <c r="S994" i="3" s="1"/>
  <c r="Q691" i="3"/>
  <c r="R691" i="3" s="1"/>
  <c r="S691" i="3" s="1"/>
  <c r="Q803" i="3"/>
  <c r="R803" i="3" s="1"/>
  <c r="S803" i="3" s="1"/>
  <c r="Q875" i="3"/>
  <c r="R875" i="3" s="1"/>
  <c r="S875" i="3" s="1"/>
  <c r="Q947" i="3"/>
  <c r="R947" i="3" s="1"/>
  <c r="S947" i="3" s="1"/>
  <c r="Q452" i="3"/>
  <c r="R452" i="3" s="1"/>
  <c r="S452" i="3" s="1"/>
  <c r="Q732" i="3"/>
  <c r="R732" i="3" s="1"/>
  <c r="S732" i="3" s="1"/>
  <c r="Q187" i="3"/>
  <c r="R187" i="3" s="1"/>
  <c r="S187" i="3" s="1"/>
  <c r="Q427" i="3"/>
  <c r="R427" i="3" s="1"/>
  <c r="S427" i="3" s="1"/>
  <c r="Q499" i="3"/>
  <c r="R499" i="3" s="1"/>
  <c r="S499" i="3" s="1"/>
  <c r="Q571" i="3"/>
  <c r="R571" i="3" s="1"/>
  <c r="S571" i="3" s="1"/>
  <c r="Q44" i="3"/>
  <c r="R44" i="3" s="1"/>
  <c r="S44" i="3" s="1"/>
  <c r="Q100" i="3"/>
  <c r="R100" i="3" s="1"/>
  <c r="S100" i="3" s="1"/>
  <c r="Q148" i="3"/>
  <c r="R148" i="3" s="1"/>
  <c r="S148" i="3" s="1"/>
  <c r="Q228" i="3"/>
  <c r="R228" i="3" s="1"/>
  <c r="S228" i="3" s="1"/>
  <c r="Q300" i="3"/>
  <c r="R300" i="3" s="1"/>
  <c r="S300" i="3" s="1"/>
  <c r="Q404" i="3"/>
  <c r="R404" i="3" s="1"/>
  <c r="S404" i="3" s="1"/>
  <c r="Q471" i="3"/>
  <c r="R471" i="3" s="1"/>
  <c r="S471" i="3" s="1"/>
  <c r="Q511" i="3"/>
  <c r="R511" i="3" s="1"/>
  <c r="S511" i="3" s="1"/>
  <c r="Q551" i="3"/>
  <c r="R551" i="3" s="1"/>
  <c r="S551" i="3" s="1"/>
  <c r="Q591" i="3"/>
  <c r="R591" i="3" s="1"/>
  <c r="S591" i="3" s="1"/>
  <c r="Q623" i="3"/>
  <c r="R623" i="3" s="1"/>
  <c r="S623" i="3" s="1"/>
  <c r="Q655" i="3"/>
  <c r="R655" i="3" s="1"/>
  <c r="S655" i="3" s="1"/>
  <c r="Q695" i="3"/>
  <c r="R695" i="3" s="1"/>
  <c r="S695" i="3" s="1"/>
  <c r="Q727" i="3"/>
  <c r="R727" i="3" s="1"/>
  <c r="S727" i="3" s="1"/>
  <c r="Q767" i="3"/>
  <c r="R767" i="3" s="1"/>
  <c r="S767" i="3" s="1"/>
  <c r="Q799" i="3"/>
  <c r="R799" i="3" s="1"/>
  <c r="S799" i="3" s="1"/>
  <c r="Q839" i="3"/>
  <c r="R839" i="3" s="1"/>
  <c r="S839" i="3" s="1"/>
  <c r="Q871" i="3"/>
  <c r="R871" i="3" s="1"/>
  <c r="S871" i="3" s="1"/>
  <c r="Q911" i="3"/>
  <c r="R911" i="3" s="1"/>
  <c r="S911" i="3" s="1"/>
  <c r="Q943" i="3"/>
  <c r="R943" i="3" s="1"/>
  <c r="S943" i="3" s="1"/>
  <c r="Q608" i="3"/>
  <c r="R608" i="3" s="1"/>
  <c r="S608" i="3" s="1"/>
  <c r="Q704" i="3"/>
  <c r="R704" i="3" s="1"/>
  <c r="S704" i="3" s="1"/>
  <c r="Q832" i="3"/>
  <c r="R832" i="3" s="1"/>
  <c r="S832" i="3" s="1"/>
  <c r="Q920" i="3"/>
  <c r="R920" i="3" s="1"/>
  <c r="S920" i="3" s="1"/>
  <c r="Q992" i="3"/>
  <c r="R992" i="3" s="1"/>
  <c r="S992" i="3" s="1"/>
  <c r="Q521" i="3"/>
  <c r="R521" i="3" s="1"/>
  <c r="S521" i="3" s="1"/>
  <c r="Q721" i="3"/>
  <c r="R721" i="3" s="1"/>
  <c r="S721" i="3" s="1"/>
  <c r="Q769" i="3"/>
  <c r="R769" i="3" s="1"/>
  <c r="S769" i="3" s="1"/>
  <c r="Q873" i="3"/>
  <c r="R873" i="3" s="1"/>
  <c r="S873" i="3" s="1"/>
  <c r="Q913" i="3"/>
  <c r="R913" i="3" s="1"/>
  <c r="S913" i="3" s="1"/>
  <c r="Q842" i="3"/>
  <c r="R842" i="3" s="1"/>
  <c r="S842" i="3" s="1"/>
  <c r="Q890" i="3"/>
  <c r="R890" i="3" s="1"/>
  <c r="S890" i="3" s="1"/>
  <c r="Q962" i="3"/>
  <c r="R962" i="3" s="1"/>
  <c r="S962" i="3" s="1"/>
  <c r="Q659" i="3"/>
  <c r="R659" i="3" s="1"/>
  <c r="S659" i="3" s="1"/>
  <c r="Q771" i="3"/>
  <c r="R771" i="3" s="1"/>
  <c r="S771" i="3" s="1"/>
  <c r="Q843" i="3"/>
  <c r="R843" i="3" s="1"/>
  <c r="S843" i="3" s="1"/>
  <c r="Q915" i="3"/>
  <c r="R915" i="3" s="1"/>
  <c r="S915" i="3" s="1"/>
  <c r="Q620" i="3"/>
  <c r="R620" i="3" s="1"/>
  <c r="S620" i="3" s="1"/>
  <c r="Q916" i="3"/>
  <c r="R916" i="3" s="1"/>
  <c r="S916" i="3" s="1"/>
  <c r="Q251" i="3"/>
  <c r="R251" i="3" s="1"/>
  <c r="S251" i="3" s="1"/>
  <c r="Q435" i="3"/>
  <c r="R435" i="3" s="1"/>
  <c r="S435" i="3" s="1"/>
  <c r="Q507" i="3"/>
  <c r="R507" i="3" s="1"/>
  <c r="S507" i="3" s="1"/>
  <c r="Q12" i="3"/>
  <c r="R12" i="3" s="1"/>
  <c r="S12" i="3" s="1"/>
  <c r="Q52" i="3"/>
  <c r="R52" i="3" s="1"/>
  <c r="S52" i="3" s="1"/>
  <c r="Q108" i="3"/>
  <c r="R108" i="3" s="1"/>
  <c r="S108" i="3" s="1"/>
  <c r="Q164" i="3"/>
  <c r="R164" i="3" s="1"/>
  <c r="S164" i="3" s="1"/>
  <c r="Q236" i="3"/>
  <c r="R236" i="3" s="1"/>
  <c r="S236" i="3" s="1"/>
  <c r="Q340" i="3"/>
  <c r="R340" i="3" s="1"/>
  <c r="S340" i="3" s="1"/>
  <c r="Q420" i="3"/>
  <c r="R420" i="3" s="1"/>
  <c r="S420" i="3" s="1"/>
  <c r="Q479" i="3"/>
  <c r="R479" i="3" s="1"/>
  <c r="S479" i="3" s="1"/>
  <c r="Q519" i="3"/>
  <c r="R519" i="3" s="1"/>
  <c r="S519" i="3" s="1"/>
  <c r="Q559" i="3"/>
  <c r="R559" i="3" s="1"/>
  <c r="S559" i="3" s="1"/>
  <c r="Q599" i="3"/>
  <c r="R599" i="3" s="1"/>
  <c r="S599" i="3" s="1"/>
  <c r="Q631" i="3"/>
  <c r="R631" i="3" s="1"/>
  <c r="S631" i="3" s="1"/>
  <c r="Q663" i="3"/>
  <c r="R663" i="3" s="1"/>
  <c r="S663" i="3" s="1"/>
  <c r="Q703" i="3"/>
  <c r="R703" i="3" s="1"/>
  <c r="S703" i="3" s="1"/>
  <c r="Q735" i="3"/>
  <c r="R735" i="3" s="1"/>
  <c r="S735" i="3" s="1"/>
  <c r="Q775" i="3"/>
  <c r="R775" i="3" s="1"/>
  <c r="S775" i="3" s="1"/>
  <c r="Q807" i="3"/>
  <c r="R807" i="3" s="1"/>
  <c r="S807" i="3" s="1"/>
  <c r="Q847" i="3"/>
  <c r="R847" i="3" s="1"/>
  <c r="S847" i="3" s="1"/>
  <c r="Q887" i="3"/>
  <c r="R887" i="3" s="1"/>
  <c r="S887" i="3" s="1"/>
  <c r="Q919" i="3"/>
  <c r="R919" i="3" s="1"/>
  <c r="S919" i="3" s="1"/>
  <c r="Q672" i="3"/>
  <c r="R672" i="3" s="1"/>
  <c r="S672" i="3" s="1"/>
  <c r="Q760" i="3"/>
  <c r="R760" i="3" s="1"/>
  <c r="S760" i="3" s="1"/>
  <c r="Q848" i="3"/>
  <c r="R848" i="3" s="1"/>
  <c r="S848" i="3" s="1"/>
  <c r="Q928" i="3"/>
  <c r="R928" i="3" s="1"/>
  <c r="S928" i="3" s="1"/>
  <c r="Q585" i="3"/>
  <c r="R585" i="3" s="1"/>
  <c r="S585" i="3" s="1"/>
  <c r="Q689" i="3"/>
  <c r="R689" i="3" s="1"/>
  <c r="S689" i="3" s="1"/>
  <c r="Q729" i="3"/>
  <c r="R729" i="3" s="1"/>
  <c r="S729" i="3" s="1"/>
  <c r="Q833" i="3"/>
  <c r="R833" i="3" s="1"/>
  <c r="S833" i="3" s="1"/>
  <c r="Q881" i="3"/>
  <c r="R881" i="3" s="1"/>
  <c r="S881" i="3" s="1"/>
  <c r="Q898" i="3"/>
  <c r="R898" i="3" s="1"/>
  <c r="S898" i="3" s="1"/>
  <c r="Q970" i="3"/>
  <c r="R970" i="3" s="1"/>
  <c r="S970" i="3" s="1"/>
  <c r="Q707" i="3"/>
  <c r="R707" i="3" s="1"/>
  <c r="S707" i="3" s="1"/>
  <c r="Q779" i="3"/>
  <c r="R779" i="3" s="1"/>
  <c r="S779" i="3" s="1"/>
  <c r="Q851" i="3"/>
  <c r="R851" i="3" s="1"/>
  <c r="S851" i="3" s="1"/>
  <c r="Q963" i="3"/>
  <c r="R963" i="3" s="1"/>
  <c r="S963" i="3" s="1"/>
  <c r="Q692" i="3"/>
  <c r="R692" i="3" s="1"/>
  <c r="S692" i="3" s="1"/>
  <c r="Q980" i="3"/>
  <c r="R980" i="3" s="1"/>
  <c r="S980" i="3" s="1"/>
  <c r="I125" i="3"/>
  <c r="J125" i="3" s="1"/>
  <c r="K125" i="3" s="1"/>
  <c r="L125" i="3" s="1"/>
  <c r="M125" i="3" s="1"/>
  <c r="N125" i="3" s="1"/>
  <c r="O125" i="3" s="1"/>
  <c r="P125" i="3" s="1"/>
  <c r="I253" i="3"/>
  <c r="J253" i="3" s="1"/>
  <c r="K253" i="3" s="1"/>
  <c r="L253" i="3" s="1"/>
  <c r="M253" i="3" s="1"/>
  <c r="N253" i="3" s="1"/>
  <c r="O253" i="3" s="1"/>
  <c r="P253" i="3" s="1"/>
  <c r="I381" i="3"/>
  <c r="J381" i="3" s="1"/>
  <c r="K381" i="3" s="1"/>
  <c r="L381" i="3" s="1"/>
  <c r="M381" i="3" s="1"/>
  <c r="N381" i="3" s="1"/>
  <c r="O381" i="3" s="1"/>
  <c r="P381" i="3" s="1"/>
  <c r="I509" i="3"/>
  <c r="J509" i="3" s="1"/>
  <c r="K509" i="3" s="1"/>
  <c r="L509" i="3" s="1"/>
  <c r="M509" i="3" s="1"/>
  <c r="N509" i="3" s="1"/>
  <c r="O509" i="3" s="1"/>
  <c r="P509" i="3" s="1"/>
  <c r="I637" i="3"/>
  <c r="J637" i="3" s="1"/>
  <c r="K637" i="3" s="1"/>
  <c r="L637" i="3" s="1"/>
  <c r="M637" i="3" s="1"/>
  <c r="N637" i="3" s="1"/>
  <c r="O637" i="3" s="1"/>
  <c r="P637" i="3" s="1"/>
  <c r="I781" i="3"/>
  <c r="J781" i="3" s="1"/>
  <c r="K781" i="3" s="1"/>
  <c r="L781" i="3" s="1"/>
  <c r="M781" i="3" s="1"/>
  <c r="N781" i="3" s="1"/>
  <c r="O781" i="3" s="1"/>
  <c r="P781" i="3" s="1"/>
  <c r="I917" i="3"/>
  <c r="J917" i="3" s="1"/>
  <c r="K917" i="3" s="1"/>
  <c r="L917" i="3" s="1"/>
  <c r="M917" i="3" s="1"/>
  <c r="N917" i="3" s="1"/>
  <c r="O917" i="3" s="1"/>
  <c r="P917" i="3" s="1"/>
  <c r="I110" i="3"/>
  <c r="J110" i="3" s="1"/>
  <c r="K110" i="3" s="1"/>
  <c r="L110" i="3" s="1"/>
  <c r="M110" i="3" s="1"/>
  <c r="N110" i="3" s="1"/>
  <c r="O110" i="3" s="1"/>
  <c r="P110" i="3" s="1"/>
  <c r="I262" i="3"/>
  <c r="J262" i="3" s="1"/>
  <c r="K262" i="3" s="1"/>
  <c r="L262" i="3" s="1"/>
  <c r="M262" i="3" s="1"/>
  <c r="N262" i="3" s="1"/>
  <c r="O262" i="3" s="1"/>
  <c r="P262" i="3" s="1"/>
  <c r="I71" i="3"/>
  <c r="J71" i="3" s="1"/>
  <c r="K71" i="3" s="1"/>
  <c r="L71" i="3" s="1"/>
  <c r="M71" i="3" s="1"/>
  <c r="N71" i="3" s="1"/>
  <c r="O71" i="3" s="1"/>
  <c r="P71" i="3" s="1"/>
  <c r="I199" i="3"/>
  <c r="J199" i="3" s="1"/>
  <c r="K199" i="3" s="1"/>
  <c r="L199" i="3" s="1"/>
  <c r="M199" i="3" s="1"/>
  <c r="N199" i="3" s="1"/>
  <c r="O199" i="3" s="1"/>
  <c r="P199" i="3" s="1"/>
  <c r="I351" i="3"/>
  <c r="J351" i="3" s="1"/>
  <c r="K351" i="3" s="1"/>
  <c r="L351" i="3" s="1"/>
  <c r="M351" i="3" s="1"/>
  <c r="N351" i="3" s="1"/>
  <c r="O351" i="3" s="1"/>
  <c r="P351" i="3" s="1"/>
  <c r="I414" i="3"/>
  <c r="J414" i="3" s="1"/>
  <c r="K414" i="3" s="1"/>
  <c r="L414" i="3" s="1"/>
  <c r="M414" i="3" s="1"/>
  <c r="N414" i="3" s="1"/>
  <c r="O414" i="3" s="1"/>
  <c r="P414" i="3" s="1"/>
  <c r="I478" i="3"/>
  <c r="J478" i="3" s="1"/>
  <c r="K478" i="3" s="1"/>
  <c r="L478" i="3" s="1"/>
  <c r="M478" i="3" s="1"/>
  <c r="N478" i="3" s="1"/>
  <c r="O478" i="3" s="1"/>
  <c r="P478" i="3" s="1"/>
  <c r="I542" i="3"/>
  <c r="J542" i="3" s="1"/>
  <c r="K542" i="3" s="1"/>
  <c r="L542" i="3" s="1"/>
  <c r="M542" i="3" s="1"/>
  <c r="N542" i="3" s="1"/>
  <c r="O542" i="3" s="1"/>
  <c r="P542" i="3" s="1"/>
  <c r="I622" i="3"/>
  <c r="J622" i="3" s="1"/>
  <c r="K622" i="3" s="1"/>
  <c r="L622" i="3" s="1"/>
  <c r="M622" i="3" s="1"/>
  <c r="N622" i="3" s="1"/>
  <c r="O622" i="3" s="1"/>
  <c r="P622" i="3" s="1"/>
  <c r="I694" i="3"/>
  <c r="J694" i="3" s="1"/>
  <c r="K694" i="3" s="1"/>
  <c r="L694" i="3" s="1"/>
  <c r="M694" i="3" s="1"/>
  <c r="N694" i="3" s="1"/>
  <c r="O694" i="3" s="1"/>
  <c r="P694" i="3" s="1"/>
  <c r="I766" i="3"/>
  <c r="J766" i="3" s="1"/>
  <c r="K766" i="3" s="1"/>
  <c r="L766" i="3" s="1"/>
  <c r="M766" i="3" s="1"/>
  <c r="N766" i="3" s="1"/>
  <c r="O766" i="3" s="1"/>
  <c r="P766" i="3" s="1"/>
  <c r="I838" i="3"/>
  <c r="J838" i="3" s="1"/>
  <c r="K838" i="3" s="1"/>
  <c r="L838" i="3" s="1"/>
  <c r="M838" i="3" s="1"/>
  <c r="N838" i="3" s="1"/>
  <c r="O838" i="3" s="1"/>
  <c r="P838" i="3" s="1"/>
  <c r="I648" i="3"/>
  <c r="J648" i="3" s="1"/>
  <c r="K648" i="3" s="1"/>
  <c r="L648" i="3" s="1"/>
  <c r="M648" i="3" s="1"/>
  <c r="N648" i="3" s="1"/>
  <c r="O648" i="3" s="1"/>
  <c r="P648" i="3" s="1"/>
  <c r="I824" i="3"/>
  <c r="J824" i="3" s="1"/>
  <c r="K824" i="3" s="1"/>
  <c r="L824" i="3" s="1"/>
  <c r="M824" i="3" s="1"/>
  <c r="N824" i="3" s="1"/>
  <c r="O824" i="3" s="1"/>
  <c r="P824" i="3" s="1"/>
  <c r="I882" i="3"/>
  <c r="J882" i="3" s="1"/>
  <c r="K882" i="3" s="1"/>
  <c r="L882" i="3" s="1"/>
  <c r="M882" i="3" s="1"/>
  <c r="N882" i="3" s="1"/>
  <c r="O882" i="3" s="1"/>
  <c r="P882" i="3" s="1"/>
  <c r="I763" i="3"/>
  <c r="J763" i="3" s="1"/>
  <c r="K763" i="3" s="1"/>
  <c r="L763" i="3" s="1"/>
  <c r="M763" i="3" s="1"/>
  <c r="N763" i="3" s="1"/>
  <c r="O763" i="3" s="1"/>
  <c r="P763" i="3" s="1"/>
  <c r="Q9" i="3"/>
  <c r="R9" i="3" s="1"/>
  <c r="S9" i="3" s="1"/>
  <c r="Q57" i="3"/>
  <c r="R57" i="3" s="1"/>
  <c r="S57" i="3" s="1"/>
  <c r="Q97" i="3"/>
  <c r="R97" i="3" s="1"/>
  <c r="S97" i="3" s="1"/>
  <c r="Q185" i="3"/>
  <c r="R185" i="3" s="1"/>
  <c r="S185" i="3" s="1"/>
  <c r="Q265" i="3"/>
  <c r="R265" i="3" s="1"/>
  <c r="S265" i="3" s="1"/>
  <c r="Q337" i="3"/>
  <c r="R337" i="3" s="1"/>
  <c r="S337" i="3" s="1"/>
  <c r="Q10" i="3"/>
  <c r="R10" i="3" s="1"/>
  <c r="S10" i="3" s="1"/>
  <c r="Q42" i="3"/>
  <c r="R42" i="3" s="1"/>
  <c r="S42" i="3" s="1"/>
  <c r="Q74" i="3"/>
  <c r="R74" i="3" s="1"/>
  <c r="S74" i="3" s="1"/>
  <c r="Q106" i="3"/>
  <c r="R106" i="3" s="1"/>
  <c r="S106" i="3" s="1"/>
  <c r="Q138" i="3"/>
  <c r="R138" i="3" s="1"/>
  <c r="S138" i="3" s="1"/>
  <c r="Q170" i="3"/>
  <c r="R170" i="3" s="1"/>
  <c r="S170" i="3" s="1"/>
  <c r="Q202" i="3"/>
  <c r="R202" i="3" s="1"/>
  <c r="S202" i="3" s="1"/>
  <c r="Q234" i="3"/>
  <c r="R234" i="3" s="1"/>
  <c r="S234" i="3" s="1"/>
  <c r="Q266" i="3"/>
  <c r="R266" i="3" s="1"/>
  <c r="S266" i="3" s="1"/>
  <c r="Q298" i="3"/>
  <c r="R298" i="3" s="1"/>
  <c r="S298" i="3" s="1"/>
  <c r="Q330" i="3"/>
  <c r="R330" i="3" s="1"/>
  <c r="S330" i="3" s="1"/>
  <c r="Q362" i="3"/>
  <c r="R362" i="3" s="1"/>
  <c r="S362" i="3" s="1"/>
  <c r="Q394" i="3"/>
  <c r="R394" i="3" s="1"/>
  <c r="S394" i="3" s="1"/>
  <c r="Q426" i="3"/>
  <c r="R426" i="3" s="1"/>
  <c r="S426" i="3" s="1"/>
  <c r="Q458" i="3"/>
  <c r="R458" i="3" s="1"/>
  <c r="S458" i="3" s="1"/>
  <c r="Q490" i="3"/>
  <c r="R490" i="3" s="1"/>
  <c r="S490" i="3" s="1"/>
  <c r="Q522" i="3"/>
  <c r="R522" i="3" s="1"/>
  <c r="S522" i="3" s="1"/>
  <c r="Q554" i="3"/>
  <c r="R554" i="3" s="1"/>
  <c r="S554" i="3" s="1"/>
  <c r="Q586" i="3"/>
  <c r="R586" i="3" s="1"/>
  <c r="S586" i="3" s="1"/>
  <c r="Q11" i="3"/>
  <c r="R11" i="3" s="1"/>
  <c r="S11" i="3" s="1"/>
  <c r="Q43" i="3"/>
  <c r="R43" i="3" s="1"/>
  <c r="S43" i="3" s="1"/>
  <c r="Q75" i="3"/>
  <c r="R75" i="3" s="1"/>
  <c r="S75" i="3" s="1"/>
  <c r="Q107" i="3"/>
  <c r="R107" i="3" s="1"/>
  <c r="S107" i="3" s="1"/>
  <c r="Q139" i="3"/>
  <c r="R139" i="3" s="1"/>
  <c r="S139" i="3" s="1"/>
  <c r="Q171" i="3"/>
  <c r="R171" i="3" s="1"/>
  <c r="S171" i="3" s="1"/>
  <c r="Q203" i="3"/>
  <c r="R203" i="3" s="1"/>
  <c r="S203" i="3" s="1"/>
  <c r="Q235" i="3"/>
  <c r="R235" i="3" s="1"/>
  <c r="S235" i="3" s="1"/>
  <c r="Q267" i="3"/>
  <c r="R267" i="3" s="1"/>
  <c r="S267" i="3" s="1"/>
  <c r="Q299" i="3"/>
  <c r="R299" i="3" s="1"/>
  <c r="S299" i="3" s="1"/>
  <c r="Q331" i="3"/>
  <c r="R331" i="3" s="1"/>
  <c r="S331" i="3" s="1"/>
  <c r="Q363" i="3"/>
  <c r="R363" i="3" s="1"/>
  <c r="S363" i="3" s="1"/>
  <c r="Q395" i="3"/>
  <c r="R395" i="3" s="1"/>
  <c r="S395" i="3" s="1"/>
  <c r="I619" i="3"/>
  <c r="J619" i="3" s="1"/>
  <c r="K619" i="3" s="1"/>
  <c r="L619" i="3" s="1"/>
  <c r="M619" i="3" s="1"/>
  <c r="N619" i="3" s="1"/>
  <c r="O619" i="3" s="1"/>
  <c r="P619" i="3" s="1"/>
  <c r="I133" i="3"/>
  <c r="J133" i="3" s="1"/>
  <c r="K133" i="3" s="1"/>
  <c r="L133" i="3" s="1"/>
  <c r="M133" i="3" s="1"/>
  <c r="N133" i="3" s="1"/>
  <c r="O133" i="3" s="1"/>
  <c r="P133" i="3" s="1"/>
  <c r="I261" i="3"/>
  <c r="J261" i="3" s="1"/>
  <c r="K261" i="3" s="1"/>
  <c r="L261" i="3" s="1"/>
  <c r="M261" i="3" s="1"/>
  <c r="N261" i="3" s="1"/>
  <c r="O261" i="3" s="1"/>
  <c r="P261" i="3" s="1"/>
  <c r="I389" i="3"/>
  <c r="J389" i="3" s="1"/>
  <c r="K389" i="3" s="1"/>
  <c r="L389" i="3" s="1"/>
  <c r="M389" i="3" s="1"/>
  <c r="N389" i="3" s="1"/>
  <c r="O389" i="3" s="1"/>
  <c r="P389" i="3" s="1"/>
  <c r="I517" i="3"/>
  <c r="J517" i="3" s="1"/>
  <c r="K517" i="3" s="1"/>
  <c r="L517" i="3" s="1"/>
  <c r="M517" i="3" s="1"/>
  <c r="N517" i="3" s="1"/>
  <c r="O517" i="3" s="1"/>
  <c r="P517" i="3" s="1"/>
  <c r="I645" i="3"/>
  <c r="J645" i="3" s="1"/>
  <c r="K645" i="3" s="1"/>
  <c r="L645" i="3" s="1"/>
  <c r="M645" i="3" s="1"/>
  <c r="N645" i="3" s="1"/>
  <c r="O645" i="3" s="1"/>
  <c r="P645" i="3" s="1"/>
  <c r="I789" i="3"/>
  <c r="J789" i="3" s="1"/>
  <c r="K789" i="3" s="1"/>
  <c r="L789" i="3" s="1"/>
  <c r="M789" i="3" s="1"/>
  <c r="N789" i="3" s="1"/>
  <c r="O789" i="3" s="1"/>
  <c r="P789" i="3" s="1"/>
  <c r="Q925" i="3"/>
  <c r="R925" i="3" s="1"/>
  <c r="S925" i="3" s="1"/>
  <c r="I14" i="3"/>
  <c r="J14" i="3" s="1"/>
  <c r="K14" i="3" s="1"/>
  <c r="L14" i="3" s="1"/>
  <c r="M14" i="3" s="1"/>
  <c r="N14" i="3" s="1"/>
  <c r="O14" i="3" s="1"/>
  <c r="P14" i="3" s="1"/>
  <c r="I126" i="3"/>
  <c r="J126" i="3" s="1"/>
  <c r="K126" i="3" s="1"/>
  <c r="L126" i="3" s="1"/>
  <c r="M126" i="3" s="1"/>
  <c r="N126" i="3" s="1"/>
  <c r="O126" i="3" s="1"/>
  <c r="P126" i="3" s="1"/>
  <c r="I302" i="3"/>
  <c r="J302" i="3" s="1"/>
  <c r="K302" i="3" s="1"/>
  <c r="L302" i="3" s="1"/>
  <c r="M302" i="3" s="1"/>
  <c r="N302" i="3" s="1"/>
  <c r="O302" i="3" s="1"/>
  <c r="P302" i="3" s="1"/>
  <c r="I87" i="3"/>
  <c r="J87" i="3" s="1"/>
  <c r="K87" i="3" s="1"/>
  <c r="L87" i="3" s="1"/>
  <c r="M87" i="3" s="1"/>
  <c r="N87" i="3" s="1"/>
  <c r="O87" i="3" s="1"/>
  <c r="P87" i="3" s="1"/>
  <c r="I215" i="3"/>
  <c r="J215" i="3" s="1"/>
  <c r="K215" i="3" s="1"/>
  <c r="L215" i="3" s="1"/>
  <c r="M215" i="3" s="1"/>
  <c r="N215" i="3" s="1"/>
  <c r="O215" i="3" s="1"/>
  <c r="P215" i="3" s="1"/>
  <c r="I391" i="3"/>
  <c r="J391" i="3" s="1"/>
  <c r="K391" i="3" s="1"/>
  <c r="L391" i="3" s="1"/>
  <c r="M391" i="3" s="1"/>
  <c r="N391" i="3" s="1"/>
  <c r="O391" i="3" s="1"/>
  <c r="P391" i="3" s="1"/>
  <c r="I422" i="3"/>
  <c r="J422" i="3" s="1"/>
  <c r="K422" i="3" s="1"/>
  <c r="L422" i="3" s="1"/>
  <c r="M422" i="3" s="1"/>
  <c r="N422" i="3" s="1"/>
  <c r="O422" i="3" s="1"/>
  <c r="P422" i="3" s="1"/>
  <c r="I486" i="3"/>
  <c r="J486" i="3" s="1"/>
  <c r="K486" i="3" s="1"/>
  <c r="L486" i="3" s="1"/>
  <c r="M486" i="3" s="1"/>
  <c r="N486" i="3" s="1"/>
  <c r="O486" i="3" s="1"/>
  <c r="P486" i="3" s="1"/>
  <c r="I558" i="3"/>
  <c r="J558" i="3" s="1"/>
  <c r="K558" i="3" s="1"/>
  <c r="L558" i="3" s="1"/>
  <c r="M558" i="3" s="1"/>
  <c r="N558" i="3" s="1"/>
  <c r="O558" i="3" s="1"/>
  <c r="P558" i="3" s="1"/>
  <c r="I638" i="3"/>
  <c r="J638" i="3" s="1"/>
  <c r="K638" i="3" s="1"/>
  <c r="L638" i="3" s="1"/>
  <c r="M638" i="3" s="1"/>
  <c r="N638" i="3" s="1"/>
  <c r="O638" i="3" s="1"/>
  <c r="P638" i="3" s="1"/>
  <c r="I702" i="3"/>
  <c r="J702" i="3" s="1"/>
  <c r="K702" i="3" s="1"/>
  <c r="L702" i="3" s="1"/>
  <c r="M702" i="3" s="1"/>
  <c r="N702" i="3" s="1"/>
  <c r="O702" i="3" s="1"/>
  <c r="P702" i="3" s="1"/>
  <c r="I774" i="3"/>
  <c r="J774" i="3" s="1"/>
  <c r="K774" i="3" s="1"/>
  <c r="L774" i="3" s="1"/>
  <c r="M774" i="3" s="1"/>
  <c r="N774" i="3" s="1"/>
  <c r="O774" i="3" s="1"/>
  <c r="P774" i="3" s="1"/>
  <c r="I846" i="3"/>
  <c r="J846" i="3" s="1"/>
  <c r="K846" i="3" s="1"/>
  <c r="L846" i="3" s="1"/>
  <c r="M846" i="3" s="1"/>
  <c r="N846" i="3" s="1"/>
  <c r="O846" i="3" s="1"/>
  <c r="P846" i="3" s="1"/>
  <c r="I926" i="3"/>
  <c r="J926" i="3" s="1"/>
  <c r="K926" i="3" s="1"/>
  <c r="L926" i="3" s="1"/>
  <c r="M926" i="3" s="1"/>
  <c r="N926" i="3" s="1"/>
  <c r="O926" i="3" s="1"/>
  <c r="P926" i="3" s="1"/>
  <c r="I998" i="3"/>
  <c r="J998" i="3" s="1"/>
  <c r="K998" i="3" s="1"/>
  <c r="L998" i="3" s="1"/>
  <c r="M998" i="3" s="1"/>
  <c r="N998" i="3" s="1"/>
  <c r="O998" i="3" s="1"/>
  <c r="P998" i="3" s="1"/>
  <c r="I552" i="3"/>
  <c r="J552" i="3" s="1"/>
  <c r="K552" i="3" s="1"/>
  <c r="L552" i="3" s="1"/>
  <c r="M552" i="3" s="1"/>
  <c r="N552" i="3" s="1"/>
  <c r="O552" i="3" s="1"/>
  <c r="P552" i="3" s="1"/>
  <c r="I792" i="3"/>
  <c r="J792" i="3" s="1"/>
  <c r="K792" i="3" s="1"/>
  <c r="L792" i="3" s="1"/>
  <c r="M792" i="3" s="1"/>
  <c r="N792" i="3" s="1"/>
  <c r="O792" i="3" s="1"/>
  <c r="P792" i="3" s="1"/>
  <c r="I786" i="3"/>
  <c r="J786" i="3" s="1"/>
  <c r="K786" i="3" s="1"/>
  <c r="L786" i="3" s="1"/>
  <c r="M786" i="3" s="1"/>
  <c r="N786" i="3" s="1"/>
  <c r="O786" i="3" s="1"/>
  <c r="P786" i="3" s="1"/>
  <c r="I731" i="3"/>
  <c r="J731" i="3" s="1"/>
  <c r="K731" i="3" s="1"/>
  <c r="L731" i="3" s="1"/>
  <c r="M731" i="3" s="1"/>
  <c r="N731" i="3" s="1"/>
  <c r="O731" i="3" s="1"/>
  <c r="P731" i="3" s="1"/>
  <c r="I987" i="3"/>
  <c r="J987" i="3" s="1"/>
  <c r="K987" i="3" s="1"/>
  <c r="L987" i="3" s="1"/>
  <c r="M987" i="3" s="1"/>
  <c r="N987" i="3" s="1"/>
  <c r="O987" i="3" s="1"/>
  <c r="P987" i="3" s="1"/>
  <c r="Q13" i="3"/>
  <c r="R13" i="3" s="1"/>
  <c r="S13" i="3" s="1"/>
  <c r="Q53" i="3"/>
  <c r="R53" i="3" s="1"/>
  <c r="S53" i="3" s="1"/>
  <c r="I93" i="3"/>
  <c r="J93" i="3" s="1"/>
  <c r="K93" i="3" s="1"/>
  <c r="L93" i="3" s="1"/>
  <c r="M93" i="3" s="1"/>
  <c r="N93" i="3" s="1"/>
  <c r="O93" i="3" s="1"/>
  <c r="P93" i="3" s="1"/>
  <c r="Q141" i="3"/>
  <c r="R141" i="3" s="1"/>
  <c r="S141" i="3" s="1"/>
  <c r="Q181" i="3"/>
  <c r="R181" i="3" s="1"/>
  <c r="S181" i="3" s="1"/>
  <c r="I221" i="3"/>
  <c r="J221" i="3" s="1"/>
  <c r="K221" i="3" s="1"/>
  <c r="L221" i="3" s="1"/>
  <c r="M221" i="3" s="1"/>
  <c r="N221" i="3" s="1"/>
  <c r="O221" i="3" s="1"/>
  <c r="P221" i="3" s="1"/>
  <c r="Q221" i="3" s="1"/>
  <c r="R221" i="3" s="1"/>
  <c r="S221" i="3" s="1"/>
  <c r="Q269" i="3"/>
  <c r="R269" i="3" s="1"/>
  <c r="S269" i="3" s="1"/>
  <c r="Q309" i="3"/>
  <c r="R309" i="3" s="1"/>
  <c r="S309" i="3" s="1"/>
  <c r="I349" i="3"/>
  <c r="J349" i="3" s="1"/>
  <c r="K349" i="3" s="1"/>
  <c r="L349" i="3" s="1"/>
  <c r="M349" i="3" s="1"/>
  <c r="N349" i="3" s="1"/>
  <c r="O349" i="3" s="1"/>
  <c r="P349" i="3" s="1"/>
  <c r="Q397" i="3"/>
  <c r="R397" i="3" s="1"/>
  <c r="S397" i="3" s="1"/>
  <c r="Q437" i="3"/>
  <c r="R437" i="3" s="1"/>
  <c r="S437" i="3" s="1"/>
  <c r="I477" i="3"/>
  <c r="J477" i="3" s="1"/>
  <c r="K477" i="3" s="1"/>
  <c r="L477" i="3" s="1"/>
  <c r="M477" i="3" s="1"/>
  <c r="N477" i="3" s="1"/>
  <c r="O477" i="3" s="1"/>
  <c r="P477" i="3" s="1"/>
  <c r="Q525" i="3"/>
  <c r="R525" i="3" s="1"/>
  <c r="S525" i="3" s="1"/>
  <c r="Q565" i="3"/>
  <c r="R565" i="3" s="1"/>
  <c r="S565" i="3" s="1"/>
  <c r="I605" i="3"/>
  <c r="J605" i="3" s="1"/>
  <c r="K605" i="3" s="1"/>
  <c r="L605" i="3" s="1"/>
  <c r="M605" i="3" s="1"/>
  <c r="N605" i="3" s="1"/>
  <c r="O605" i="3" s="1"/>
  <c r="P605" i="3" s="1"/>
  <c r="Q653" i="3"/>
  <c r="R653" i="3" s="1"/>
  <c r="S653" i="3" s="1"/>
  <c r="Q709" i="3"/>
  <c r="R709" i="3" s="1"/>
  <c r="S709" i="3" s="1"/>
  <c r="I749" i="3"/>
  <c r="J749" i="3" s="1"/>
  <c r="K749" i="3" s="1"/>
  <c r="L749" i="3" s="1"/>
  <c r="M749" i="3" s="1"/>
  <c r="N749" i="3" s="1"/>
  <c r="O749" i="3" s="1"/>
  <c r="P749" i="3" s="1"/>
  <c r="Q797" i="3"/>
  <c r="R797" i="3" s="1"/>
  <c r="S797" i="3" s="1"/>
  <c r="Q837" i="3"/>
  <c r="R837" i="3" s="1"/>
  <c r="S837" i="3" s="1"/>
  <c r="I877" i="3"/>
  <c r="J877" i="3" s="1"/>
  <c r="K877" i="3" s="1"/>
  <c r="L877" i="3" s="1"/>
  <c r="M877" i="3" s="1"/>
  <c r="N877" i="3" s="1"/>
  <c r="O877" i="3" s="1"/>
  <c r="P877" i="3" s="1"/>
  <c r="I22" i="3"/>
  <c r="J22" i="3" s="1"/>
  <c r="K22" i="3" s="1"/>
  <c r="L22" i="3" s="1"/>
  <c r="M22" i="3" s="1"/>
  <c r="N22" i="3" s="1"/>
  <c r="O22" i="3" s="1"/>
  <c r="P22" i="3" s="1"/>
  <c r="I134" i="3"/>
  <c r="J134" i="3" s="1"/>
  <c r="K134" i="3" s="1"/>
  <c r="L134" i="3" s="1"/>
  <c r="M134" i="3" s="1"/>
  <c r="N134" i="3" s="1"/>
  <c r="O134" i="3" s="1"/>
  <c r="P134" i="3" s="1"/>
  <c r="I318" i="3"/>
  <c r="J318" i="3" s="1"/>
  <c r="K318" i="3" s="1"/>
  <c r="L318" i="3" s="1"/>
  <c r="M318" i="3" s="1"/>
  <c r="N318" i="3" s="1"/>
  <c r="O318" i="3" s="1"/>
  <c r="P318" i="3" s="1"/>
  <c r="I95" i="3"/>
  <c r="J95" i="3" s="1"/>
  <c r="K95" i="3" s="1"/>
  <c r="L95" i="3" s="1"/>
  <c r="M95" i="3" s="1"/>
  <c r="N95" i="3" s="1"/>
  <c r="O95" i="3" s="1"/>
  <c r="P95" i="3" s="1"/>
  <c r="I223" i="3"/>
  <c r="J223" i="3" s="1"/>
  <c r="K223" i="3" s="1"/>
  <c r="L223" i="3" s="1"/>
  <c r="M223" i="3" s="1"/>
  <c r="N223" i="3" s="1"/>
  <c r="O223" i="3" s="1"/>
  <c r="P223" i="3" s="1"/>
  <c r="I407" i="3"/>
  <c r="J407" i="3" s="1"/>
  <c r="K407" i="3" s="1"/>
  <c r="L407" i="3" s="1"/>
  <c r="M407" i="3" s="1"/>
  <c r="N407" i="3" s="1"/>
  <c r="O407" i="3" s="1"/>
  <c r="P407" i="3" s="1"/>
  <c r="I430" i="3"/>
  <c r="J430" i="3" s="1"/>
  <c r="K430" i="3" s="1"/>
  <c r="L430" i="3" s="1"/>
  <c r="M430" i="3" s="1"/>
  <c r="N430" i="3" s="1"/>
  <c r="O430" i="3" s="1"/>
  <c r="P430" i="3" s="1"/>
  <c r="I494" i="3"/>
  <c r="J494" i="3" s="1"/>
  <c r="K494" i="3" s="1"/>
  <c r="L494" i="3" s="1"/>
  <c r="M494" i="3" s="1"/>
  <c r="N494" i="3" s="1"/>
  <c r="O494" i="3" s="1"/>
  <c r="P494" i="3" s="1"/>
  <c r="I566" i="3"/>
  <c r="J566" i="3" s="1"/>
  <c r="K566" i="3" s="1"/>
  <c r="L566" i="3" s="1"/>
  <c r="M566" i="3" s="1"/>
  <c r="N566" i="3" s="1"/>
  <c r="O566" i="3" s="1"/>
  <c r="P566" i="3" s="1"/>
  <c r="I646" i="3"/>
  <c r="J646" i="3" s="1"/>
  <c r="K646" i="3" s="1"/>
  <c r="L646" i="3" s="1"/>
  <c r="M646" i="3" s="1"/>
  <c r="N646" i="3" s="1"/>
  <c r="O646" i="3" s="1"/>
  <c r="P646" i="3" s="1"/>
  <c r="I710" i="3"/>
  <c r="J710" i="3" s="1"/>
  <c r="K710" i="3" s="1"/>
  <c r="L710" i="3" s="1"/>
  <c r="M710" i="3" s="1"/>
  <c r="N710" i="3" s="1"/>
  <c r="O710" i="3" s="1"/>
  <c r="P710" i="3" s="1"/>
  <c r="I782" i="3"/>
  <c r="J782" i="3" s="1"/>
  <c r="K782" i="3" s="1"/>
  <c r="L782" i="3" s="1"/>
  <c r="M782" i="3" s="1"/>
  <c r="N782" i="3" s="1"/>
  <c r="O782" i="3" s="1"/>
  <c r="P782" i="3" s="1"/>
  <c r="I862" i="3"/>
  <c r="J862" i="3" s="1"/>
  <c r="K862" i="3" s="1"/>
  <c r="L862" i="3" s="1"/>
  <c r="M862" i="3" s="1"/>
  <c r="N862" i="3" s="1"/>
  <c r="O862" i="3" s="1"/>
  <c r="P862" i="3" s="1"/>
  <c r="I752" i="3"/>
  <c r="J752" i="3" s="1"/>
  <c r="K752" i="3" s="1"/>
  <c r="L752" i="3" s="1"/>
  <c r="M752" i="3" s="1"/>
  <c r="N752" i="3" s="1"/>
  <c r="O752" i="3" s="1"/>
  <c r="P752" i="3" s="1"/>
  <c r="I626" i="3"/>
  <c r="J626" i="3" s="1"/>
  <c r="K626" i="3" s="1"/>
  <c r="L626" i="3" s="1"/>
  <c r="M626" i="3" s="1"/>
  <c r="N626" i="3" s="1"/>
  <c r="O626" i="3" s="1"/>
  <c r="P626" i="3" s="1"/>
  <c r="I690" i="3"/>
  <c r="J690" i="3" s="1"/>
  <c r="K690" i="3" s="1"/>
  <c r="L690" i="3" s="1"/>
  <c r="M690" i="3" s="1"/>
  <c r="N690" i="3" s="1"/>
  <c r="O690" i="3" s="1"/>
  <c r="P690" i="3" s="1"/>
  <c r="I699" i="3"/>
  <c r="J699" i="3" s="1"/>
  <c r="K699" i="3" s="1"/>
  <c r="L699" i="3" s="1"/>
  <c r="M699" i="3" s="1"/>
  <c r="N699" i="3" s="1"/>
  <c r="O699" i="3" s="1"/>
  <c r="P699" i="3" s="1"/>
  <c r="I955" i="3"/>
  <c r="J955" i="3" s="1"/>
  <c r="K955" i="3" s="1"/>
  <c r="L955" i="3" s="1"/>
  <c r="M955" i="3" s="1"/>
  <c r="N955" i="3" s="1"/>
  <c r="O955" i="3" s="1"/>
  <c r="P955" i="3" s="1"/>
  <c r="Q17" i="3"/>
  <c r="R17" i="3" s="1"/>
  <c r="S17" i="3" s="1"/>
  <c r="Q73" i="3"/>
  <c r="R73" i="3" s="1"/>
  <c r="S73" i="3" s="1"/>
  <c r="Q121" i="3"/>
  <c r="R121" i="3" s="1"/>
  <c r="S121" i="3" s="1"/>
  <c r="Q201" i="3"/>
  <c r="R201" i="3" s="1"/>
  <c r="S201" i="3" s="1"/>
  <c r="Q273" i="3"/>
  <c r="R273" i="3" s="1"/>
  <c r="S273" i="3" s="1"/>
  <c r="Q377" i="3"/>
  <c r="R377" i="3" s="1"/>
  <c r="S377" i="3" s="1"/>
  <c r="Q18" i="3"/>
  <c r="R18" i="3" s="1"/>
  <c r="S18" i="3" s="1"/>
  <c r="Q50" i="3"/>
  <c r="R50" i="3" s="1"/>
  <c r="S50" i="3" s="1"/>
  <c r="Q82" i="3"/>
  <c r="R82" i="3" s="1"/>
  <c r="S82" i="3" s="1"/>
  <c r="Q114" i="3"/>
  <c r="R114" i="3" s="1"/>
  <c r="S114" i="3" s="1"/>
  <c r="Q146" i="3"/>
  <c r="R146" i="3" s="1"/>
  <c r="S146" i="3" s="1"/>
  <c r="Q178" i="3"/>
  <c r="R178" i="3" s="1"/>
  <c r="S178" i="3" s="1"/>
  <c r="Q210" i="3"/>
  <c r="R210" i="3" s="1"/>
  <c r="S210" i="3" s="1"/>
  <c r="Q242" i="3"/>
  <c r="R242" i="3" s="1"/>
  <c r="S242" i="3" s="1"/>
  <c r="Q274" i="3"/>
  <c r="R274" i="3" s="1"/>
  <c r="S274" i="3" s="1"/>
  <c r="Q306" i="3"/>
  <c r="R306" i="3" s="1"/>
  <c r="S306" i="3" s="1"/>
  <c r="Q338" i="3"/>
  <c r="R338" i="3" s="1"/>
  <c r="S338" i="3" s="1"/>
  <c r="Q370" i="3"/>
  <c r="R370" i="3" s="1"/>
  <c r="S370" i="3" s="1"/>
  <c r="Q402" i="3"/>
  <c r="R402" i="3" s="1"/>
  <c r="S402" i="3" s="1"/>
  <c r="Q434" i="3"/>
  <c r="R434" i="3" s="1"/>
  <c r="S434" i="3" s="1"/>
  <c r="Q466" i="3"/>
  <c r="R466" i="3" s="1"/>
  <c r="S466" i="3" s="1"/>
  <c r="Q498" i="3"/>
  <c r="R498" i="3" s="1"/>
  <c r="S498" i="3" s="1"/>
  <c r="Q530" i="3"/>
  <c r="R530" i="3" s="1"/>
  <c r="S530" i="3" s="1"/>
  <c r="Q562" i="3"/>
  <c r="R562" i="3" s="1"/>
  <c r="S562" i="3" s="1"/>
  <c r="Q594" i="3"/>
  <c r="R594" i="3" s="1"/>
  <c r="S594" i="3" s="1"/>
  <c r="Q19" i="3"/>
  <c r="R19" i="3" s="1"/>
  <c r="S19" i="3" s="1"/>
  <c r="Q51" i="3"/>
  <c r="R51" i="3" s="1"/>
  <c r="S51" i="3" s="1"/>
  <c r="Q83" i="3"/>
  <c r="R83" i="3" s="1"/>
  <c r="S83" i="3" s="1"/>
  <c r="Q115" i="3"/>
  <c r="R115" i="3" s="1"/>
  <c r="S115" i="3" s="1"/>
  <c r="Q147" i="3"/>
  <c r="R147" i="3" s="1"/>
  <c r="S147" i="3" s="1"/>
  <c r="Q179" i="3"/>
  <c r="R179" i="3" s="1"/>
  <c r="S179" i="3" s="1"/>
  <c r="Q211" i="3"/>
  <c r="R211" i="3" s="1"/>
  <c r="S211" i="3" s="1"/>
  <c r="Q243" i="3"/>
  <c r="R243" i="3" s="1"/>
  <c r="S243" i="3" s="1"/>
  <c r="Q275" i="3"/>
  <c r="R275" i="3" s="1"/>
  <c r="S275" i="3" s="1"/>
  <c r="Q307" i="3"/>
  <c r="R307" i="3" s="1"/>
  <c r="S307" i="3" s="1"/>
  <c r="I101" i="3"/>
  <c r="J101" i="3" s="1"/>
  <c r="K101" i="3" s="1"/>
  <c r="L101" i="3" s="1"/>
  <c r="M101" i="3" s="1"/>
  <c r="N101" i="3" s="1"/>
  <c r="O101" i="3" s="1"/>
  <c r="P101" i="3" s="1"/>
  <c r="I229" i="3"/>
  <c r="J229" i="3" s="1"/>
  <c r="K229" i="3" s="1"/>
  <c r="L229" i="3" s="1"/>
  <c r="M229" i="3" s="1"/>
  <c r="N229" i="3" s="1"/>
  <c r="O229" i="3" s="1"/>
  <c r="P229" i="3" s="1"/>
  <c r="I357" i="3"/>
  <c r="J357" i="3" s="1"/>
  <c r="K357" i="3" s="1"/>
  <c r="L357" i="3" s="1"/>
  <c r="M357" i="3" s="1"/>
  <c r="N357" i="3" s="1"/>
  <c r="O357" i="3" s="1"/>
  <c r="P357" i="3" s="1"/>
  <c r="I485" i="3"/>
  <c r="J485" i="3" s="1"/>
  <c r="K485" i="3" s="1"/>
  <c r="L485" i="3" s="1"/>
  <c r="M485" i="3" s="1"/>
  <c r="N485" i="3" s="1"/>
  <c r="O485" i="3" s="1"/>
  <c r="P485" i="3" s="1"/>
  <c r="I613" i="3"/>
  <c r="J613" i="3" s="1"/>
  <c r="K613" i="3" s="1"/>
  <c r="L613" i="3" s="1"/>
  <c r="M613" i="3" s="1"/>
  <c r="N613" i="3" s="1"/>
  <c r="O613" i="3" s="1"/>
  <c r="P613" i="3" s="1"/>
  <c r="I757" i="3"/>
  <c r="J757" i="3" s="1"/>
  <c r="K757" i="3" s="1"/>
  <c r="L757" i="3" s="1"/>
  <c r="M757" i="3" s="1"/>
  <c r="N757" i="3" s="1"/>
  <c r="O757" i="3" s="1"/>
  <c r="P757" i="3" s="1"/>
  <c r="I885" i="3"/>
  <c r="J885" i="3" s="1"/>
  <c r="K885" i="3" s="1"/>
  <c r="L885" i="3" s="1"/>
  <c r="M885" i="3" s="1"/>
  <c r="N885" i="3" s="1"/>
  <c r="O885" i="3" s="1"/>
  <c r="P885" i="3" s="1"/>
  <c r="I933" i="3"/>
  <c r="J933" i="3" s="1"/>
  <c r="K933" i="3" s="1"/>
  <c r="L933" i="3" s="1"/>
  <c r="M933" i="3" s="1"/>
  <c r="N933" i="3" s="1"/>
  <c r="O933" i="3" s="1"/>
  <c r="P933" i="3" s="1"/>
  <c r="I46" i="3"/>
  <c r="J46" i="3" s="1"/>
  <c r="K46" i="3" s="1"/>
  <c r="L46" i="3" s="1"/>
  <c r="M46" i="3" s="1"/>
  <c r="N46" i="3" s="1"/>
  <c r="O46" i="3" s="1"/>
  <c r="P46" i="3" s="1"/>
  <c r="I174" i="3"/>
  <c r="J174" i="3" s="1"/>
  <c r="K174" i="3" s="1"/>
  <c r="L174" i="3" s="1"/>
  <c r="M174" i="3" s="1"/>
  <c r="N174" i="3" s="1"/>
  <c r="O174" i="3" s="1"/>
  <c r="P174" i="3" s="1"/>
  <c r="I326" i="3"/>
  <c r="J326" i="3" s="1"/>
  <c r="K326" i="3" s="1"/>
  <c r="L326" i="3" s="1"/>
  <c r="M326" i="3" s="1"/>
  <c r="N326" i="3" s="1"/>
  <c r="O326" i="3" s="1"/>
  <c r="P326" i="3" s="1"/>
  <c r="I7" i="3"/>
  <c r="J7" i="3" s="1"/>
  <c r="K7" i="3" s="1"/>
  <c r="L7" i="3" s="1"/>
  <c r="M7" i="3" s="1"/>
  <c r="N7" i="3" s="1"/>
  <c r="O7" i="3" s="1"/>
  <c r="P7" i="3" s="1"/>
  <c r="I103" i="3"/>
  <c r="J103" i="3" s="1"/>
  <c r="K103" i="3" s="1"/>
  <c r="L103" i="3" s="1"/>
  <c r="M103" i="3" s="1"/>
  <c r="N103" i="3" s="1"/>
  <c r="O103" i="3" s="1"/>
  <c r="P103" i="3" s="1"/>
  <c r="I263" i="3"/>
  <c r="J263" i="3" s="1"/>
  <c r="K263" i="3" s="1"/>
  <c r="L263" i="3" s="1"/>
  <c r="M263" i="3" s="1"/>
  <c r="N263" i="3" s="1"/>
  <c r="O263" i="3" s="1"/>
  <c r="P263" i="3" s="1"/>
  <c r="I415" i="3"/>
  <c r="J415" i="3" s="1"/>
  <c r="K415" i="3" s="1"/>
  <c r="L415" i="3" s="1"/>
  <c r="M415" i="3" s="1"/>
  <c r="N415" i="3" s="1"/>
  <c r="O415" i="3" s="1"/>
  <c r="P415" i="3" s="1"/>
  <c r="I438" i="3"/>
  <c r="J438" i="3" s="1"/>
  <c r="K438" i="3" s="1"/>
  <c r="L438" i="3" s="1"/>
  <c r="M438" i="3" s="1"/>
  <c r="N438" i="3" s="1"/>
  <c r="O438" i="3" s="1"/>
  <c r="P438" i="3" s="1"/>
  <c r="I502" i="3"/>
  <c r="J502" i="3" s="1"/>
  <c r="K502" i="3" s="1"/>
  <c r="L502" i="3" s="1"/>
  <c r="M502" i="3" s="1"/>
  <c r="N502" i="3" s="1"/>
  <c r="O502" i="3" s="1"/>
  <c r="P502" i="3" s="1"/>
  <c r="I574" i="3"/>
  <c r="J574" i="3" s="1"/>
  <c r="K574" i="3" s="1"/>
  <c r="L574" i="3" s="1"/>
  <c r="M574" i="3" s="1"/>
  <c r="N574" i="3" s="1"/>
  <c r="O574" i="3" s="1"/>
  <c r="P574" i="3" s="1"/>
  <c r="I654" i="3"/>
  <c r="J654" i="3" s="1"/>
  <c r="K654" i="3" s="1"/>
  <c r="L654" i="3" s="1"/>
  <c r="M654" i="3" s="1"/>
  <c r="N654" i="3" s="1"/>
  <c r="O654" i="3" s="1"/>
  <c r="P654" i="3" s="1"/>
  <c r="I718" i="3"/>
  <c r="J718" i="3" s="1"/>
  <c r="K718" i="3" s="1"/>
  <c r="L718" i="3" s="1"/>
  <c r="M718" i="3" s="1"/>
  <c r="N718" i="3" s="1"/>
  <c r="O718" i="3" s="1"/>
  <c r="P718" i="3" s="1"/>
  <c r="I798" i="3"/>
  <c r="J798" i="3" s="1"/>
  <c r="K798" i="3" s="1"/>
  <c r="L798" i="3" s="1"/>
  <c r="M798" i="3" s="1"/>
  <c r="N798" i="3" s="1"/>
  <c r="O798" i="3" s="1"/>
  <c r="P798" i="3" s="1"/>
  <c r="I870" i="3"/>
  <c r="J870" i="3" s="1"/>
  <c r="K870" i="3" s="1"/>
  <c r="L870" i="3" s="1"/>
  <c r="M870" i="3" s="1"/>
  <c r="N870" i="3" s="1"/>
  <c r="O870" i="3" s="1"/>
  <c r="P870" i="3" s="1"/>
  <c r="I32" i="3"/>
  <c r="J32" i="3" s="1"/>
  <c r="K32" i="3" s="1"/>
  <c r="L32" i="3" s="1"/>
  <c r="M32" i="3" s="1"/>
  <c r="N32" i="3" s="1"/>
  <c r="O32" i="3" s="1"/>
  <c r="P32" i="3" s="1"/>
  <c r="I96" i="3"/>
  <c r="J96" i="3" s="1"/>
  <c r="K96" i="3" s="1"/>
  <c r="L96" i="3" s="1"/>
  <c r="M96" i="3" s="1"/>
  <c r="N96" i="3" s="1"/>
  <c r="O96" i="3" s="1"/>
  <c r="P96" i="3" s="1"/>
  <c r="I160" i="3"/>
  <c r="J160" i="3" s="1"/>
  <c r="K160" i="3" s="1"/>
  <c r="L160" i="3" s="1"/>
  <c r="M160" i="3" s="1"/>
  <c r="N160" i="3" s="1"/>
  <c r="O160" i="3" s="1"/>
  <c r="P160" i="3" s="1"/>
  <c r="I232" i="3"/>
  <c r="J232" i="3" s="1"/>
  <c r="K232" i="3" s="1"/>
  <c r="L232" i="3" s="1"/>
  <c r="M232" i="3" s="1"/>
  <c r="N232" i="3" s="1"/>
  <c r="O232" i="3" s="1"/>
  <c r="P232" i="3" s="1"/>
  <c r="Q232" i="3" s="1"/>
  <c r="R232" i="3" s="1"/>
  <c r="S232" i="3" s="1"/>
  <c r="I296" i="3"/>
  <c r="J296" i="3" s="1"/>
  <c r="K296" i="3" s="1"/>
  <c r="L296" i="3" s="1"/>
  <c r="M296" i="3" s="1"/>
  <c r="N296" i="3" s="1"/>
  <c r="O296" i="3" s="1"/>
  <c r="P296" i="3" s="1"/>
  <c r="I368" i="3"/>
  <c r="J368" i="3" s="1"/>
  <c r="K368" i="3" s="1"/>
  <c r="L368" i="3" s="1"/>
  <c r="M368" i="3" s="1"/>
  <c r="N368" i="3" s="1"/>
  <c r="O368" i="3" s="1"/>
  <c r="P368" i="3" s="1"/>
  <c r="I448" i="3"/>
  <c r="J448" i="3" s="1"/>
  <c r="K448" i="3" s="1"/>
  <c r="L448" i="3" s="1"/>
  <c r="M448" i="3" s="1"/>
  <c r="N448" i="3" s="1"/>
  <c r="O448" i="3" s="1"/>
  <c r="P448" i="3" s="1"/>
  <c r="I616" i="3"/>
  <c r="J616" i="3" s="1"/>
  <c r="K616" i="3" s="1"/>
  <c r="L616" i="3" s="1"/>
  <c r="M616" i="3" s="1"/>
  <c r="N616" i="3" s="1"/>
  <c r="O616" i="3" s="1"/>
  <c r="P616" i="3" s="1"/>
  <c r="I720" i="3"/>
  <c r="J720" i="3" s="1"/>
  <c r="K720" i="3" s="1"/>
  <c r="L720" i="3" s="1"/>
  <c r="M720" i="3" s="1"/>
  <c r="N720" i="3" s="1"/>
  <c r="O720" i="3" s="1"/>
  <c r="P720" i="3" s="1"/>
  <c r="I1000" i="3"/>
  <c r="J1000" i="3" s="1"/>
  <c r="K1000" i="3" s="1"/>
  <c r="L1000" i="3" s="1"/>
  <c r="M1000" i="3" s="1"/>
  <c r="N1000" i="3" s="1"/>
  <c r="O1000" i="3" s="1"/>
  <c r="P1000" i="3" s="1"/>
  <c r="I850" i="3"/>
  <c r="J850" i="3" s="1"/>
  <c r="K850" i="3" s="1"/>
  <c r="L850" i="3" s="1"/>
  <c r="M850" i="3" s="1"/>
  <c r="N850" i="3" s="1"/>
  <c r="O850" i="3" s="1"/>
  <c r="P850" i="3" s="1"/>
  <c r="I667" i="3"/>
  <c r="J667" i="3" s="1"/>
  <c r="K667" i="3" s="1"/>
  <c r="L667" i="3" s="1"/>
  <c r="M667" i="3" s="1"/>
  <c r="N667" i="3" s="1"/>
  <c r="O667" i="3" s="1"/>
  <c r="P667" i="3" s="1"/>
  <c r="I923" i="3"/>
  <c r="J923" i="3" s="1"/>
  <c r="K923" i="3" s="1"/>
  <c r="L923" i="3" s="1"/>
  <c r="M923" i="3" s="1"/>
  <c r="N923" i="3" s="1"/>
  <c r="O923" i="3" s="1"/>
  <c r="P923" i="3" s="1"/>
  <c r="Q21" i="3"/>
  <c r="R21" i="3" s="1"/>
  <c r="S21" i="3" s="1"/>
  <c r="I61" i="3"/>
  <c r="J61" i="3" s="1"/>
  <c r="K61" i="3" s="1"/>
  <c r="L61" i="3" s="1"/>
  <c r="M61" i="3" s="1"/>
  <c r="N61" i="3" s="1"/>
  <c r="O61" i="3" s="1"/>
  <c r="P61" i="3" s="1"/>
  <c r="Q109" i="3"/>
  <c r="R109" i="3" s="1"/>
  <c r="S109" i="3" s="1"/>
  <c r="Q149" i="3"/>
  <c r="R149" i="3" s="1"/>
  <c r="S149" i="3" s="1"/>
  <c r="I189" i="3"/>
  <c r="J189" i="3" s="1"/>
  <c r="K189" i="3" s="1"/>
  <c r="L189" i="3" s="1"/>
  <c r="M189" i="3" s="1"/>
  <c r="N189" i="3" s="1"/>
  <c r="O189" i="3" s="1"/>
  <c r="P189" i="3" s="1"/>
  <c r="Q237" i="3"/>
  <c r="R237" i="3" s="1"/>
  <c r="S237" i="3" s="1"/>
  <c r="Q277" i="3"/>
  <c r="R277" i="3" s="1"/>
  <c r="S277" i="3" s="1"/>
  <c r="I317" i="3"/>
  <c r="J317" i="3" s="1"/>
  <c r="K317" i="3" s="1"/>
  <c r="L317" i="3" s="1"/>
  <c r="M317" i="3" s="1"/>
  <c r="N317" i="3" s="1"/>
  <c r="O317" i="3" s="1"/>
  <c r="P317" i="3" s="1"/>
  <c r="Q365" i="3"/>
  <c r="R365" i="3" s="1"/>
  <c r="S365" i="3" s="1"/>
  <c r="Q405" i="3"/>
  <c r="R405" i="3" s="1"/>
  <c r="S405" i="3" s="1"/>
  <c r="I445" i="3"/>
  <c r="J445" i="3" s="1"/>
  <c r="K445" i="3" s="1"/>
  <c r="L445" i="3" s="1"/>
  <c r="M445" i="3" s="1"/>
  <c r="N445" i="3" s="1"/>
  <c r="O445" i="3" s="1"/>
  <c r="P445" i="3" s="1"/>
  <c r="Q493" i="3"/>
  <c r="R493" i="3" s="1"/>
  <c r="S493" i="3" s="1"/>
  <c r="Q533" i="3"/>
  <c r="R533" i="3" s="1"/>
  <c r="S533" i="3" s="1"/>
  <c r="I573" i="3"/>
  <c r="J573" i="3" s="1"/>
  <c r="K573" i="3" s="1"/>
  <c r="L573" i="3" s="1"/>
  <c r="M573" i="3" s="1"/>
  <c r="N573" i="3" s="1"/>
  <c r="O573" i="3" s="1"/>
  <c r="P573" i="3" s="1"/>
  <c r="Q621" i="3"/>
  <c r="R621" i="3" s="1"/>
  <c r="S621" i="3" s="1"/>
  <c r="Q661" i="3"/>
  <c r="R661" i="3" s="1"/>
  <c r="S661" i="3" s="1"/>
  <c r="I717" i="3"/>
  <c r="J717" i="3" s="1"/>
  <c r="K717" i="3" s="1"/>
  <c r="L717" i="3" s="1"/>
  <c r="M717" i="3" s="1"/>
  <c r="N717" i="3" s="1"/>
  <c r="O717" i="3" s="1"/>
  <c r="P717" i="3" s="1"/>
  <c r="Q765" i="3"/>
  <c r="R765" i="3" s="1"/>
  <c r="S765" i="3" s="1"/>
  <c r="Q805" i="3"/>
  <c r="R805" i="3" s="1"/>
  <c r="S805" i="3" s="1"/>
  <c r="I845" i="3"/>
  <c r="J845" i="3" s="1"/>
  <c r="K845" i="3" s="1"/>
  <c r="L845" i="3" s="1"/>
  <c r="M845" i="3" s="1"/>
  <c r="N845" i="3" s="1"/>
  <c r="O845" i="3" s="1"/>
  <c r="P845" i="3" s="1"/>
  <c r="Q893" i="3"/>
  <c r="R893" i="3" s="1"/>
  <c r="S893" i="3" s="1"/>
  <c r="I941" i="3"/>
  <c r="J941" i="3" s="1"/>
  <c r="K941" i="3" s="1"/>
  <c r="L941" i="3" s="1"/>
  <c r="M941" i="3" s="1"/>
  <c r="N941" i="3" s="1"/>
  <c r="O941" i="3" s="1"/>
  <c r="P941" i="3" s="1"/>
  <c r="I62" i="3"/>
  <c r="J62" i="3" s="1"/>
  <c r="K62" i="3" s="1"/>
  <c r="L62" i="3" s="1"/>
  <c r="M62" i="3" s="1"/>
  <c r="N62" i="3" s="1"/>
  <c r="O62" i="3" s="1"/>
  <c r="P62" i="3" s="1"/>
  <c r="I190" i="3"/>
  <c r="J190" i="3" s="1"/>
  <c r="K190" i="3" s="1"/>
  <c r="L190" i="3" s="1"/>
  <c r="M190" i="3" s="1"/>
  <c r="N190" i="3" s="1"/>
  <c r="O190" i="3" s="1"/>
  <c r="P190" i="3" s="1"/>
  <c r="I366" i="3"/>
  <c r="J366" i="3" s="1"/>
  <c r="K366" i="3" s="1"/>
  <c r="L366" i="3" s="1"/>
  <c r="M366" i="3" s="1"/>
  <c r="N366" i="3" s="1"/>
  <c r="O366" i="3" s="1"/>
  <c r="P366" i="3" s="1"/>
  <c r="I23" i="3"/>
  <c r="J23" i="3" s="1"/>
  <c r="K23" i="3" s="1"/>
  <c r="L23" i="3" s="1"/>
  <c r="M23" i="3" s="1"/>
  <c r="N23" i="3" s="1"/>
  <c r="O23" i="3" s="1"/>
  <c r="P23" i="3" s="1"/>
  <c r="I111" i="3"/>
  <c r="J111" i="3" s="1"/>
  <c r="K111" i="3" s="1"/>
  <c r="L111" i="3" s="1"/>
  <c r="M111" i="3" s="1"/>
  <c r="N111" i="3" s="1"/>
  <c r="O111" i="3" s="1"/>
  <c r="P111" i="3" s="1"/>
  <c r="I279" i="3"/>
  <c r="J279" i="3" s="1"/>
  <c r="K279" i="3" s="1"/>
  <c r="L279" i="3" s="1"/>
  <c r="M279" i="3" s="1"/>
  <c r="N279" i="3" s="1"/>
  <c r="O279" i="3" s="1"/>
  <c r="P279" i="3" s="1"/>
  <c r="I446" i="3"/>
  <c r="J446" i="3" s="1"/>
  <c r="K446" i="3" s="1"/>
  <c r="L446" i="3" s="1"/>
  <c r="M446" i="3" s="1"/>
  <c r="N446" i="3" s="1"/>
  <c r="O446" i="3" s="1"/>
  <c r="P446" i="3" s="1"/>
  <c r="I510" i="3"/>
  <c r="J510" i="3" s="1"/>
  <c r="K510" i="3" s="1"/>
  <c r="L510" i="3" s="1"/>
  <c r="M510" i="3" s="1"/>
  <c r="N510" i="3" s="1"/>
  <c r="O510" i="3" s="1"/>
  <c r="P510" i="3" s="1"/>
  <c r="I582" i="3"/>
  <c r="J582" i="3" s="1"/>
  <c r="K582" i="3" s="1"/>
  <c r="L582" i="3" s="1"/>
  <c r="M582" i="3" s="1"/>
  <c r="N582" i="3" s="1"/>
  <c r="O582" i="3" s="1"/>
  <c r="P582" i="3" s="1"/>
  <c r="I662" i="3"/>
  <c r="J662" i="3" s="1"/>
  <c r="K662" i="3" s="1"/>
  <c r="L662" i="3" s="1"/>
  <c r="M662" i="3" s="1"/>
  <c r="N662" i="3" s="1"/>
  <c r="O662" i="3" s="1"/>
  <c r="P662" i="3" s="1"/>
  <c r="I734" i="3"/>
  <c r="J734" i="3" s="1"/>
  <c r="K734" i="3" s="1"/>
  <c r="L734" i="3" s="1"/>
  <c r="M734" i="3" s="1"/>
  <c r="N734" i="3" s="1"/>
  <c r="O734" i="3" s="1"/>
  <c r="P734" i="3" s="1"/>
  <c r="I806" i="3"/>
  <c r="J806" i="3" s="1"/>
  <c r="K806" i="3" s="1"/>
  <c r="L806" i="3" s="1"/>
  <c r="M806" i="3" s="1"/>
  <c r="N806" i="3" s="1"/>
  <c r="O806" i="3" s="1"/>
  <c r="P806" i="3" s="1"/>
  <c r="I878" i="3"/>
  <c r="J878" i="3" s="1"/>
  <c r="K878" i="3" s="1"/>
  <c r="L878" i="3" s="1"/>
  <c r="M878" i="3" s="1"/>
  <c r="N878" i="3" s="1"/>
  <c r="O878" i="3" s="1"/>
  <c r="P878" i="3" s="1"/>
  <c r="I520" i="3"/>
  <c r="J520" i="3" s="1"/>
  <c r="K520" i="3" s="1"/>
  <c r="L520" i="3" s="1"/>
  <c r="M520" i="3" s="1"/>
  <c r="N520" i="3" s="1"/>
  <c r="O520" i="3" s="1"/>
  <c r="P520" i="3" s="1"/>
  <c r="I968" i="3"/>
  <c r="J968" i="3" s="1"/>
  <c r="K968" i="3" s="1"/>
  <c r="L968" i="3" s="1"/>
  <c r="M968" i="3" s="1"/>
  <c r="N968" i="3" s="1"/>
  <c r="O968" i="3" s="1"/>
  <c r="P968" i="3" s="1"/>
  <c r="I754" i="3"/>
  <c r="J754" i="3" s="1"/>
  <c r="K754" i="3" s="1"/>
  <c r="L754" i="3" s="1"/>
  <c r="M754" i="3" s="1"/>
  <c r="N754" i="3" s="1"/>
  <c r="O754" i="3" s="1"/>
  <c r="P754" i="3" s="1"/>
  <c r="I635" i="3"/>
  <c r="J635" i="3" s="1"/>
  <c r="K635" i="3" s="1"/>
  <c r="L635" i="3" s="1"/>
  <c r="M635" i="3" s="1"/>
  <c r="N635" i="3" s="1"/>
  <c r="O635" i="3" s="1"/>
  <c r="P635" i="3" s="1"/>
  <c r="I891" i="3"/>
  <c r="J891" i="3" s="1"/>
  <c r="K891" i="3" s="1"/>
  <c r="L891" i="3" s="1"/>
  <c r="M891" i="3" s="1"/>
  <c r="N891" i="3" s="1"/>
  <c r="O891" i="3" s="1"/>
  <c r="P891" i="3" s="1"/>
  <c r="Q25" i="3"/>
  <c r="R25" i="3" s="1"/>
  <c r="S25" i="3" s="1"/>
  <c r="Q81" i="3"/>
  <c r="R81" i="3" s="1"/>
  <c r="S81" i="3" s="1"/>
  <c r="Q137" i="3"/>
  <c r="R137" i="3" s="1"/>
  <c r="S137" i="3" s="1"/>
  <c r="Q209" i="3"/>
  <c r="R209" i="3" s="1"/>
  <c r="S209" i="3" s="1"/>
  <c r="Q313" i="3"/>
  <c r="R313" i="3" s="1"/>
  <c r="S313" i="3" s="1"/>
  <c r="Q393" i="3"/>
  <c r="R393" i="3" s="1"/>
  <c r="S393" i="3" s="1"/>
  <c r="Q26" i="3"/>
  <c r="R26" i="3" s="1"/>
  <c r="S26" i="3" s="1"/>
  <c r="Q58" i="3"/>
  <c r="R58" i="3" s="1"/>
  <c r="S58" i="3" s="1"/>
  <c r="Q90" i="3"/>
  <c r="R90" i="3" s="1"/>
  <c r="S90" i="3" s="1"/>
  <c r="Q122" i="3"/>
  <c r="R122" i="3" s="1"/>
  <c r="S122" i="3" s="1"/>
  <c r="Q154" i="3"/>
  <c r="R154" i="3" s="1"/>
  <c r="S154" i="3" s="1"/>
  <c r="Q186" i="3"/>
  <c r="R186" i="3" s="1"/>
  <c r="S186" i="3" s="1"/>
  <c r="Q218" i="3"/>
  <c r="R218" i="3" s="1"/>
  <c r="S218" i="3" s="1"/>
  <c r="Q250" i="3"/>
  <c r="R250" i="3" s="1"/>
  <c r="S250" i="3" s="1"/>
  <c r="Q282" i="3"/>
  <c r="R282" i="3" s="1"/>
  <c r="S282" i="3" s="1"/>
  <c r="Q314" i="3"/>
  <c r="R314" i="3" s="1"/>
  <c r="S314" i="3" s="1"/>
  <c r="Q346" i="3"/>
  <c r="R346" i="3" s="1"/>
  <c r="S346" i="3" s="1"/>
  <c r="Q378" i="3"/>
  <c r="R378" i="3" s="1"/>
  <c r="S378" i="3" s="1"/>
  <c r="Q410" i="3"/>
  <c r="R410" i="3" s="1"/>
  <c r="S410" i="3" s="1"/>
  <c r="Q442" i="3"/>
  <c r="R442" i="3" s="1"/>
  <c r="S442" i="3" s="1"/>
  <c r="Q474" i="3"/>
  <c r="R474" i="3" s="1"/>
  <c r="S474" i="3" s="1"/>
  <c r="Q506" i="3"/>
  <c r="R506" i="3" s="1"/>
  <c r="S506" i="3" s="1"/>
  <c r="Q538" i="3"/>
  <c r="R538" i="3" s="1"/>
  <c r="S538" i="3" s="1"/>
  <c r="Q570" i="3"/>
  <c r="R570" i="3" s="1"/>
  <c r="S570" i="3" s="1"/>
  <c r="Q602" i="3"/>
  <c r="R602" i="3" s="1"/>
  <c r="S602" i="3" s="1"/>
  <c r="Q27" i="3"/>
  <c r="R27" i="3" s="1"/>
  <c r="S27" i="3" s="1"/>
  <c r="I69" i="3"/>
  <c r="J69" i="3" s="1"/>
  <c r="K69" i="3" s="1"/>
  <c r="L69" i="3" s="1"/>
  <c r="M69" i="3" s="1"/>
  <c r="N69" i="3" s="1"/>
  <c r="O69" i="3" s="1"/>
  <c r="P69" i="3" s="1"/>
  <c r="I197" i="3"/>
  <c r="J197" i="3" s="1"/>
  <c r="K197" i="3" s="1"/>
  <c r="L197" i="3" s="1"/>
  <c r="M197" i="3" s="1"/>
  <c r="N197" i="3" s="1"/>
  <c r="O197" i="3" s="1"/>
  <c r="P197" i="3" s="1"/>
  <c r="I325" i="3"/>
  <c r="J325" i="3" s="1"/>
  <c r="K325" i="3" s="1"/>
  <c r="L325" i="3" s="1"/>
  <c r="M325" i="3" s="1"/>
  <c r="N325" i="3" s="1"/>
  <c r="O325" i="3" s="1"/>
  <c r="P325" i="3" s="1"/>
  <c r="I453" i="3"/>
  <c r="J453" i="3" s="1"/>
  <c r="K453" i="3" s="1"/>
  <c r="L453" i="3" s="1"/>
  <c r="M453" i="3" s="1"/>
  <c r="N453" i="3" s="1"/>
  <c r="O453" i="3" s="1"/>
  <c r="P453" i="3" s="1"/>
  <c r="I581" i="3"/>
  <c r="J581" i="3" s="1"/>
  <c r="K581" i="3" s="1"/>
  <c r="L581" i="3" s="1"/>
  <c r="M581" i="3" s="1"/>
  <c r="N581" i="3" s="1"/>
  <c r="O581" i="3" s="1"/>
  <c r="P581" i="3" s="1"/>
  <c r="I725" i="3"/>
  <c r="J725" i="3" s="1"/>
  <c r="K725" i="3" s="1"/>
  <c r="L725" i="3" s="1"/>
  <c r="M725" i="3" s="1"/>
  <c r="N725" i="3" s="1"/>
  <c r="O725" i="3" s="1"/>
  <c r="P725" i="3" s="1"/>
  <c r="I853" i="3"/>
  <c r="J853" i="3" s="1"/>
  <c r="K853" i="3" s="1"/>
  <c r="L853" i="3" s="1"/>
  <c r="M853" i="3" s="1"/>
  <c r="N853" i="3" s="1"/>
  <c r="O853" i="3" s="1"/>
  <c r="P853" i="3" s="1"/>
  <c r="I70" i="3"/>
  <c r="J70" i="3" s="1"/>
  <c r="K70" i="3" s="1"/>
  <c r="L70" i="3" s="1"/>
  <c r="M70" i="3" s="1"/>
  <c r="N70" i="3" s="1"/>
  <c r="O70" i="3" s="1"/>
  <c r="P70" i="3" s="1"/>
  <c r="I198" i="3"/>
  <c r="J198" i="3" s="1"/>
  <c r="K198" i="3" s="1"/>
  <c r="L198" i="3" s="1"/>
  <c r="M198" i="3" s="1"/>
  <c r="N198" i="3" s="1"/>
  <c r="O198" i="3" s="1"/>
  <c r="P198" i="3" s="1"/>
  <c r="I382" i="3"/>
  <c r="J382" i="3" s="1"/>
  <c r="K382" i="3" s="1"/>
  <c r="L382" i="3" s="1"/>
  <c r="M382" i="3" s="1"/>
  <c r="N382" i="3" s="1"/>
  <c r="O382" i="3" s="1"/>
  <c r="P382" i="3" s="1"/>
  <c r="I31" i="3"/>
  <c r="J31" i="3" s="1"/>
  <c r="K31" i="3" s="1"/>
  <c r="L31" i="3" s="1"/>
  <c r="M31" i="3" s="1"/>
  <c r="N31" i="3" s="1"/>
  <c r="O31" i="3" s="1"/>
  <c r="P31" i="3" s="1"/>
  <c r="I135" i="3"/>
  <c r="J135" i="3" s="1"/>
  <c r="K135" i="3" s="1"/>
  <c r="L135" i="3" s="1"/>
  <c r="M135" i="3" s="1"/>
  <c r="N135" i="3" s="1"/>
  <c r="O135" i="3" s="1"/>
  <c r="P135" i="3" s="1"/>
  <c r="I287" i="3"/>
  <c r="J287" i="3" s="1"/>
  <c r="K287" i="3" s="1"/>
  <c r="L287" i="3" s="1"/>
  <c r="M287" i="3" s="1"/>
  <c r="N287" i="3" s="1"/>
  <c r="O287" i="3" s="1"/>
  <c r="P287" i="3" s="1"/>
  <c r="I454" i="3"/>
  <c r="J454" i="3" s="1"/>
  <c r="K454" i="3" s="1"/>
  <c r="L454" i="3" s="1"/>
  <c r="M454" i="3" s="1"/>
  <c r="N454" i="3" s="1"/>
  <c r="O454" i="3" s="1"/>
  <c r="P454" i="3" s="1"/>
  <c r="I518" i="3"/>
  <c r="J518" i="3" s="1"/>
  <c r="K518" i="3" s="1"/>
  <c r="L518" i="3" s="1"/>
  <c r="M518" i="3" s="1"/>
  <c r="N518" i="3" s="1"/>
  <c r="O518" i="3" s="1"/>
  <c r="P518" i="3" s="1"/>
  <c r="I598" i="3"/>
  <c r="J598" i="3" s="1"/>
  <c r="K598" i="3" s="1"/>
  <c r="L598" i="3" s="1"/>
  <c r="M598" i="3" s="1"/>
  <c r="N598" i="3" s="1"/>
  <c r="O598" i="3" s="1"/>
  <c r="P598" i="3" s="1"/>
  <c r="I670" i="3"/>
  <c r="J670" i="3" s="1"/>
  <c r="K670" i="3" s="1"/>
  <c r="L670" i="3" s="1"/>
  <c r="M670" i="3" s="1"/>
  <c r="N670" i="3" s="1"/>
  <c r="O670" i="3" s="1"/>
  <c r="P670" i="3" s="1"/>
  <c r="I742" i="3"/>
  <c r="J742" i="3" s="1"/>
  <c r="K742" i="3" s="1"/>
  <c r="L742" i="3" s="1"/>
  <c r="M742" i="3" s="1"/>
  <c r="N742" i="3" s="1"/>
  <c r="O742" i="3" s="1"/>
  <c r="P742" i="3" s="1"/>
  <c r="I814" i="3"/>
  <c r="J814" i="3" s="1"/>
  <c r="K814" i="3" s="1"/>
  <c r="L814" i="3" s="1"/>
  <c r="M814" i="3" s="1"/>
  <c r="N814" i="3" s="1"/>
  <c r="O814" i="3" s="1"/>
  <c r="P814" i="3" s="1"/>
  <c r="I886" i="3"/>
  <c r="J886" i="3" s="1"/>
  <c r="K886" i="3" s="1"/>
  <c r="L886" i="3" s="1"/>
  <c r="M886" i="3" s="1"/>
  <c r="N886" i="3" s="1"/>
  <c r="O886" i="3" s="1"/>
  <c r="P886" i="3" s="1"/>
  <c r="I966" i="3"/>
  <c r="J966" i="3" s="1"/>
  <c r="K966" i="3" s="1"/>
  <c r="L966" i="3" s="1"/>
  <c r="M966" i="3" s="1"/>
  <c r="N966" i="3" s="1"/>
  <c r="O966" i="3" s="1"/>
  <c r="P966" i="3" s="1"/>
  <c r="I680" i="3"/>
  <c r="J680" i="3" s="1"/>
  <c r="K680" i="3" s="1"/>
  <c r="L680" i="3" s="1"/>
  <c r="M680" i="3" s="1"/>
  <c r="N680" i="3" s="1"/>
  <c r="O680" i="3" s="1"/>
  <c r="P680" i="3" s="1"/>
  <c r="I936" i="3"/>
  <c r="J936" i="3" s="1"/>
  <c r="K936" i="3" s="1"/>
  <c r="L936" i="3" s="1"/>
  <c r="M936" i="3" s="1"/>
  <c r="N936" i="3" s="1"/>
  <c r="O936" i="3" s="1"/>
  <c r="P936" i="3" s="1"/>
  <c r="I978" i="3"/>
  <c r="J978" i="3" s="1"/>
  <c r="K978" i="3" s="1"/>
  <c r="L978" i="3" s="1"/>
  <c r="M978" i="3" s="1"/>
  <c r="N978" i="3" s="1"/>
  <c r="O978" i="3" s="1"/>
  <c r="P978" i="3" s="1"/>
  <c r="I859" i="3"/>
  <c r="J859" i="3" s="1"/>
  <c r="K859" i="3" s="1"/>
  <c r="L859" i="3" s="1"/>
  <c r="M859" i="3" s="1"/>
  <c r="N859" i="3" s="1"/>
  <c r="O859" i="3" s="1"/>
  <c r="P859" i="3" s="1"/>
  <c r="I29" i="3"/>
  <c r="J29" i="3" s="1"/>
  <c r="K29" i="3" s="1"/>
  <c r="L29" i="3" s="1"/>
  <c r="M29" i="3" s="1"/>
  <c r="N29" i="3" s="1"/>
  <c r="O29" i="3" s="1"/>
  <c r="P29" i="3" s="1"/>
  <c r="Q77" i="3"/>
  <c r="R77" i="3" s="1"/>
  <c r="S77" i="3" s="1"/>
  <c r="Q117" i="3"/>
  <c r="R117" i="3" s="1"/>
  <c r="S117" i="3" s="1"/>
  <c r="I157" i="3"/>
  <c r="J157" i="3" s="1"/>
  <c r="K157" i="3" s="1"/>
  <c r="L157" i="3" s="1"/>
  <c r="M157" i="3" s="1"/>
  <c r="N157" i="3" s="1"/>
  <c r="O157" i="3" s="1"/>
  <c r="P157" i="3" s="1"/>
  <c r="Q205" i="3"/>
  <c r="R205" i="3" s="1"/>
  <c r="S205" i="3" s="1"/>
  <c r="Q245" i="3"/>
  <c r="R245" i="3" s="1"/>
  <c r="S245" i="3" s="1"/>
  <c r="I285" i="3"/>
  <c r="J285" i="3" s="1"/>
  <c r="K285" i="3" s="1"/>
  <c r="L285" i="3" s="1"/>
  <c r="M285" i="3" s="1"/>
  <c r="N285" i="3" s="1"/>
  <c r="O285" i="3" s="1"/>
  <c r="P285" i="3" s="1"/>
  <c r="Q333" i="3"/>
  <c r="R333" i="3" s="1"/>
  <c r="S333" i="3" s="1"/>
  <c r="Q373" i="3"/>
  <c r="R373" i="3" s="1"/>
  <c r="S373" i="3" s="1"/>
  <c r="I413" i="3"/>
  <c r="J413" i="3" s="1"/>
  <c r="K413" i="3" s="1"/>
  <c r="L413" i="3" s="1"/>
  <c r="M413" i="3" s="1"/>
  <c r="N413" i="3" s="1"/>
  <c r="O413" i="3" s="1"/>
  <c r="P413" i="3" s="1"/>
  <c r="Q461" i="3"/>
  <c r="R461" i="3" s="1"/>
  <c r="S461" i="3" s="1"/>
  <c r="Q501" i="3"/>
  <c r="R501" i="3" s="1"/>
  <c r="S501" i="3" s="1"/>
  <c r="I541" i="3"/>
  <c r="J541" i="3" s="1"/>
  <c r="K541" i="3" s="1"/>
  <c r="L541" i="3" s="1"/>
  <c r="M541" i="3" s="1"/>
  <c r="N541" i="3" s="1"/>
  <c r="O541" i="3" s="1"/>
  <c r="P541" i="3" s="1"/>
  <c r="Q589" i="3"/>
  <c r="R589" i="3" s="1"/>
  <c r="S589" i="3" s="1"/>
  <c r="Q629" i="3"/>
  <c r="R629" i="3" s="1"/>
  <c r="S629" i="3" s="1"/>
  <c r="I685" i="3"/>
  <c r="J685" i="3" s="1"/>
  <c r="K685" i="3" s="1"/>
  <c r="L685" i="3" s="1"/>
  <c r="M685" i="3" s="1"/>
  <c r="N685" i="3" s="1"/>
  <c r="O685" i="3" s="1"/>
  <c r="P685" i="3" s="1"/>
  <c r="Q733" i="3"/>
  <c r="R733" i="3" s="1"/>
  <c r="S733" i="3" s="1"/>
  <c r="Q773" i="3"/>
  <c r="R773" i="3" s="1"/>
  <c r="S773" i="3" s="1"/>
  <c r="I813" i="3"/>
  <c r="J813" i="3" s="1"/>
  <c r="K813" i="3" s="1"/>
  <c r="L813" i="3" s="1"/>
  <c r="M813" i="3" s="1"/>
  <c r="N813" i="3" s="1"/>
  <c r="O813" i="3" s="1"/>
  <c r="P813" i="3" s="1"/>
  <c r="Q861" i="3"/>
  <c r="R861" i="3" s="1"/>
  <c r="S861" i="3" s="1"/>
  <c r="I901" i="3"/>
  <c r="J901" i="3" s="1"/>
  <c r="K901" i="3" s="1"/>
  <c r="L901" i="3" s="1"/>
  <c r="M901" i="3" s="1"/>
  <c r="N901" i="3" s="1"/>
  <c r="O901" i="3" s="1"/>
  <c r="P901" i="3" s="1"/>
  <c r="I78" i="3"/>
  <c r="J78" i="3" s="1"/>
  <c r="K78" i="3" s="1"/>
  <c r="L78" i="3" s="1"/>
  <c r="M78" i="3" s="1"/>
  <c r="N78" i="3" s="1"/>
  <c r="O78" i="3" s="1"/>
  <c r="P78" i="3" s="1"/>
  <c r="I238" i="3"/>
  <c r="J238" i="3" s="1"/>
  <c r="K238" i="3" s="1"/>
  <c r="L238" i="3" s="1"/>
  <c r="M238" i="3" s="1"/>
  <c r="N238" i="3" s="1"/>
  <c r="O238" i="3" s="1"/>
  <c r="P238" i="3" s="1"/>
  <c r="I390" i="3"/>
  <c r="J390" i="3" s="1"/>
  <c r="K390" i="3" s="1"/>
  <c r="L390" i="3" s="1"/>
  <c r="M390" i="3" s="1"/>
  <c r="N390" i="3" s="1"/>
  <c r="O390" i="3" s="1"/>
  <c r="P390" i="3" s="1"/>
  <c r="I39" i="3"/>
  <c r="J39" i="3" s="1"/>
  <c r="K39" i="3" s="1"/>
  <c r="L39" i="3" s="1"/>
  <c r="M39" i="3" s="1"/>
  <c r="N39" i="3" s="1"/>
  <c r="O39" i="3" s="1"/>
  <c r="P39" i="3" s="1"/>
  <c r="I151" i="3"/>
  <c r="J151" i="3" s="1"/>
  <c r="K151" i="3" s="1"/>
  <c r="L151" i="3" s="1"/>
  <c r="M151" i="3" s="1"/>
  <c r="N151" i="3" s="1"/>
  <c r="O151" i="3" s="1"/>
  <c r="P151" i="3" s="1"/>
  <c r="I327" i="3"/>
  <c r="J327" i="3" s="1"/>
  <c r="K327" i="3" s="1"/>
  <c r="L327" i="3" s="1"/>
  <c r="M327" i="3" s="1"/>
  <c r="N327" i="3" s="1"/>
  <c r="O327" i="3" s="1"/>
  <c r="P327" i="3" s="1"/>
  <c r="I462" i="3"/>
  <c r="J462" i="3" s="1"/>
  <c r="K462" i="3" s="1"/>
  <c r="L462" i="3" s="1"/>
  <c r="M462" i="3" s="1"/>
  <c r="N462" i="3" s="1"/>
  <c r="O462" i="3" s="1"/>
  <c r="P462" i="3" s="1"/>
  <c r="I526" i="3"/>
  <c r="J526" i="3" s="1"/>
  <c r="K526" i="3" s="1"/>
  <c r="L526" i="3" s="1"/>
  <c r="M526" i="3" s="1"/>
  <c r="N526" i="3" s="1"/>
  <c r="O526" i="3" s="1"/>
  <c r="P526" i="3" s="1"/>
  <c r="I606" i="3"/>
  <c r="J606" i="3" s="1"/>
  <c r="K606" i="3" s="1"/>
  <c r="L606" i="3" s="1"/>
  <c r="M606" i="3" s="1"/>
  <c r="N606" i="3" s="1"/>
  <c r="O606" i="3" s="1"/>
  <c r="P606" i="3" s="1"/>
  <c r="I678" i="3"/>
  <c r="J678" i="3" s="1"/>
  <c r="K678" i="3" s="1"/>
  <c r="L678" i="3" s="1"/>
  <c r="M678" i="3" s="1"/>
  <c r="N678" i="3" s="1"/>
  <c r="O678" i="3" s="1"/>
  <c r="P678" i="3" s="1"/>
  <c r="I750" i="3"/>
  <c r="J750" i="3" s="1"/>
  <c r="K750" i="3" s="1"/>
  <c r="L750" i="3" s="1"/>
  <c r="M750" i="3" s="1"/>
  <c r="N750" i="3" s="1"/>
  <c r="O750" i="3" s="1"/>
  <c r="P750" i="3" s="1"/>
  <c r="I822" i="3"/>
  <c r="J822" i="3" s="1"/>
  <c r="K822" i="3" s="1"/>
  <c r="L822" i="3" s="1"/>
  <c r="M822" i="3" s="1"/>
  <c r="N822" i="3" s="1"/>
  <c r="O822" i="3" s="1"/>
  <c r="P822" i="3" s="1"/>
  <c r="I894" i="3"/>
  <c r="J894" i="3" s="1"/>
  <c r="K894" i="3" s="1"/>
  <c r="L894" i="3" s="1"/>
  <c r="M894" i="3" s="1"/>
  <c r="N894" i="3" s="1"/>
  <c r="O894" i="3" s="1"/>
  <c r="P894" i="3" s="1"/>
  <c r="I584" i="3"/>
  <c r="J584" i="3" s="1"/>
  <c r="K584" i="3" s="1"/>
  <c r="L584" i="3" s="1"/>
  <c r="M584" i="3" s="1"/>
  <c r="N584" i="3" s="1"/>
  <c r="O584" i="3" s="1"/>
  <c r="P584" i="3" s="1"/>
  <c r="I896" i="3"/>
  <c r="J896" i="3" s="1"/>
  <c r="K896" i="3" s="1"/>
  <c r="L896" i="3" s="1"/>
  <c r="M896" i="3" s="1"/>
  <c r="N896" i="3" s="1"/>
  <c r="O896" i="3" s="1"/>
  <c r="P896" i="3" s="1"/>
  <c r="I658" i="3"/>
  <c r="J658" i="3" s="1"/>
  <c r="K658" i="3" s="1"/>
  <c r="L658" i="3" s="1"/>
  <c r="M658" i="3" s="1"/>
  <c r="N658" i="3" s="1"/>
  <c r="O658" i="3" s="1"/>
  <c r="P658" i="3" s="1"/>
  <c r="I818" i="3"/>
  <c r="J818" i="3" s="1"/>
  <c r="K818" i="3" s="1"/>
  <c r="L818" i="3" s="1"/>
  <c r="M818" i="3" s="1"/>
  <c r="N818" i="3" s="1"/>
  <c r="O818" i="3" s="1"/>
  <c r="P818" i="3" s="1"/>
  <c r="I946" i="3"/>
  <c r="J946" i="3" s="1"/>
  <c r="K946" i="3" s="1"/>
  <c r="L946" i="3" s="1"/>
  <c r="M946" i="3" s="1"/>
  <c r="N946" i="3" s="1"/>
  <c r="O946" i="3" s="1"/>
  <c r="P946" i="3" s="1"/>
  <c r="I827" i="3"/>
  <c r="J827" i="3" s="1"/>
  <c r="K827" i="3" s="1"/>
  <c r="L827" i="3" s="1"/>
  <c r="M827" i="3" s="1"/>
  <c r="N827" i="3" s="1"/>
  <c r="O827" i="3" s="1"/>
  <c r="P827" i="3" s="1"/>
  <c r="Q33" i="3"/>
  <c r="R33" i="3" s="1"/>
  <c r="S33" i="3" s="1"/>
  <c r="Q89" i="3"/>
  <c r="R89" i="3" s="1"/>
  <c r="S89" i="3" s="1"/>
  <c r="Q145" i="3"/>
  <c r="R145" i="3" s="1"/>
  <c r="S145" i="3" s="1"/>
  <c r="Q249" i="3"/>
  <c r="R249" i="3" s="1"/>
  <c r="S249" i="3" s="1"/>
  <c r="Q329" i="3"/>
  <c r="R329" i="3" s="1"/>
  <c r="S329" i="3" s="1"/>
  <c r="Q401" i="3"/>
  <c r="R401" i="3" s="1"/>
  <c r="S401" i="3" s="1"/>
  <c r="Q34" i="3"/>
  <c r="R34" i="3" s="1"/>
  <c r="S34" i="3" s="1"/>
  <c r="Q66" i="3"/>
  <c r="R66" i="3" s="1"/>
  <c r="S66" i="3" s="1"/>
  <c r="Q98" i="3"/>
  <c r="R98" i="3" s="1"/>
  <c r="S98" i="3" s="1"/>
  <c r="Q130" i="3"/>
  <c r="R130" i="3" s="1"/>
  <c r="S130" i="3" s="1"/>
  <c r="Q162" i="3"/>
  <c r="R162" i="3" s="1"/>
  <c r="S162" i="3" s="1"/>
  <c r="Q194" i="3"/>
  <c r="R194" i="3" s="1"/>
  <c r="S194" i="3" s="1"/>
  <c r="Q226" i="3"/>
  <c r="R226" i="3" s="1"/>
  <c r="S226" i="3" s="1"/>
  <c r="Q258" i="3"/>
  <c r="R258" i="3" s="1"/>
  <c r="S258" i="3" s="1"/>
  <c r="Q290" i="3"/>
  <c r="R290" i="3" s="1"/>
  <c r="S290" i="3" s="1"/>
  <c r="Q322" i="3"/>
  <c r="R322" i="3" s="1"/>
  <c r="S322" i="3" s="1"/>
  <c r="Q354" i="3"/>
  <c r="R354" i="3" s="1"/>
  <c r="S354" i="3" s="1"/>
  <c r="Q386" i="3"/>
  <c r="R386" i="3" s="1"/>
  <c r="S386" i="3" s="1"/>
  <c r="Q418" i="3"/>
  <c r="R418" i="3" s="1"/>
  <c r="S418" i="3" s="1"/>
  <c r="Q450" i="3"/>
  <c r="R450" i="3" s="1"/>
  <c r="S450" i="3" s="1"/>
  <c r="Q482" i="3"/>
  <c r="R482" i="3" s="1"/>
  <c r="S482" i="3" s="1"/>
  <c r="Q514" i="3"/>
  <c r="R514" i="3" s="1"/>
  <c r="S514" i="3" s="1"/>
  <c r="Q546" i="3"/>
  <c r="R546" i="3" s="1"/>
  <c r="S546" i="3" s="1"/>
  <c r="Q578" i="3"/>
  <c r="R578" i="3" s="1"/>
  <c r="S578" i="3" s="1"/>
  <c r="Q610" i="3"/>
  <c r="R610" i="3" s="1"/>
  <c r="S610" i="3" s="1"/>
  <c r="Q35" i="3"/>
  <c r="R35" i="3" s="1"/>
  <c r="S35" i="3" s="1"/>
  <c r="Q67" i="3"/>
  <c r="R67" i="3" s="1"/>
  <c r="S67" i="3" s="1"/>
  <c r="Q99" i="3"/>
  <c r="R99" i="3" s="1"/>
  <c r="S99" i="3" s="1"/>
  <c r="Q131" i="3"/>
  <c r="R131" i="3" s="1"/>
  <c r="S131" i="3" s="1"/>
  <c r="Q163" i="3"/>
  <c r="R163" i="3" s="1"/>
  <c r="S163" i="3" s="1"/>
  <c r="Q195" i="3"/>
  <c r="R195" i="3" s="1"/>
  <c r="S195" i="3" s="1"/>
  <c r="Q227" i="3"/>
  <c r="R227" i="3" s="1"/>
  <c r="S227" i="3" s="1"/>
  <c r="Q259" i="3"/>
  <c r="R259" i="3" s="1"/>
  <c r="S259" i="3" s="1"/>
  <c r="Q291" i="3"/>
  <c r="R291" i="3" s="1"/>
  <c r="S291" i="3" s="1"/>
  <c r="Q323" i="3"/>
  <c r="R323" i="3" s="1"/>
  <c r="S323" i="3" s="1"/>
  <c r="Q355" i="3"/>
  <c r="R355" i="3" s="1"/>
  <c r="S355" i="3" s="1"/>
  <c r="Q387" i="3"/>
  <c r="R387" i="3" s="1"/>
  <c r="S387" i="3" s="1"/>
  <c r="Q419" i="3"/>
  <c r="R419" i="3" s="1"/>
  <c r="S419" i="3" s="1"/>
  <c r="Q451" i="3"/>
  <c r="R451" i="3" s="1"/>
  <c r="S451" i="3" s="1"/>
  <c r="Q483" i="3"/>
  <c r="R483" i="3" s="1"/>
  <c r="S483" i="3" s="1"/>
  <c r="Q515" i="3"/>
  <c r="R515" i="3" s="1"/>
  <c r="S515" i="3" s="1"/>
  <c r="Q547" i="3"/>
  <c r="R547" i="3" s="1"/>
  <c r="S547" i="3" s="1"/>
  <c r="Q579" i="3"/>
  <c r="R579" i="3" s="1"/>
  <c r="S579" i="3" s="1"/>
  <c r="Q611" i="3"/>
  <c r="R611" i="3" s="1"/>
  <c r="S611" i="3" s="1"/>
  <c r="I37" i="3"/>
  <c r="J37" i="3" s="1"/>
  <c r="K37" i="3" s="1"/>
  <c r="L37" i="3" s="1"/>
  <c r="M37" i="3" s="1"/>
  <c r="N37" i="3" s="1"/>
  <c r="O37" i="3" s="1"/>
  <c r="P37" i="3" s="1"/>
  <c r="I165" i="3"/>
  <c r="J165" i="3" s="1"/>
  <c r="K165" i="3" s="1"/>
  <c r="L165" i="3" s="1"/>
  <c r="M165" i="3" s="1"/>
  <c r="N165" i="3" s="1"/>
  <c r="O165" i="3" s="1"/>
  <c r="P165" i="3" s="1"/>
  <c r="I293" i="3"/>
  <c r="J293" i="3" s="1"/>
  <c r="K293" i="3" s="1"/>
  <c r="L293" i="3" s="1"/>
  <c r="M293" i="3" s="1"/>
  <c r="N293" i="3" s="1"/>
  <c r="O293" i="3" s="1"/>
  <c r="P293" i="3" s="1"/>
  <c r="I421" i="3"/>
  <c r="J421" i="3" s="1"/>
  <c r="K421" i="3" s="1"/>
  <c r="L421" i="3" s="1"/>
  <c r="M421" i="3" s="1"/>
  <c r="N421" i="3" s="1"/>
  <c r="O421" i="3" s="1"/>
  <c r="P421" i="3" s="1"/>
  <c r="I549" i="3"/>
  <c r="J549" i="3" s="1"/>
  <c r="K549" i="3" s="1"/>
  <c r="L549" i="3" s="1"/>
  <c r="M549" i="3" s="1"/>
  <c r="N549" i="3" s="1"/>
  <c r="O549" i="3" s="1"/>
  <c r="P549" i="3" s="1"/>
  <c r="I693" i="3"/>
  <c r="J693" i="3" s="1"/>
  <c r="K693" i="3" s="1"/>
  <c r="L693" i="3" s="1"/>
  <c r="M693" i="3" s="1"/>
  <c r="N693" i="3" s="1"/>
  <c r="O693" i="3" s="1"/>
  <c r="P693" i="3" s="1"/>
  <c r="I821" i="3"/>
  <c r="J821" i="3" s="1"/>
  <c r="K821" i="3" s="1"/>
  <c r="L821" i="3" s="1"/>
  <c r="M821" i="3" s="1"/>
  <c r="N821" i="3" s="1"/>
  <c r="O821" i="3" s="1"/>
  <c r="P821" i="3" s="1"/>
  <c r="I909" i="3"/>
  <c r="J909" i="3" s="1"/>
  <c r="K909" i="3" s="1"/>
  <c r="L909" i="3" s="1"/>
  <c r="M909" i="3" s="1"/>
  <c r="N909" i="3" s="1"/>
  <c r="O909" i="3" s="1"/>
  <c r="P909" i="3" s="1"/>
  <c r="I86" i="3"/>
  <c r="J86" i="3" s="1"/>
  <c r="K86" i="3" s="1"/>
  <c r="L86" i="3" s="1"/>
  <c r="M86" i="3" s="1"/>
  <c r="N86" i="3" s="1"/>
  <c r="O86" i="3" s="1"/>
  <c r="P86" i="3" s="1"/>
  <c r="I254" i="3"/>
  <c r="J254" i="3" s="1"/>
  <c r="K254" i="3" s="1"/>
  <c r="L254" i="3" s="1"/>
  <c r="M254" i="3" s="1"/>
  <c r="N254" i="3" s="1"/>
  <c r="O254" i="3" s="1"/>
  <c r="P254" i="3" s="1"/>
  <c r="I47" i="3"/>
  <c r="J47" i="3" s="1"/>
  <c r="K47" i="3" s="1"/>
  <c r="L47" i="3" s="1"/>
  <c r="M47" i="3" s="1"/>
  <c r="N47" i="3" s="1"/>
  <c r="O47" i="3" s="1"/>
  <c r="P47" i="3" s="1"/>
  <c r="I159" i="3"/>
  <c r="J159" i="3" s="1"/>
  <c r="K159" i="3" s="1"/>
  <c r="L159" i="3" s="1"/>
  <c r="M159" i="3" s="1"/>
  <c r="N159" i="3" s="1"/>
  <c r="O159" i="3" s="1"/>
  <c r="P159" i="3" s="1"/>
  <c r="I343" i="3"/>
  <c r="J343" i="3" s="1"/>
  <c r="K343" i="3" s="1"/>
  <c r="L343" i="3" s="1"/>
  <c r="M343" i="3" s="1"/>
  <c r="N343" i="3" s="1"/>
  <c r="O343" i="3" s="1"/>
  <c r="P343" i="3" s="1"/>
  <c r="I470" i="3"/>
  <c r="J470" i="3" s="1"/>
  <c r="K470" i="3" s="1"/>
  <c r="L470" i="3" s="1"/>
  <c r="M470" i="3" s="1"/>
  <c r="N470" i="3" s="1"/>
  <c r="O470" i="3" s="1"/>
  <c r="P470" i="3" s="1"/>
  <c r="I534" i="3"/>
  <c r="J534" i="3" s="1"/>
  <c r="K534" i="3" s="1"/>
  <c r="L534" i="3" s="1"/>
  <c r="M534" i="3" s="1"/>
  <c r="N534" i="3" s="1"/>
  <c r="O534" i="3" s="1"/>
  <c r="P534" i="3" s="1"/>
  <c r="I614" i="3"/>
  <c r="J614" i="3" s="1"/>
  <c r="K614" i="3" s="1"/>
  <c r="L614" i="3" s="1"/>
  <c r="M614" i="3" s="1"/>
  <c r="N614" i="3" s="1"/>
  <c r="O614" i="3" s="1"/>
  <c r="P614" i="3" s="1"/>
  <c r="I686" i="3"/>
  <c r="J686" i="3" s="1"/>
  <c r="K686" i="3" s="1"/>
  <c r="L686" i="3" s="1"/>
  <c r="M686" i="3" s="1"/>
  <c r="N686" i="3" s="1"/>
  <c r="O686" i="3" s="1"/>
  <c r="P686" i="3" s="1"/>
  <c r="I758" i="3"/>
  <c r="J758" i="3" s="1"/>
  <c r="K758" i="3" s="1"/>
  <c r="L758" i="3" s="1"/>
  <c r="M758" i="3" s="1"/>
  <c r="N758" i="3" s="1"/>
  <c r="O758" i="3" s="1"/>
  <c r="P758" i="3" s="1"/>
  <c r="I830" i="3"/>
  <c r="J830" i="3" s="1"/>
  <c r="K830" i="3" s="1"/>
  <c r="L830" i="3" s="1"/>
  <c r="M830" i="3" s="1"/>
  <c r="N830" i="3" s="1"/>
  <c r="O830" i="3" s="1"/>
  <c r="P830" i="3" s="1"/>
  <c r="I64" i="3"/>
  <c r="J64" i="3" s="1"/>
  <c r="K64" i="3" s="1"/>
  <c r="L64" i="3" s="1"/>
  <c r="M64" i="3" s="1"/>
  <c r="N64" i="3" s="1"/>
  <c r="O64" i="3" s="1"/>
  <c r="P64" i="3" s="1"/>
  <c r="I128" i="3"/>
  <c r="J128" i="3" s="1"/>
  <c r="K128" i="3" s="1"/>
  <c r="L128" i="3" s="1"/>
  <c r="M128" i="3" s="1"/>
  <c r="N128" i="3" s="1"/>
  <c r="O128" i="3" s="1"/>
  <c r="P128" i="3" s="1"/>
  <c r="I192" i="3"/>
  <c r="J192" i="3" s="1"/>
  <c r="K192" i="3" s="1"/>
  <c r="L192" i="3" s="1"/>
  <c r="M192" i="3" s="1"/>
  <c r="N192" i="3" s="1"/>
  <c r="O192" i="3" s="1"/>
  <c r="P192" i="3" s="1"/>
  <c r="I264" i="3"/>
  <c r="J264" i="3" s="1"/>
  <c r="K264" i="3" s="1"/>
  <c r="L264" i="3" s="1"/>
  <c r="M264" i="3" s="1"/>
  <c r="N264" i="3" s="1"/>
  <c r="O264" i="3" s="1"/>
  <c r="P264" i="3" s="1"/>
  <c r="I328" i="3"/>
  <c r="J328" i="3" s="1"/>
  <c r="K328" i="3" s="1"/>
  <c r="L328" i="3" s="1"/>
  <c r="M328" i="3" s="1"/>
  <c r="N328" i="3" s="1"/>
  <c r="O328" i="3" s="1"/>
  <c r="P328" i="3" s="1"/>
  <c r="I408" i="3"/>
  <c r="J408" i="3" s="1"/>
  <c r="K408" i="3" s="1"/>
  <c r="L408" i="3" s="1"/>
  <c r="M408" i="3" s="1"/>
  <c r="N408" i="3" s="1"/>
  <c r="O408" i="3" s="1"/>
  <c r="P408" i="3" s="1"/>
  <c r="I488" i="3"/>
  <c r="J488" i="3" s="1"/>
  <c r="K488" i="3" s="1"/>
  <c r="L488" i="3" s="1"/>
  <c r="M488" i="3" s="1"/>
  <c r="N488" i="3" s="1"/>
  <c r="O488" i="3" s="1"/>
  <c r="P488" i="3" s="1"/>
  <c r="I864" i="3"/>
  <c r="J864" i="3" s="1"/>
  <c r="K864" i="3" s="1"/>
  <c r="L864" i="3" s="1"/>
  <c r="M864" i="3" s="1"/>
  <c r="N864" i="3" s="1"/>
  <c r="O864" i="3" s="1"/>
  <c r="P864" i="3" s="1"/>
  <c r="I722" i="3"/>
  <c r="J722" i="3" s="1"/>
  <c r="K722" i="3" s="1"/>
  <c r="L722" i="3" s="1"/>
  <c r="M722" i="3" s="1"/>
  <c r="N722" i="3" s="1"/>
  <c r="O722" i="3" s="1"/>
  <c r="P722" i="3" s="1"/>
  <c r="I914" i="3"/>
  <c r="J914" i="3" s="1"/>
  <c r="K914" i="3" s="1"/>
  <c r="L914" i="3" s="1"/>
  <c r="M914" i="3" s="1"/>
  <c r="N914" i="3" s="1"/>
  <c r="O914" i="3" s="1"/>
  <c r="P914" i="3" s="1"/>
  <c r="Q914" i="3" s="1"/>
  <c r="R914" i="3" s="1"/>
  <c r="S914" i="3" s="1"/>
  <c r="I795" i="3"/>
  <c r="J795" i="3" s="1"/>
  <c r="K795" i="3" s="1"/>
  <c r="L795" i="3" s="1"/>
  <c r="M795" i="3" s="1"/>
  <c r="N795" i="3" s="1"/>
  <c r="O795" i="3" s="1"/>
  <c r="P795" i="3" s="1"/>
  <c r="Q934" i="3"/>
  <c r="R934" i="3" s="1"/>
  <c r="S934" i="3" s="1"/>
  <c r="Q974" i="3"/>
  <c r="R974" i="3" s="1"/>
  <c r="S974" i="3" s="1"/>
  <c r="Q8" i="3"/>
  <c r="R8" i="3" s="1"/>
  <c r="S8" i="3" s="1"/>
  <c r="Q40" i="3"/>
  <c r="R40" i="3" s="1"/>
  <c r="S40" i="3" s="1"/>
  <c r="Q72" i="3"/>
  <c r="R72" i="3" s="1"/>
  <c r="S72" i="3" s="1"/>
  <c r="Q104" i="3"/>
  <c r="R104" i="3" s="1"/>
  <c r="S104" i="3" s="1"/>
  <c r="Q136" i="3"/>
  <c r="R136" i="3" s="1"/>
  <c r="S136" i="3" s="1"/>
  <c r="Q168" i="3"/>
  <c r="R168" i="3" s="1"/>
  <c r="S168" i="3" s="1"/>
  <c r="Q208" i="3"/>
  <c r="R208" i="3" s="1"/>
  <c r="S208" i="3" s="1"/>
  <c r="Q240" i="3"/>
  <c r="R240" i="3" s="1"/>
  <c r="S240" i="3" s="1"/>
  <c r="Q272" i="3"/>
  <c r="R272" i="3" s="1"/>
  <c r="S272" i="3" s="1"/>
  <c r="Q304" i="3"/>
  <c r="R304" i="3" s="1"/>
  <c r="S304" i="3" s="1"/>
  <c r="Q336" i="3"/>
  <c r="R336" i="3" s="1"/>
  <c r="S336" i="3" s="1"/>
  <c r="Q376" i="3"/>
  <c r="R376" i="3" s="1"/>
  <c r="S376" i="3" s="1"/>
  <c r="Q416" i="3"/>
  <c r="R416" i="3" s="1"/>
  <c r="S416" i="3" s="1"/>
  <c r="Q456" i="3"/>
  <c r="R456" i="3" s="1"/>
  <c r="S456" i="3" s="1"/>
  <c r="Q496" i="3"/>
  <c r="R496" i="3" s="1"/>
  <c r="S496" i="3" s="1"/>
  <c r="Q528" i="3"/>
  <c r="R528" i="3" s="1"/>
  <c r="S528" i="3" s="1"/>
  <c r="Q560" i="3"/>
  <c r="R560" i="3" s="1"/>
  <c r="S560" i="3" s="1"/>
  <c r="Q592" i="3"/>
  <c r="R592" i="3" s="1"/>
  <c r="S592" i="3" s="1"/>
  <c r="Q624" i="3"/>
  <c r="R624" i="3" s="1"/>
  <c r="S624" i="3" s="1"/>
  <c r="Q634" i="3"/>
  <c r="R634" i="3" s="1"/>
  <c r="S634" i="3" s="1"/>
  <c r="Q666" i="3"/>
  <c r="R666" i="3" s="1"/>
  <c r="S666" i="3" s="1"/>
  <c r="Q698" i="3"/>
  <c r="R698" i="3" s="1"/>
  <c r="S698" i="3" s="1"/>
  <c r="Q730" i="3"/>
  <c r="R730" i="3" s="1"/>
  <c r="S730" i="3" s="1"/>
  <c r="Q762" i="3"/>
  <c r="R762" i="3" s="1"/>
  <c r="S762" i="3" s="1"/>
  <c r="Q794" i="3"/>
  <c r="R794" i="3" s="1"/>
  <c r="S794" i="3" s="1"/>
  <c r="Q826" i="3"/>
  <c r="R826" i="3" s="1"/>
  <c r="S826" i="3" s="1"/>
  <c r="Q858" i="3"/>
  <c r="R858" i="3" s="1"/>
  <c r="S858" i="3" s="1"/>
  <c r="Q433" i="3"/>
  <c r="R433" i="3" s="1"/>
  <c r="S433" i="3" s="1"/>
  <c r="Q465" i="3"/>
  <c r="R465" i="3" s="1"/>
  <c r="S465" i="3" s="1"/>
  <c r="Q497" i="3"/>
  <c r="R497" i="3" s="1"/>
  <c r="S497" i="3" s="1"/>
  <c r="Q529" i="3"/>
  <c r="R529" i="3" s="1"/>
  <c r="S529" i="3" s="1"/>
  <c r="Q561" i="3"/>
  <c r="R561" i="3" s="1"/>
  <c r="S561" i="3" s="1"/>
  <c r="Q593" i="3"/>
  <c r="R593" i="3" s="1"/>
  <c r="S593" i="3" s="1"/>
  <c r="Q633" i="3"/>
  <c r="R633" i="3" s="1"/>
  <c r="S633" i="3" s="1"/>
  <c r="Q460" i="3"/>
  <c r="R460" i="3" s="1"/>
  <c r="S460" i="3" s="1"/>
  <c r="Q492" i="3"/>
  <c r="R492" i="3" s="1"/>
  <c r="S492" i="3" s="1"/>
  <c r="Q532" i="3"/>
  <c r="R532" i="3" s="1"/>
  <c r="S532" i="3" s="1"/>
  <c r="Q564" i="3"/>
  <c r="R564" i="3" s="1"/>
  <c r="S564" i="3" s="1"/>
  <c r="Q596" i="3"/>
  <c r="R596" i="3" s="1"/>
  <c r="S596" i="3" s="1"/>
  <c r="Q628" i="3"/>
  <c r="R628" i="3" s="1"/>
  <c r="S628" i="3" s="1"/>
  <c r="Q668" i="3"/>
  <c r="R668" i="3" s="1"/>
  <c r="S668" i="3" s="1"/>
  <c r="Q708" i="3"/>
  <c r="R708" i="3" s="1"/>
  <c r="S708" i="3" s="1"/>
  <c r="Q740" i="3"/>
  <c r="R740" i="3" s="1"/>
  <c r="S740" i="3" s="1"/>
  <c r="Q780" i="3"/>
  <c r="R780" i="3" s="1"/>
  <c r="S780" i="3" s="1"/>
  <c r="Q812" i="3"/>
  <c r="R812" i="3" s="1"/>
  <c r="S812" i="3" s="1"/>
  <c r="Q852" i="3"/>
  <c r="R852" i="3" s="1"/>
  <c r="S852" i="3" s="1"/>
  <c r="Q884" i="3"/>
  <c r="R884" i="3" s="1"/>
  <c r="S884" i="3" s="1"/>
  <c r="Q924" i="3"/>
  <c r="R924" i="3" s="1"/>
  <c r="S924" i="3" s="1"/>
  <c r="Q956" i="3"/>
  <c r="R956" i="3" s="1"/>
  <c r="S956" i="3" s="1"/>
  <c r="Q988" i="3"/>
  <c r="R988" i="3" s="1"/>
  <c r="S988" i="3" s="1"/>
  <c r="Q902" i="3"/>
  <c r="R902" i="3" s="1"/>
  <c r="S902" i="3" s="1"/>
  <c r="Q950" i="3"/>
  <c r="R950" i="3" s="1"/>
  <c r="S950" i="3" s="1"/>
  <c r="Q982" i="3"/>
  <c r="R982" i="3" s="1"/>
  <c r="S982" i="3" s="1"/>
  <c r="Q16" i="3"/>
  <c r="R16" i="3" s="1"/>
  <c r="S16" i="3" s="1"/>
  <c r="Q48" i="3"/>
  <c r="R48" i="3" s="1"/>
  <c r="S48" i="3" s="1"/>
  <c r="Q80" i="3"/>
  <c r="R80" i="3" s="1"/>
  <c r="S80" i="3" s="1"/>
  <c r="Q112" i="3"/>
  <c r="R112" i="3" s="1"/>
  <c r="S112" i="3" s="1"/>
  <c r="Q144" i="3"/>
  <c r="R144" i="3" s="1"/>
  <c r="S144" i="3" s="1"/>
  <c r="Q176" i="3"/>
  <c r="R176" i="3" s="1"/>
  <c r="S176" i="3" s="1"/>
  <c r="Q216" i="3"/>
  <c r="R216" i="3" s="1"/>
  <c r="S216" i="3" s="1"/>
  <c r="Q248" i="3"/>
  <c r="R248" i="3" s="1"/>
  <c r="S248" i="3" s="1"/>
  <c r="Q280" i="3"/>
  <c r="R280" i="3" s="1"/>
  <c r="S280" i="3" s="1"/>
  <c r="Q312" i="3"/>
  <c r="R312" i="3" s="1"/>
  <c r="S312" i="3" s="1"/>
  <c r="Q352" i="3"/>
  <c r="R352" i="3" s="1"/>
  <c r="S352" i="3" s="1"/>
  <c r="Q392" i="3"/>
  <c r="R392" i="3" s="1"/>
  <c r="S392" i="3" s="1"/>
  <c r="Q432" i="3"/>
  <c r="R432" i="3" s="1"/>
  <c r="S432" i="3" s="1"/>
  <c r="Q472" i="3"/>
  <c r="R472" i="3" s="1"/>
  <c r="S472" i="3" s="1"/>
  <c r="Q504" i="3"/>
  <c r="R504" i="3" s="1"/>
  <c r="S504" i="3" s="1"/>
  <c r="Q536" i="3"/>
  <c r="R536" i="3" s="1"/>
  <c r="S536" i="3" s="1"/>
  <c r="Q568" i="3"/>
  <c r="R568" i="3" s="1"/>
  <c r="S568" i="3" s="1"/>
  <c r="Q600" i="3"/>
  <c r="R600" i="3" s="1"/>
  <c r="S600" i="3" s="1"/>
  <c r="Q632" i="3"/>
  <c r="R632" i="3" s="1"/>
  <c r="S632" i="3" s="1"/>
  <c r="Q664" i="3"/>
  <c r="R664" i="3" s="1"/>
  <c r="S664" i="3" s="1"/>
  <c r="Q696" i="3"/>
  <c r="R696" i="3" s="1"/>
  <c r="S696" i="3" s="1"/>
  <c r="Q642" i="3"/>
  <c r="R642" i="3" s="1"/>
  <c r="S642" i="3" s="1"/>
  <c r="Q674" i="3"/>
  <c r="R674" i="3" s="1"/>
  <c r="S674" i="3" s="1"/>
  <c r="Q706" i="3"/>
  <c r="R706" i="3" s="1"/>
  <c r="S706" i="3" s="1"/>
  <c r="Q738" i="3"/>
  <c r="R738" i="3" s="1"/>
  <c r="S738" i="3" s="1"/>
  <c r="Q770" i="3"/>
  <c r="R770" i="3" s="1"/>
  <c r="S770" i="3" s="1"/>
  <c r="Q802" i="3"/>
  <c r="R802" i="3" s="1"/>
  <c r="S802" i="3" s="1"/>
  <c r="Q834" i="3"/>
  <c r="R834" i="3" s="1"/>
  <c r="S834" i="3" s="1"/>
  <c r="Q866" i="3"/>
  <c r="R866" i="3" s="1"/>
  <c r="S866" i="3" s="1"/>
  <c r="Q439" i="3"/>
  <c r="R439" i="3" s="1"/>
  <c r="S439" i="3" s="1"/>
  <c r="Q441" i="3"/>
  <c r="R441" i="3" s="1"/>
  <c r="S441" i="3" s="1"/>
  <c r="Q473" i="3"/>
  <c r="R473" i="3" s="1"/>
  <c r="S473" i="3" s="1"/>
  <c r="Q505" i="3"/>
  <c r="R505" i="3" s="1"/>
  <c r="S505" i="3" s="1"/>
  <c r="Q537" i="3"/>
  <c r="R537" i="3" s="1"/>
  <c r="S537" i="3" s="1"/>
  <c r="Q569" i="3"/>
  <c r="R569" i="3" s="1"/>
  <c r="S569" i="3" s="1"/>
  <c r="Q601" i="3"/>
  <c r="R601" i="3" s="1"/>
  <c r="S601" i="3" s="1"/>
  <c r="Q641" i="3"/>
  <c r="R641" i="3" s="1"/>
  <c r="S641" i="3" s="1"/>
  <c r="Q673" i="3"/>
  <c r="R673" i="3" s="1"/>
  <c r="S673" i="3" s="1"/>
  <c r="Q705" i="3"/>
  <c r="R705" i="3" s="1"/>
  <c r="S705" i="3" s="1"/>
  <c r="Q745" i="3"/>
  <c r="R745" i="3" s="1"/>
  <c r="S745" i="3" s="1"/>
  <c r="Q777" i="3"/>
  <c r="R777" i="3" s="1"/>
  <c r="S777" i="3" s="1"/>
  <c r="Q817" i="3"/>
  <c r="R817" i="3" s="1"/>
  <c r="S817" i="3" s="1"/>
  <c r="Q849" i="3"/>
  <c r="R849" i="3" s="1"/>
  <c r="S849" i="3" s="1"/>
  <c r="Q889" i="3"/>
  <c r="R889" i="3" s="1"/>
  <c r="S889" i="3" s="1"/>
  <c r="Q921" i="3"/>
  <c r="R921" i="3" s="1"/>
  <c r="S921" i="3" s="1"/>
  <c r="Q961" i="3"/>
  <c r="R961" i="3" s="1"/>
  <c r="S961" i="3" s="1"/>
  <c r="Q468" i="3"/>
  <c r="R468" i="3" s="1"/>
  <c r="S468" i="3" s="1"/>
  <c r="Q500" i="3"/>
  <c r="R500" i="3" s="1"/>
  <c r="S500" i="3" s="1"/>
  <c r="Q540" i="3"/>
  <c r="R540" i="3" s="1"/>
  <c r="S540" i="3" s="1"/>
  <c r="Q572" i="3"/>
  <c r="R572" i="3" s="1"/>
  <c r="S572" i="3" s="1"/>
  <c r="Q604" i="3"/>
  <c r="R604" i="3" s="1"/>
  <c r="S604" i="3" s="1"/>
  <c r="Q636" i="3"/>
  <c r="R636" i="3" s="1"/>
  <c r="S636" i="3" s="1"/>
  <c r="Q676" i="3"/>
  <c r="R676" i="3" s="1"/>
  <c r="S676" i="3" s="1"/>
  <c r="Q716" i="3"/>
  <c r="R716" i="3" s="1"/>
  <c r="S716" i="3" s="1"/>
  <c r="Q748" i="3"/>
  <c r="R748" i="3" s="1"/>
  <c r="S748" i="3" s="1"/>
  <c r="Q788" i="3"/>
  <c r="R788" i="3" s="1"/>
  <c r="S788" i="3" s="1"/>
  <c r="Q820" i="3"/>
  <c r="R820" i="3" s="1"/>
  <c r="S820" i="3" s="1"/>
  <c r="Q860" i="3"/>
  <c r="R860" i="3" s="1"/>
  <c r="S860" i="3" s="1"/>
  <c r="Q900" i="3"/>
  <c r="R900" i="3" s="1"/>
  <c r="S900" i="3" s="1"/>
  <c r="Q932" i="3"/>
  <c r="R932" i="3" s="1"/>
  <c r="S932" i="3" s="1"/>
  <c r="Q964" i="3"/>
  <c r="R964" i="3" s="1"/>
  <c r="S964" i="3" s="1"/>
  <c r="Q996" i="3"/>
  <c r="R996" i="3" s="1"/>
  <c r="S996" i="3" s="1"/>
  <c r="Q910" i="3"/>
  <c r="R910" i="3" s="1"/>
  <c r="S910" i="3" s="1"/>
  <c r="Q958" i="3"/>
  <c r="R958" i="3" s="1"/>
  <c r="S958" i="3" s="1"/>
  <c r="Q990" i="3"/>
  <c r="R990" i="3" s="1"/>
  <c r="S990" i="3" s="1"/>
  <c r="Q24" i="3"/>
  <c r="R24" i="3" s="1"/>
  <c r="S24" i="3" s="1"/>
  <c r="Q56" i="3"/>
  <c r="R56" i="3" s="1"/>
  <c r="S56" i="3" s="1"/>
  <c r="Q88" i="3"/>
  <c r="R88" i="3" s="1"/>
  <c r="S88" i="3" s="1"/>
  <c r="Q120" i="3"/>
  <c r="R120" i="3" s="1"/>
  <c r="S120" i="3" s="1"/>
  <c r="Q152" i="3"/>
  <c r="R152" i="3" s="1"/>
  <c r="S152" i="3" s="1"/>
  <c r="Q184" i="3"/>
  <c r="R184" i="3" s="1"/>
  <c r="S184" i="3" s="1"/>
  <c r="Q224" i="3"/>
  <c r="R224" i="3" s="1"/>
  <c r="S224" i="3" s="1"/>
  <c r="Q256" i="3"/>
  <c r="R256" i="3" s="1"/>
  <c r="S256" i="3" s="1"/>
  <c r="Q288" i="3"/>
  <c r="R288" i="3" s="1"/>
  <c r="S288" i="3" s="1"/>
  <c r="Q320" i="3"/>
  <c r="R320" i="3" s="1"/>
  <c r="S320" i="3" s="1"/>
  <c r="Q360" i="3"/>
  <c r="R360" i="3" s="1"/>
  <c r="S360" i="3" s="1"/>
  <c r="Q400" i="3"/>
  <c r="R400" i="3" s="1"/>
  <c r="S400" i="3" s="1"/>
  <c r="Q440" i="3"/>
  <c r="R440" i="3" s="1"/>
  <c r="S440" i="3" s="1"/>
  <c r="Q480" i="3"/>
  <c r="R480" i="3" s="1"/>
  <c r="S480" i="3" s="1"/>
  <c r="Q618" i="3"/>
  <c r="R618" i="3" s="1"/>
  <c r="S618" i="3" s="1"/>
  <c r="Q650" i="3"/>
  <c r="R650" i="3" s="1"/>
  <c r="S650" i="3" s="1"/>
  <c r="Q682" i="3"/>
  <c r="R682" i="3" s="1"/>
  <c r="S682" i="3" s="1"/>
  <c r="Q417" i="3"/>
  <c r="R417" i="3" s="1"/>
  <c r="S417" i="3" s="1"/>
  <c r="Q449" i="3"/>
  <c r="R449" i="3" s="1"/>
  <c r="S449" i="3" s="1"/>
  <c r="Q481" i="3"/>
  <c r="R481" i="3" s="1"/>
  <c r="S481" i="3" s="1"/>
  <c r="Q513" i="3"/>
  <c r="R513" i="3" s="1"/>
  <c r="S513" i="3" s="1"/>
  <c r="Q545" i="3"/>
  <c r="R545" i="3" s="1"/>
  <c r="S545" i="3" s="1"/>
  <c r="Q577" i="3"/>
  <c r="R577" i="3" s="1"/>
  <c r="S577" i="3" s="1"/>
  <c r="Q617" i="3"/>
  <c r="R617" i="3" s="1"/>
  <c r="S617" i="3" s="1"/>
  <c r="Q649" i="3"/>
  <c r="R649" i="3" s="1"/>
  <c r="S649" i="3" s="1"/>
  <c r="Q681" i="3"/>
  <c r="R681" i="3" s="1"/>
  <c r="S681" i="3" s="1"/>
  <c r="Q713" i="3"/>
  <c r="R713" i="3" s="1"/>
  <c r="S713" i="3" s="1"/>
  <c r="Q753" i="3"/>
  <c r="R753" i="3" s="1"/>
  <c r="S753" i="3" s="1"/>
  <c r="Q785" i="3"/>
  <c r="R785" i="3" s="1"/>
  <c r="S785" i="3" s="1"/>
  <c r="Q825" i="3"/>
  <c r="R825" i="3" s="1"/>
  <c r="S825" i="3" s="1"/>
  <c r="Q857" i="3"/>
  <c r="R857" i="3" s="1"/>
  <c r="S857" i="3" s="1"/>
  <c r="Q897" i="3"/>
  <c r="R897" i="3" s="1"/>
  <c r="S897" i="3" s="1"/>
  <c r="Q937" i="3"/>
  <c r="R937" i="3" s="1"/>
  <c r="S937" i="3" s="1"/>
  <c r="Q444" i="3"/>
  <c r="R444" i="3" s="1"/>
  <c r="S444" i="3" s="1"/>
  <c r="Q476" i="3"/>
  <c r="R476" i="3" s="1"/>
  <c r="S476" i="3" s="1"/>
  <c r="Q516" i="3"/>
  <c r="R516" i="3" s="1"/>
  <c r="S516" i="3" s="1"/>
  <c r="Q548" i="3"/>
  <c r="R548" i="3" s="1"/>
  <c r="S548" i="3" s="1"/>
  <c r="Q580" i="3"/>
  <c r="R580" i="3" s="1"/>
  <c r="S580" i="3" s="1"/>
  <c r="Q612" i="3"/>
  <c r="R612" i="3" s="1"/>
  <c r="S612" i="3" s="1"/>
  <c r="Q644" i="3"/>
  <c r="R644" i="3" s="1"/>
  <c r="S644" i="3" s="1"/>
  <c r="Q684" i="3"/>
  <c r="R684" i="3" s="1"/>
  <c r="S684" i="3" s="1"/>
  <c r="Q724" i="3"/>
  <c r="R724" i="3" s="1"/>
  <c r="S724" i="3" s="1"/>
  <c r="Q756" i="3"/>
  <c r="R756" i="3" s="1"/>
  <c r="S756" i="3" s="1"/>
  <c r="Q796" i="3"/>
  <c r="R796" i="3" s="1"/>
  <c r="S796" i="3" s="1"/>
  <c r="Q836" i="3"/>
  <c r="R836" i="3" s="1"/>
  <c r="S836" i="3" s="1"/>
  <c r="Q868" i="3"/>
  <c r="R868" i="3" s="1"/>
  <c r="S868" i="3" s="1"/>
  <c r="Q908" i="3"/>
  <c r="R908" i="3" s="1"/>
  <c r="S908" i="3" s="1"/>
  <c r="Q940" i="3"/>
  <c r="R940" i="3" s="1"/>
  <c r="S940" i="3" s="1"/>
  <c r="Q972" i="3"/>
  <c r="R972" i="3" s="1"/>
  <c r="S972" i="3" s="1"/>
  <c r="Q1004" i="3"/>
  <c r="R1004" i="3" s="1"/>
  <c r="S1004" i="3" s="1"/>
  <c r="Q225" i="2"/>
  <c r="R225" i="2" s="1"/>
  <c r="S225" i="2" s="1"/>
  <c r="Q256" i="2"/>
  <c r="R256" i="2" s="1"/>
  <c r="S256" i="2" s="1"/>
  <c r="Q781" i="2"/>
  <c r="R781" i="2" s="1"/>
  <c r="S781" i="2" s="1"/>
  <c r="Q25" i="2"/>
  <c r="R25" i="2" s="1"/>
  <c r="S25" i="2" s="1"/>
  <c r="Q479" i="2"/>
  <c r="R479" i="2" s="1"/>
  <c r="S479" i="2" s="1"/>
  <c r="Q83" i="2"/>
  <c r="R83" i="2" s="1"/>
  <c r="S83" i="2" s="1"/>
  <c r="Q497" i="2"/>
  <c r="R497" i="2" s="1"/>
  <c r="S497" i="2" s="1"/>
  <c r="Q557" i="2"/>
  <c r="R557" i="2" s="1"/>
  <c r="S557" i="2" s="1"/>
  <c r="Q813" i="2"/>
  <c r="R813" i="2" s="1"/>
  <c r="S813" i="2" s="1"/>
  <c r="Q818" i="2"/>
  <c r="R818" i="2" s="1"/>
  <c r="S818" i="2" s="1"/>
  <c r="Q346" i="2"/>
  <c r="R346" i="2" s="1"/>
  <c r="S346" i="2" s="1"/>
  <c r="Q530" i="2"/>
  <c r="R530" i="2" s="1"/>
  <c r="S530" i="2" s="1"/>
  <c r="Q299" i="2"/>
  <c r="R299" i="2" s="1"/>
  <c r="S299" i="2" s="1"/>
  <c r="Q324" i="2"/>
  <c r="R324" i="2" s="1"/>
  <c r="S324" i="2" s="1"/>
  <c r="Q110" i="2"/>
  <c r="R110" i="2" s="1"/>
  <c r="S110" i="2" s="1"/>
  <c r="Q216" i="2"/>
  <c r="R216" i="2" s="1"/>
  <c r="S216" i="2" s="1"/>
  <c r="Q826" i="2"/>
  <c r="R826" i="2" s="1"/>
  <c r="S826" i="2" s="1"/>
  <c r="Q515" i="2"/>
  <c r="R515" i="2" s="1"/>
  <c r="S515" i="2" s="1"/>
  <c r="Q475" i="2"/>
  <c r="R475" i="2" s="1"/>
  <c r="S475" i="2" s="1"/>
  <c r="Q819" i="2"/>
  <c r="R819" i="2" s="1"/>
  <c r="S819" i="2" s="1"/>
  <c r="Q396" i="2"/>
  <c r="R396" i="2" s="1"/>
  <c r="S396" i="2" s="1"/>
  <c r="Q679" i="2"/>
  <c r="R679" i="2" s="1"/>
  <c r="S679" i="2" s="1"/>
  <c r="Q532" i="2"/>
  <c r="R532" i="2" s="1"/>
  <c r="S532" i="2" s="1"/>
  <c r="Q908" i="2"/>
  <c r="R908" i="2" s="1"/>
  <c r="S908" i="2" s="1"/>
  <c r="Q751" i="2"/>
  <c r="R751" i="2" s="1"/>
  <c r="S751" i="2" s="1"/>
  <c r="Q834" i="2"/>
  <c r="R834" i="2" s="1"/>
  <c r="S834" i="2" s="1"/>
  <c r="Q890" i="2"/>
  <c r="R890" i="2" s="1"/>
  <c r="S890" i="2" s="1"/>
  <c r="Q276" i="2"/>
  <c r="R276" i="2" s="1"/>
  <c r="S276" i="2" s="1"/>
  <c r="Q388" i="2"/>
  <c r="R388" i="2" s="1"/>
  <c r="S388" i="2" s="1"/>
  <c r="Q972" i="2"/>
  <c r="R972" i="2" s="1"/>
  <c r="S972" i="2" s="1"/>
  <c r="Q775" i="2"/>
  <c r="R775" i="2" s="1"/>
  <c r="S775" i="2" s="1"/>
  <c r="Q616" i="2"/>
  <c r="R616" i="2" s="1"/>
  <c r="S616" i="2" s="1"/>
  <c r="Q215" i="2"/>
  <c r="R215" i="2" s="1"/>
  <c r="S215" i="2" s="1"/>
  <c r="Q282" i="2"/>
  <c r="R282" i="2" s="1"/>
  <c r="S282" i="2" s="1"/>
  <c r="Q546" i="2"/>
  <c r="R546" i="2" s="1"/>
  <c r="S546" i="2" s="1"/>
  <c r="Q610" i="2"/>
  <c r="R610" i="2" s="1"/>
  <c r="S610" i="2" s="1"/>
  <c r="Q690" i="2"/>
  <c r="R690" i="2" s="1"/>
  <c r="S690" i="2" s="1"/>
  <c r="Q954" i="2"/>
  <c r="R954" i="2" s="1"/>
  <c r="S954" i="2" s="1"/>
  <c r="Q281" i="2"/>
  <c r="R281" i="2" s="1"/>
  <c r="S281" i="2" s="1"/>
  <c r="Q301" i="2"/>
  <c r="R301" i="2" s="1"/>
  <c r="S301" i="2" s="1"/>
  <c r="Q38" i="2"/>
  <c r="R38" i="2" s="1"/>
  <c r="S38" i="2" s="1"/>
  <c r="Q410" i="2"/>
  <c r="R410" i="2" s="1"/>
  <c r="S410" i="2" s="1"/>
  <c r="Q698" i="2"/>
  <c r="R698" i="2" s="1"/>
  <c r="S698" i="2" s="1"/>
  <c r="Q754" i="2"/>
  <c r="R754" i="2" s="1"/>
  <c r="S754" i="2" s="1"/>
  <c r="Q962" i="2"/>
  <c r="R962" i="2" s="1"/>
  <c r="S962" i="2" s="1"/>
  <c r="Q644" i="2"/>
  <c r="R644" i="2" s="1"/>
  <c r="S644" i="2" s="1"/>
  <c r="Q201" i="2"/>
  <c r="R201" i="2" s="1"/>
  <c r="S201" i="2" s="1"/>
  <c r="Q190" i="2"/>
  <c r="R190" i="2" s="1"/>
  <c r="S190" i="2" s="1"/>
  <c r="Q415" i="2"/>
  <c r="R415" i="2" s="1"/>
  <c r="S415" i="2" s="1"/>
  <c r="Q527" i="2"/>
  <c r="R527" i="2" s="1"/>
  <c r="S527" i="2" s="1"/>
  <c r="Q334" i="2"/>
  <c r="R334" i="2" s="1"/>
  <c r="S334" i="2" s="1"/>
  <c r="Q418" i="2"/>
  <c r="R418" i="2" s="1"/>
  <c r="S418" i="2" s="1"/>
  <c r="Q635" i="2"/>
  <c r="R635" i="2" s="1"/>
  <c r="S635" i="2" s="1"/>
  <c r="Q155" i="2"/>
  <c r="R155" i="2" s="1"/>
  <c r="S155" i="2" s="1"/>
  <c r="Q652" i="2"/>
  <c r="R652" i="2" s="1"/>
  <c r="S652" i="2" s="1"/>
  <c r="Q900" i="2"/>
  <c r="R900" i="2" s="1"/>
  <c r="S900" i="2" s="1"/>
  <c r="Q941" i="2"/>
  <c r="R941" i="2" s="1"/>
  <c r="S941" i="2" s="1"/>
  <c r="Q257" i="2"/>
  <c r="R257" i="2" s="1"/>
  <c r="S257" i="2" s="1"/>
  <c r="Q633" i="2"/>
  <c r="R633" i="2" s="1"/>
  <c r="S633" i="2" s="1"/>
  <c r="Q606" i="2"/>
  <c r="R606" i="2" s="1"/>
  <c r="S606" i="2" s="1"/>
  <c r="Q935" i="2"/>
  <c r="R935" i="2" s="1"/>
  <c r="S935" i="2" s="1"/>
  <c r="Q274" i="2"/>
  <c r="R274" i="2" s="1"/>
  <c r="S274" i="2" s="1"/>
  <c r="Q482" i="2"/>
  <c r="R482" i="2" s="1"/>
  <c r="S482" i="2" s="1"/>
  <c r="Q851" i="2"/>
  <c r="R851" i="2" s="1"/>
  <c r="S851" i="2" s="1"/>
  <c r="Q963" i="2"/>
  <c r="R963" i="2" s="1"/>
  <c r="S963" i="2" s="1"/>
  <c r="Q338" i="2"/>
  <c r="R338" i="2" s="1"/>
  <c r="S338" i="2" s="1"/>
  <c r="Q474" i="2"/>
  <c r="R474" i="2" s="1"/>
  <c r="S474" i="2" s="1"/>
  <c r="Q618" i="2"/>
  <c r="R618" i="2" s="1"/>
  <c r="S618" i="2" s="1"/>
  <c r="Q882" i="2"/>
  <c r="R882" i="2" s="1"/>
  <c r="S882" i="2" s="1"/>
  <c r="Q619" i="2"/>
  <c r="R619" i="2" s="1"/>
  <c r="S619" i="2" s="1"/>
  <c r="Q979" i="2"/>
  <c r="R979" i="2" s="1"/>
  <c r="S979" i="2" s="1"/>
  <c r="Q371" i="2"/>
  <c r="R371" i="2" s="1"/>
  <c r="S371" i="2" s="1"/>
  <c r="Q716" i="2"/>
  <c r="R716" i="2" s="1"/>
  <c r="S716" i="2" s="1"/>
  <c r="Q980" i="2"/>
  <c r="R980" i="2" s="1"/>
  <c r="S980" i="2" s="1"/>
  <c r="Q237" i="2"/>
  <c r="R237" i="2" s="1"/>
  <c r="S237" i="2" s="1"/>
  <c r="Q1005" i="2"/>
  <c r="R1005" i="2" s="1"/>
  <c r="S1005" i="2" s="1"/>
  <c r="Q262" i="2"/>
  <c r="R262" i="2" s="1"/>
  <c r="S262" i="2" s="1"/>
  <c r="Q558" i="2"/>
  <c r="R558" i="2" s="1"/>
  <c r="S558" i="2" s="1"/>
  <c r="Q847" i="2"/>
  <c r="R847" i="2" s="1"/>
  <c r="S847" i="2" s="1"/>
  <c r="Q184" i="2"/>
  <c r="R184" i="2" s="1"/>
  <c r="S184" i="2" s="1"/>
  <c r="Q568" i="2"/>
  <c r="R568" i="2" s="1"/>
  <c r="S568" i="2" s="1"/>
  <c r="Q290" i="2"/>
  <c r="R290" i="2" s="1"/>
  <c r="S290" i="2" s="1"/>
  <c r="Q715" i="2"/>
  <c r="R715" i="2" s="1"/>
  <c r="S715" i="2" s="1"/>
  <c r="Q460" i="2"/>
  <c r="R460" i="2" s="1"/>
  <c r="S460" i="2" s="1"/>
  <c r="Q724" i="2"/>
  <c r="R724" i="2" s="1"/>
  <c r="S724" i="2" s="1"/>
  <c r="Q836" i="2"/>
  <c r="R836" i="2" s="1"/>
  <c r="S836" i="2" s="1"/>
  <c r="Q493" i="2"/>
  <c r="R493" i="2" s="1"/>
  <c r="S493" i="2" s="1"/>
  <c r="Q406" i="2"/>
  <c r="R406" i="2" s="1"/>
  <c r="S406" i="2" s="1"/>
  <c r="Q494" i="2"/>
  <c r="R494" i="2" s="1"/>
  <c r="S494" i="2" s="1"/>
  <c r="Q662" i="2"/>
  <c r="R662" i="2" s="1"/>
  <c r="S662" i="2" s="1"/>
  <c r="Q551" i="2"/>
  <c r="R551" i="2" s="1"/>
  <c r="S551" i="2" s="1"/>
  <c r="Q919" i="2"/>
  <c r="R919" i="2" s="1"/>
  <c r="S919" i="2" s="1"/>
  <c r="Q513" i="2"/>
  <c r="R513" i="2" s="1"/>
  <c r="S513" i="2" s="1"/>
  <c r="Q53" i="2"/>
  <c r="R53" i="2" s="1"/>
  <c r="S53" i="2" s="1"/>
  <c r="Q402" i="2"/>
  <c r="R402" i="2" s="1"/>
  <c r="S402" i="2" s="1"/>
  <c r="Q538" i="2"/>
  <c r="R538" i="2" s="1"/>
  <c r="S538" i="2" s="1"/>
  <c r="Q706" i="2"/>
  <c r="R706" i="2" s="1"/>
  <c r="S706" i="2" s="1"/>
  <c r="Q946" i="2"/>
  <c r="R946" i="2" s="1"/>
  <c r="S946" i="2" s="1"/>
  <c r="Q835" i="2"/>
  <c r="R835" i="2" s="1"/>
  <c r="S835" i="2" s="1"/>
  <c r="Q329" i="2"/>
  <c r="R329" i="2" s="1"/>
  <c r="S329" i="2" s="1"/>
  <c r="Q811" i="2"/>
  <c r="R811" i="2" s="1"/>
  <c r="S811" i="2" s="1"/>
  <c r="Q41" i="2"/>
  <c r="R41" i="2" s="1"/>
  <c r="S41" i="2" s="1"/>
  <c r="Q788" i="2"/>
  <c r="R788" i="2" s="1"/>
  <c r="S788" i="2" s="1"/>
  <c r="Q455" i="2"/>
  <c r="R455" i="2" s="1"/>
  <c r="S455" i="2" s="1"/>
  <c r="Q185" i="2"/>
  <c r="R185" i="2" s="1"/>
  <c r="S185" i="2" s="1"/>
  <c r="Q512" i="2"/>
  <c r="R512" i="2" s="1"/>
  <c r="S512" i="2" s="1"/>
  <c r="Q151" i="2"/>
  <c r="R151" i="2" s="1"/>
  <c r="S151" i="2" s="1"/>
  <c r="Q117" i="2"/>
  <c r="R117" i="2" s="1"/>
  <c r="S117" i="2" s="1"/>
  <c r="Q354" i="2"/>
  <c r="R354" i="2" s="1"/>
  <c r="S354" i="2" s="1"/>
  <c r="Q602" i="2"/>
  <c r="R602" i="2" s="1"/>
  <c r="S602" i="2" s="1"/>
  <c r="Q762" i="2"/>
  <c r="R762" i="2" s="1"/>
  <c r="S762" i="2" s="1"/>
  <c r="Q898" i="2"/>
  <c r="R898" i="2" s="1"/>
  <c r="S898" i="2" s="1"/>
  <c r="Q947" i="2"/>
  <c r="R947" i="2" s="1"/>
  <c r="S947" i="2" s="1"/>
  <c r="Q939" i="2"/>
  <c r="R939" i="2" s="1"/>
  <c r="S939" i="2" s="1"/>
  <c r="Q441" i="2"/>
  <c r="R441" i="2" s="1"/>
  <c r="S441" i="2" s="1"/>
  <c r="Q468" i="2"/>
  <c r="R468" i="2" s="1"/>
  <c r="S468" i="2" s="1"/>
  <c r="Q580" i="2"/>
  <c r="R580" i="2" s="1"/>
  <c r="S580" i="2" s="1"/>
  <c r="Q749" i="2"/>
  <c r="R749" i="2" s="1"/>
  <c r="S749" i="2" s="1"/>
  <c r="Q97" i="2"/>
  <c r="R97" i="2" s="1"/>
  <c r="S97" i="2" s="1"/>
  <c r="Q545" i="2"/>
  <c r="R545" i="2" s="1"/>
  <c r="S545" i="2" s="1"/>
  <c r="Q655" i="2"/>
  <c r="R655" i="2" s="1"/>
  <c r="S655" i="2" s="1"/>
  <c r="Q823" i="2"/>
  <c r="R823" i="2" s="1"/>
  <c r="S823" i="2" s="1"/>
  <c r="Q10" i="2"/>
  <c r="R10" i="2" s="1"/>
  <c r="S10" i="2" s="1"/>
  <c r="Q42" i="2"/>
  <c r="R42" i="2" s="1"/>
  <c r="S42" i="2" s="1"/>
  <c r="Q74" i="2"/>
  <c r="R74" i="2" s="1"/>
  <c r="S74" i="2" s="1"/>
  <c r="Q106" i="2"/>
  <c r="R106" i="2" s="1"/>
  <c r="S106" i="2" s="1"/>
  <c r="Q138" i="2"/>
  <c r="R138" i="2" s="1"/>
  <c r="S138" i="2" s="1"/>
  <c r="Q170" i="2"/>
  <c r="R170" i="2" s="1"/>
  <c r="S170" i="2" s="1"/>
  <c r="Q202" i="2"/>
  <c r="R202" i="2" s="1"/>
  <c r="S202" i="2" s="1"/>
  <c r="Q234" i="2"/>
  <c r="R234" i="2" s="1"/>
  <c r="S234" i="2" s="1"/>
  <c r="Q157" i="2"/>
  <c r="R157" i="2" s="1"/>
  <c r="S157" i="2" s="1"/>
  <c r="Q306" i="2"/>
  <c r="R306" i="2" s="1"/>
  <c r="S306" i="2" s="1"/>
  <c r="Q378" i="2"/>
  <c r="R378" i="2" s="1"/>
  <c r="S378" i="2" s="1"/>
  <c r="Q450" i="2"/>
  <c r="R450" i="2" s="1"/>
  <c r="S450" i="2" s="1"/>
  <c r="Q562" i="2"/>
  <c r="R562" i="2" s="1"/>
  <c r="S562" i="2" s="1"/>
  <c r="Q666" i="2"/>
  <c r="R666" i="2" s="1"/>
  <c r="S666" i="2" s="1"/>
  <c r="Q738" i="2"/>
  <c r="R738" i="2" s="1"/>
  <c r="S738" i="2" s="1"/>
  <c r="Q850" i="2"/>
  <c r="R850" i="2" s="1"/>
  <c r="S850" i="2" s="1"/>
  <c r="Q922" i="2"/>
  <c r="R922" i="2" s="1"/>
  <c r="S922" i="2" s="1"/>
  <c r="Q994" i="2"/>
  <c r="R994" i="2" s="1"/>
  <c r="S994" i="2" s="1"/>
  <c r="Q883" i="2"/>
  <c r="R883" i="2" s="1"/>
  <c r="S883" i="2" s="1"/>
  <c r="Q73" i="2"/>
  <c r="R73" i="2" s="1"/>
  <c r="S73" i="2" s="1"/>
  <c r="Q577" i="2"/>
  <c r="R577" i="2" s="1"/>
  <c r="S577" i="2" s="1"/>
  <c r="Q259" i="2"/>
  <c r="R259" i="2" s="1"/>
  <c r="S259" i="2" s="1"/>
  <c r="Q683" i="2"/>
  <c r="R683" i="2" s="1"/>
  <c r="S683" i="2" s="1"/>
  <c r="Q241" i="2"/>
  <c r="R241" i="2" s="1"/>
  <c r="S241" i="2" s="1"/>
  <c r="Q244" i="2"/>
  <c r="R244" i="2" s="1"/>
  <c r="S244" i="2" s="1"/>
  <c r="Q356" i="2"/>
  <c r="R356" i="2" s="1"/>
  <c r="S356" i="2" s="1"/>
  <c r="Q428" i="2"/>
  <c r="R428" i="2" s="1"/>
  <c r="S428" i="2" s="1"/>
  <c r="Q500" i="2"/>
  <c r="R500" i="2" s="1"/>
  <c r="S500" i="2" s="1"/>
  <c r="Q612" i="2"/>
  <c r="R612" i="2" s="1"/>
  <c r="S612" i="2" s="1"/>
  <c r="Q684" i="2"/>
  <c r="R684" i="2" s="1"/>
  <c r="S684" i="2" s="1"/>
  <c r="Q756" i="2"/>
  <c r="R756" i="2" s="1"/>
  <c r="S756" i="2" s="1"/>
  <c r="Q868" i="2"/>
  <c r="R868" i="2" s="1"/>
  <c r="S868" i="2" s="1"/>
  <c r="Q940" i="2"/>
  <c r="R940" i="2" s="1"/>
  <c r="S940" i="2" s="1"/>
  <c r="Q217" i="2"/>
  <c r="R217" i="2" s="1"/>
  <c r="S217" i="2" s="1"/>
  <c r="Q397" i="2"/>
  <c r="R397" i="2" s="1"/>
  <c r="S397" i="2" s="1"/>
  <c r="Q653" i="2"/>
  <c r="R653" i="2" s="1"/>
  <c r="S653" i="2" s="1"/>
  <c r="Q909" i="2"/>
  <c r="R909" i="2" s="1"/>
  <c r="S909" i="2" s="1"/>
  <c r="Q473" i="2"/>
  <c r="R473" i="2" s="1"/>
  <c r="S473" i="2" s="1"/>
  <c r="Q150" i="2"/>
  <c r="R150" i="2" s="1"/>
  <c r="S150" i="2" s="1"/>
  <c r="Q462" i="2"/>
  <c r="R462" i="2" s="1"/>
  <c r="S462" i="2" s="1"/>
  <c r="Q590" i="2"/>
  <c r="R590" i="2" s="1"/>
  <c r="S590" i="2" s="1"/>
  <c r="Q646" i="2"/>
  <c r="R646" i="2" s="1"/>
  <c r="S646" i="2" s="1"/>
  <c r="Q113" i="2"/>
  <c r="R113" i="2" s="1"/>
  <c r="S113" i="2" s="1"/>
  <c r="Q433" i="2"/>
  <c r="R433" i="2" s="1"/>
  <c r="S433" i="2" s="1"/>
  <c r="Q673" i="2"/>
  <c r="R673" i="2" s="1"/>
  <c r="S673" i="2" s="1"/>
  <c r="Q495" i="2"/>
  <c r="R495" i="2" s="1"/>
  <c r="S495" i="2" s="1"/>
  <c r="Q623" i="2"/>
  <c r="R623" i="2" s="1"/>
  <c r="S623" i="2" s="1"/>
  <c r="Q719" i="2"/>
  <c r="R719" i="2" s="1"/>
  <c r="S719" i="2" s="1"/>
  <c r="Q791" i="2"/>
  <c r="R791" i="2" s="1"/>
  <c r="S791" i="2" s="1"/>
  <c r="Q903" i="2"/>
  <c r="R903" i="2" s="1"/>
  <c r="S903" i="2" s="1"/>
  <c r="Q975" i="2"/>
  <c r="R975" i="2" s="1"/>
  <c r="S975" i="2" s="1"/>
  <c r="Q289" i="2"/>
  <c r="R289" i="2" s="1"/>
  <c r="S289" i="2" s="1"/>
  <c r="Q112" i="2"/>
  <c r="R112" i="2" s="1"/>
  <c r="S112" i="2" s="1"/>
  <c r="Q408" i="2"/>
  <c r="R408" i="2" s="1"/>
  <c r="S408" i="2" s="1"/>
  <c r="Q529" i="2"/>
  <c r="R529" i="2" s="1"/>
  <c r="S529" i="2" s="1"/>
  <c r="Q423" i="2"/>
  <c r="R423" i="2" s="1"/>
  <c r="S423" i="2" s="1"/>
  <c r="Q463" i="2"/>
  <c r="R463" i="2" s="1"/>
  <c r="S463" i="2" s="1"/>
  <c r="Q687" i="2"/>
  <c r="R687" i="2" s="1"/>
  <c r="S687" i="2" s="1"/>
  <c r="Q759" i="2"/>
  <c r="R759" i="2" s="1"/>
  <c r="S759" i="2" s="1"/>
  <c r="Q871" i="2"/>
  <c r="R871" i="2" s="1"/>
  <c r="S871" i="2" s="1"/>
  <c r="Q943" i="2"/>
  <c r="R943" i="2" s="1"/>
  <c r="S943" i="2" s="1"/>
  <c r="Q65" i="2"/>
  <c r="R65" i="2" s="1"/>
  <c r="S65" i="2" s="1"/>
  <c r="Q296" i="2"/>
  <c r="R296" i="2" s="1"/>
  <c r="S296" i="2" s="1"/>
  <c r="Q656" i="2"/>
  <c r="R656" i="2" s="1"/>
  <c r="S656" i="2" s="1"/>
  <c r="Q18" i="2"/>
  <c r="R18" i="2" s="1"/>
  <c r="S18" i="2" s="1"/>
  <c r="Q50" i="2"/>
  <c r="R50" i="2" s="1"/>
  <c r="S50" i="2" s="1"/>
  <c r="Q82" i="2"/>
  <c r="R82" i="2" s="1"/>
  <c r="S82" i="2" s="1"/>
  <c r="Q114" i="2"/>
  <c r="R114" i="2" s="1"/>
  <c r="S114" i="2" s="1"/>
  <c r="Q146" i="2"/>
  <c r="R146" i="2" s="1"/>
  <c r="S146" i="2" s="1"/>
  <c r="Q178" i="2"/>
  <c r="R178" i="2" s="1"/>
  <c r="S178" i="2" s="1"/>
  <c r="Q210" i="2"/>
  <c r="R210" i="2" s="1"/>
  <c r="S210" i="2" s="1"/>
  <c r="Q11" i="2"/>
  <c r="R11" i="2" s="1"/>
  <c r="S11" i="2" s="1"/>
  <c r="Q242" i="2"/>
  <c r="R242" i="2" s="1"/>
  <c r="S242" i="2" s="1"/>
  <c r="Q314" i="2"/>
  <c r="R314" i="2" s="1"/>
  <c r="S314" i="2" s="1"/>
  <c r="Q386" i="2"/>
  <c r="R386" i="2" s="1"/>
  <c r="S386" i="2" s="1"/>
  <c r="Q498" i="2"/>
  <c r="R498" i="2" s="1"/>
  <c r="S498" i="2" s="1"/>
  <c r="Q570" i="2"/>
  <c r="R570" i="2" s="1"/>
  <c r="S570" i="2" s="1"/>
  <c r="Q674" i="2"/>
  <c r="R674" i="2" s="1"/>
  <c r="S674" i="2" s="1"/>
  <c r="Q786" i="2"/>
  <c r="R786" i="2" s="1"/>
  <c r="S786" i="2" s="1"/>
  <c r="Q858" i="2"/>
  <c r="R858" i="2" s="1"/>
  <c r="S858" i="2" s="1"/>
  <c r="Q930" i="2"/>
  <c r="R930" i="2" s="1"/>
  <c r="S930" i="2" s="1"/>
  <c r="Q755" i="2"/>
  <c r="R755" i="2" s="1"/>
  <c r="S755" i="2" s="1"/>
  <c r="Q899" i="2"/>
  <c r="R899" i="2" s="1"/>
  <c r="S899" i="2" s="1"/>
  <c r="Q121" i="2"/>
  <c r="R121" i="2" s="1"/>
  <c r="S121" i="2" s="1"/>
  <c r="Q43" i="2"/>
  <c r="R43" i="2" s="1"/>
  <c r="S43" i="2" s="1"/>
  <c r="Q339" i="2"/>
  <c r="R339" i="2" s="1"/>
  <c r="S339" i="2" s="1"/>
  <c r="Q747" i="2"/>
  <c r="R747" i="2" s="1"/>
  <c r="S747" i="2" s="1"/>
  <c r="Q297" i="2"/>
  <c r="R297" i="2" s="1"/>
  <c r="S297" i="2" s="1"/>
  <c r="Q292" i="2"/>
  <c r="R292" i="2" s="1"/>
  <c r="S292" i="2" s="1"/>
  <c r="Q364" i="2"/>
  <c r="R364" i="2" s="1"/>
  <c r="S364" i="2" s="1"/>
  <c r="Q436" i="2"/>
  <c r="R436" i="2" s="1"/>
  <c r="S436" i="2" s="1"/>
  <c r="Q548" i="2"/>
  <c r="R548" i="2" s="1"/>
  <c r="S548" i="2" s="1"/>
  <c r="Q620" i="2"/>
  <c r="R620" i="2" s="1"/>
  <c r="S620" i="2" s="1"/>
  <c r="Q692" i="2"/>
  <c r="R692" i="2" s="1"/>
  <c r="S692" i="2" s="1"/>
  <c r="Q804" i="2"/>
  <c r="R804" i="2" s="1"/>
  <c r="S804" i="2" s="1"/>
  <c r="Q876" i="2"/>
  <c r="R876" i="2" s="1"/>
  <c r="S876" i="2" s="1"/>
  <c r="Q948" i="2"/>
  <c r="R948" i="2" s="1"/>
  <c r="S948" i="2" s="1"/>
  <c r="Q649" i="2"/>
  <c r="R649" i="2" s="1"/>
  <c r="S649" i="2" s="1"/>
  <c r="Q461" i="2"/>
  <c r="R461" i="2" s="1"/>
  <c r="S461" i="2" s="1"/>
  <c r="Q717" i="2"/>
  <c r="R717" i="2" s="1"/>
  <c r="S717" i="2" s="1"/>
  <c r="Q973" i="2"/>
  <c r="R973" i="2" s="1"/>
  <c r="S973" i="2" s="1"/>
  <c r="Q49" i="2"/>
  <c r="R49" i="2" s="1"/>
  <c r="S49" i="2" s="1"/>
  <c r="Q537" i="2"/>
  <c r="R537" i="2" s="1"/>
  <c r="S537" i="2" s="1"/>
  <c r="Q222" i="2"/>
  <c r="R222" i="2" s="1"/>
  <c r="S222" i="2" s="1"/>
  <c r="Q542" i="2"/>
  <c r="R542" i="2" s="1"/>
  <c r="S542" i="2" s="1"/>
  <c r="Q598" i="2"/>
  <c r="R598" i="2" s="1"/>
  <c r="S598" i="2" s="1"/>
  <c r="Q654" i="2"/>
  <c r="R654" i="2" s="1"/>
  <c r="S654" i="2" s="1"/>
  <c r="Q249" i="2"/>
  <c r="R249" i="2" s="1"/>
  <c r="S249" i="2" s="1"/>
  <c r="Q489" i="2"/>
  <c r="R489" i="2" s="1"/>
  <c r="S489" i="2" s="1"/>
  <c r="Q543" i="2"/>
  <c r="R543" i="2" s="1"/>
  <c r="S543" i="2" s="1"/>
  <c r="Q631" i="2"/>
  <c r="R631" i="2" s="1"/>
  <c r="S631" i="2" s="1"/>
  <c r="Q727" i="2"/>
  <c r="R727" i="2" s="1"/>
  <c r="S727" i="2" s="1"/>
  <c r="Q839" i="2"/>
  <c r="R839" i="2" s="1"/>
  <c r="S839" i="2" s="1"/>
  <c r="Q911" i="2"/>
  <c r="R911" i="2" s="1"/>
  <c r="S911" i="2" s="1"/>
  <c r="Q983" i="2"/>
  <c r="R983" i="2" s="1"/>
  <c r="S983" i="2" s="1"/>
  <c r="Q641" i="2"/>
  <c r="R641" i="2" s="1"/>
  <c r="S641" i="2" s="1"/>
  <c r="Q227" i="2"/>
  <c r="R227" i="2" s="1"/>
  <c r="S227" i="2" s="1"/>
  <c r="Q579" i="2"/>
  <c r="R579" i="2" s="1"/>
  <c r="S579" i="2" s="1"/>
  <c r="Q81" i="2"/>
  <c r="R81" i="2" s="1"/>
  <c r="S81" i="2" s="1"/>
  <c r="Q260" i="2"/>
  <c r="R260" i="2" s="1"/>
  <c r="S260" i="2" s="1"/>
  <c r="Q332" i="2"/>
  <c r="R332" i="2" s="1"/>
  <c r="S332" i="2" s="1"/>
  <c r="Q404" i="2"/>
  <c r="R404" i="2" s="1"/>
  <c r="S404" i="2" s="1"/>
  <c r="Q516" i="2"/>
  <c r="R516" i="2" s="1"/>
  <c r="S516" i="2" s="1"/>
  <c r="Q588" i="2"/>
  <c r="R588" i="2" s="1"/>
  <c r="S588" i="2" s="1"/>
  <c r="Q660" i="2"/>
  <c r="R660" i="2" s="1"/>
  <c r="S660" i="2" s="1"/>
  <c r="Q772" i="2"/>
  <c r="R772" i="2" s="1"/>
  <c r="S772" i="2" s="1"/>
  <c r="Q844" i="2"/>
  <c r="R844" i="2" s="1"/>
  <c r="S844" i="2" s="1"/>
  <c r="Q916" i="2"/>
  <c r="R916" i="2" s="1"/>
  <c r="S916" i="2" s="1"/>
  <c r="Q33" i="2"/>
  <c r="R33" i="2" s="1"/>
  <c r="S33" i="2" s="1"/>
  <c r="Q365" i="2"/>
  <c r="R365" i="2" s="1"/>
  <c r="S365" i="2" s="1"/>
  <c r="Q621" i="2"/>
  <c r="R621" i="2" s="1"/>
  <c r="S621" i="2" s="1"/>
  <c r="Q877" i="2"/>
  <c r="R877" i="2" s="1"/>
  <c r="S877" i="2" s="1"/>
  <c r="Q305" i="2"/>
  <c r="R305" i="2" s="1"/>
  <c r="S305" i="2" s="1"/>
  <c r="Q511" i="2"/>
  <c r="R511" i="2" s="1"/>
  <c r="S511" i="2" s="1"/>
  <c r="Q591" i="2"/>
  <c r="R591" i="2" s="1"/>
  <c r="S591" i="2" s="1"/>
  <c r="Q695" i="2"/>
  <c r="R695" i="2" s="1"/>
  <c r="S695" i="2" s="1"/>
  <c r="Q807" i="2"/>
  <c r="R807" i="2" s="1"/>
  <c r="S807" i="2" s="1"/>
  <c r="Q879" i="2"/>
  <c r="R879" i="2" s="1"/>
  <c r="S879" i="2" s="1"/>
  <c r="Q951" i="2"/>
  <c r="R951" i="2" s="1"/>
  <c r="S951" i="2" s="1"/>
  <c r="Q409" i="2"/>
  <c r="R409" i="2" s="1"/>
  <c r="S409" i="2" s="1"/>
  <c r="Q72" i="2"/>
  <c r="R72" i="2" s="1"/>
  <c r="S72" i="2" s="1"/>
  <c r="Q368" i="2"/>
  <c r="R368" i="2" s="1"/>
  <c r="S368" i="2" s="1"/>
  <c r="Q313" i="2"/>
  <c r="R313" i="2" s="1"/>
  <c r="S313" i="2" s="1"/>
  <c r="Q26" i="2"/>
  <c r="R26" i="2" s="1"/>
  <c r="S26" i="2" s="1"/>
  <c r="Q58" i="2"/>
  <c r="R58" i="2" s="1"/>
  <c r="S58" i="2" s="1"/>
  <c r="Q90" i="2"/>
  <c r="R90" i="2" s="1"/>
  <c r="S90" i="2" s="1"/>
  <c r="Q122" i="2"/>
  <c r="R122" i="2" s="1"/>
  <c r="S122" i="2" s="1"/>
  <c r="Q154" i="2"/>
  <c r="R154" i="2" s="1"/>
  <c r="S154" i="2" s="1"/>
  <c r="Q186" i="2"/>
  <c r="R186" i="2" s="1"/>
  <c r="S186" i="2" s="1"/>
  <c r="Q218" i="2"/>
  <c r="R218" i="2" s="1"/>
  <c r="S218" i="2" s="1"/>
  <c r="Q85" i="2"/>
  <c r="R85" i="2" s="1"/>
  <c r="S85" i="2" s="1"/>
  <c r="Q181" i="2"/>
  <c r="R181" i="2" s="1"/>
  <c r="S181" i="2" s="1"/>
  <c r="Q250" i="2"/>
  <c r="R250" i="2" s="1"/>
  <c r="S250" i="2" s="1"/>
  <c r="Q322" i="2"/>
  <c r="R322" i="2" s="1"/>
  <c r="S322" i="2" s="1"/>
  <c r="Q434" i="2"/>
  <c r="R434" i="2" s="1"/>
  <c r="S434" i="2" s="1"/>
  <c r="Q506" i="2"/>
  <c r="R506" i="2" s="1"/>
  <c r="S506" i="2" s="1"/>
  <c r="Q578" i="2"/>
  <c r="R578" i="2" s="1"/>
  <c r="S578" i="2" s="1"/>
  <c r="Q722" i="2"/>
  <c r="R722" i="2" s="1"/>
  <c r="S722" i="2" s="1"/>
  <c r="Q794" i="2"/>
  <c r="R794" i="2" s="1"/>
  <c r="S794" i="2" s="1"/>
  <c r="Q866" i="2"/>
  <c r="R866" i="2" s="1"/>
  <c r="S866" i="2" s="1"/>
  <c r="Q978" i="2"/>
  <c r="R978" i="2" s="1"/>
  <c r="S978" i="2" s="1"/>
  <c r="Q771" i="2"/>
  <c r="R771" i="2" s="1"/>
  <c r="S771" i="2" s="1"/>
  <c r="Q915" i="2"/>
  <c r="R915" i="2" s="1"/>
  <c r="S915" i="2" s="1"/>
  <c r="Q457" i="2"/>
  <c r="R457" i="2" s="1"/>
  <c r="S457" i="2" s="1"/>
  <c r="Q115" i="2"/>
  <c r="R115" i="2" s="1"/>
  <c r="S115" i="2" s="1"/>
  <c r="Q419" i="2"/>
  <c r="R419" i="2" s="1"/>
  <c r="S419" i="2" s="1"/>
  <c r="Q875" i="2"/>
  <c r="R875" i="2" s="1"/>
  <c r="S875" i="2" s="1"/>
  <c r="Q609" i="2"/>
  <c r="R609" i="2" s="1"/>
  <c r="S609" i="2" s="1"/>
  <c r="Q300" i="2"/>
  <c r="R300" i="2" s="1"/>
  <c r="S300" i="2" s="1"/>
  <c r="Q372" i="2"/>
  <c r="R372" i="2" s="1"/>
  <c r="S372" i="2" s="1"/>
  <c r="Q484" i="2"/>
  <c r="R484" i="2" s="1"/>
  <c r="S484" i="2" s="1"/>
  <c r="Q556" i="2"/>
  <c r="R556" i="2" s="1"/>
  <c r="S556" i="2" s="1"/>
  <c r="Q628" i="2"/>
  <c r="R628" i="2" s="1"/>
  <c r="S628" i="2" s="1"/>
  <c r="Q740" i="2"/>
  <c r="R740" i="2" s="1"/>
  <c r="S740" i="2" s="1"/>
  <c r="Q812" i="2"/>
  <c r="R812" i="2" s="1"/>
  <c r="S812" i="2" s="1"/>
  <c r="Q884" i="2"/>
  <c r="R884" i="2" s="1"/>
  <c r="S884" i="2" s="1"/>
  <c r="Q996" i="2"/>
  <c r="R996" i="2" s="1"/>
  <c r="S996" i="2" s="1"/>
  <c r="Q269" i="2"/>
  <c r="R269" i="2" s="1"/>
  <c r="S269" i="2" s="1"/>
  <c r="Q294" i="2"/>
  <c r="R294" i="2" s="1"/>
  <c r="S294" i="2" s="1"/>
  <c r="Q385" i="2"/>
  <c r="R385" i="2" s="1"/>
  <c r="S385" i="2" s="1"/>
  <c r="Q268" i="2"/>
  <c r="R268" i="2" s="1"/>
  <c r="S268" i="2" s="1"/>
  <c r="Q340" i="2"/>
  <c r="R340" i="2" s="1"/>
  <c r="S340" i="2" s="1"/>
  <c r="Q452" i="2"/>
  <c r="R452" i="2" s="1"/>
  <c r="S452" i="2" s="1"/>
  <c r="Q524" i="2"/>
  <c r="R524" i="2" s="1"/>
  <c r="S524" i="2" s="1"/>
  <c r="Q596" i="2"/>
  <c r="R596" i="2" s="1"/>
  <c r="S596" i="2" s="1"/>
  <c r="Q708" i="2"/>
  <c r="R708" i="2" s="1"/>
  <c r="S708" i="2" s="1"/>
  <c r="Q780" i="2"/>
  <c r="R780" i="2" s="1"/>
  <c r="S780" i="2" s="1"/>
  <c r="Q852" i="2"/>
  <c r="R852" i="2" s="1"/>
  <c r="S852" i="2" s="1"/>
  <c r="Q964" i="2"/>
  <c r="R964" i="2" s="1"/>
  <c r="S964" i="2" s="1"/>
  <c r="Q449" i="2"/>
  <c r="R449" i="2" s="1"/>
  <c r="S449" i="2" s="1"/>
  <c r="Q429" i="2"/>
  <c r="R429" i="2" s="1"/>
  <c r="S429" i="2" s="1"/>
  <c r="Q685" i="2"/>
  <c r="R685" i="2" s="1"/>
  <c r="S685" i="2" s="1"/>
  <c r="Q447" i="2"/>
  <c r="R447" i="2" s="1"/>
  <c r="S447" i="2" s="1"/>
  <c r="Q519" i="2"/>
  <c r="R519" i="2" s="1"/>
  <c r="S519" i="2" s="1"/>
  <c r="Q607" i="2"/>
  <c r="R607" i="2" s="1"/>
  <c r="S607" i="2" s="1"/>
  <c r="Q743" i="2"/>
  <c r="R743" i="2" s="1"/>
  <c r="S743" i="2" s="1"/>
  <c r="Q815" i="2"/>
  <c r="R815" i="2" s="1"/>
  <c r="S815" i="2" s="1"/>
  <c r="Q887" i="2"/>
  <c r="R887" i="2" s="1"/>
  <c r="S887" i="2" s="1"/>
  <c r="Q999" i="2"/>
  <c r="R999" i="2" s="1"/>
  <c r="S999" i="2" s="1"/>
  <c r="Q465" i="2"/>
  <c r="R465" i="2" s="1"/>
  <c r="S465" i="2" s="1"/>
  <c r="Q144" i="2"/>
  <c r="R144" i="2" s="1"/>
  <c r="S144" i="2" s="1"/>
  <c r="Q456" i="2"/>
  <c r="R456" i="2" s="1"/>
  <c r="S456" i="2" s="1"/>
  <c r="Q183" i="2"/>
  <c r="R183" i="2" s="1"/>
  <c r="S183" i="2" s="1"/>
  <c r="Q34" i="2"/>
  <c r="R34" i="2" s="1"/>
  <c r="S34" i="2" s="1"/>
  <c r="Q66" i="2"/>
  <c r="R66" i="2" s="1"/>
  <c r="S66" i="2" s="1"/>
  <c r="Q98" i="2"/>
  <c r="R98" i="2" s="1"/>
  <c r="S98" i="2" s="1"/>
  <c r="Q130" i="2"/>
  <c r="R130" i="2" s="1"/>
  <c r="S130" i="2" s="1"/>
  <c r="Q162" i="2"/>
  <c r="R162" i="2" s="1"/>
  <c r="S162" i="2" s="1"/>
  <c r="Q194" i="2"/>
  <c r="R194" i="2" s="1"/>
  <c r="S194" i="2" s="1"/>
  <c r="Q226" i="2"/>
  <c r="R226" i="2" s="1"/>
  <c r="S226" i="2" s="1"/>
  <c r="Q149" i="2"/>
  <c r="R149" i="2" s="1"/>
  <c r="S149" i="2" s="1"/>
  <c r="Q189" i="2"/>
  <c r="R189" i="2" s="1"/>
  <c r="S189" i="2" s="1"/>
  <c r="Q258" i="2"/>
  <c r="R258" i="2" s="1"/>
  <c r="S258" i="2" s="1"/>
  <c r="Q370" i="2"/>
  <c r="R370" i="2" s="1"/>
  <c r="S370" i="2" s="1"/>
  <c r="Q442" i="2"/>
  <c r="R442" i="2" s="1"/>
  <c r="S442" i="2" s="1"/>
  <c r="Q514" i="2"/>
  <c r="R514" i="2" s="1"/>
  <c r="S514" i="2" s="1"/>
  <c r="Q658" i="2"/>
  <c r="R658" i="2" s="1"/>
  <c r="S658" i="2" s="1"/>
  <c r="Q730" i="2"/>
  <c r="R730" i="2" s="1"/>
  <c r="S730" i="2" s="1"/>
  <c r="Q802" i="2"/>
  <c r="R802" i="2" s="1"/>
  <c r="S802" i="2" s="1"/>
  <c r="Q914" i="2"/>
  <c r="R914" i="2" s="1"/>
  <c r="S914" i="2" s="1"/>
  <c r="Q986" i="2"/>
  <c r="R986" i="2" s="1"/>
  <c r="S986" i="2" s="1"/>
  <c r="Q787" i="2"/>
  <c r="R787" i="2" s="1"/>
  <c r="S787" i="2" s="1"/>
  <c r="Q17" i="2"/>
  <c r="R17" i="2" s="1"/>
  <c r="S17" i="2" s="1"/>
  <c r="Q521" i="2"/>
  <c r="R521" i="2" s="1"/>
  <c r="S521" i="2" s="1"/>
  <c r="Q187" i="2"/>
  <c r="R187" i="2" s="1"/>
  <c r="S187" i="2" s="1"/>
  <c r="Q539" i="2"/>
  <c r="R539" i="2" s="1"/>
  <c r="S539" i="2" s="1"/>
  <c r="Q1003" i="2"/>
  <c r="R1003" i="2" s="1"/>
  <c r="S1003" i="2" s="1"/>
  <c r="Q193" i="2"/>
  <c r="R193" i="2" s="1"/>
  <c r="S193" i="2" s="1"/>
  <c r="Q665" i="2"/>
  <c r="R665" i="2" s="1"/>
  <c r="S665" i="2" s="1"/>
  <c r="Q308" i="2"/>
  <c r="R308" i="2" s="1"/>
  <c r="S308" i="2" s="1"/>
  <c r="Q420" i="2"/>
  <c r="R420" i="2" s="1"/>
  <c r="S420" i="2" s="1"/>
  <c r="Q492" i="2"/>
  <c r="R492" i="2" s="1"/>
  <c r="S492" i="2" s="1"/>
  <c r="Q564" i="2"/>
  <c r="R564" i="2" s="1"/>
  <c r="S564" i="2" s="1"/>
  <c r="Q676" i="2"/>
  <c r="R676" i="2" s="1"/>
  <c r="S676" i="2" s="1"/>
  <c r="Q748" i="2"/>
  <c r="R748" i="2" s="1"/>
  <c r="S748" i="2" s="1"/>
  <c r="Q820" i="2"/>
  <c r="R820" i="2" s="1"/>
  <c r="S820" i="2" s="1"/>
  <c r="Q932" i="2"/>
  <c r="R932" i="2" s="1"/>
  <c r="S932" i="2" s="1"/>
  <c r="Q1004" i="2"/>
  <c r="R1004" i="2" s="1"/>
  <c r="S1004" i="2" s="1"/>
  <c r="Q333" i="2"/>
  <c r="R333" i="2" s="1"/>
  <c r="S333" i="2" s="1"/>
  <c r="Q589" i="2"/>
  <c r="R589" i="2" s="1"/>
  <c r="S589" i="2" s="1"/>
  <c r="Q845" i="2"/>
  <c r="R845" i="2" s="1"/>
  <c r="S845" i="2" s="1"/>
  <c r="Q417" i="2"/>
  <c r="R417" i="2" s="1"/>
  <c r="S417" i="2" s="1"/>
  <c r="Q78" i="2"/>
  <c r="R78" i="2" s="1"/>
  <c r="S78" i="2" s="1"/>
  <c r="Q366" i="2"/>
  <c r="R366" i="2" s="1"/>
  <c r="S366" i="2" s="1"/>
  <c r="Q518" i="2"/>
  <c r="R518" i="2" s="1"/>
  <c r="S518" i="2" s="1"/>
  <c r="Q582" i="2"/>
  <c r="R582" i="2" s="1"/>
  <c r="S582" i="2" s="1"/>
  <c r="Q630" i="2"/>
  <c r="R630" i="2" s="1"/>
  <c r="S630" i="2" s="1"/>
  <c r="Q670" i="2"/>
  <c r="R670" i="2" s="1"/>
  <c r="S670" i="2" s="1"/>
  <c r="Q377" i="2"/>
  <c r="R377" i="2" s="1"/>
  <c r="S377" i="2" s="1"/>
  <c r="Q617" i="2"/>
  <c r="R617" i="2" s="1"/>
  <c r="S617" i="2" s="1"/>
  <c r="Q487" i="2"/>
  <c r="R487" i="2" s="1"/>
  <c r="S487" i="2" s="1"/>
  <c r="Q559" i="2"/>
  <c r="R559" i="2" s="1"/>
  <c r="S559" i="2" s="1"/>
  <c r="Q711" i="2"/>
  <c r="R711" i="2" s="1"/>
  <c r="S711" i="2" s="1"/>
  <c r="Q783" i="2"/>
  <c r="R783" i="2" s="1"/>
  <c r="S783" i="2" s="1"/>
  <c r="Q855" i="2"/>
  <c r="R855" i="2" s="1"/>
  <c r="S855" i="2" s="1"/>
  <c r="Q967" i="2"/>
  <c r="R967" i="2" s="1"/>
  <c r="S967" i="2" s="1"/>
  <c r="Q233" i="2"/>
  <c r="R233" i="2" s="1"/>
  <c r="S233" i="2" s="1"/>
  <c r="Q40" i="2"/>
  <c r="R40" i="2" s="1"/>
  <c r="S40" i="2" s="1"/>
  <c r="Q328" i="2"/>
  <c r="R328" i="2" s="1"/>
  <c r="S328" i="2" s="1"/>
  <c r="Q105" i="2"/>
  <c r="R105" i="2" s="1"/>
  <c r="S105" i="2" s="1"/>
  <c r="Q28" i="2"/>
  <c r="R28" i="2" s="1"/>
  <c r="S28" i="2" s="1"/>
  <c r="Q60" i="2"/>
  <c r="R60" i="2" s="1"/>
  <c r="S60" i="2" s="1"/>
  <c r="Q92" i="2"/>
  <c r="R92" i="2" s="1"/>
  <c r="S92" i="2" s="1"/>
  <c r="Q124" i="2"/>
  <c r="R124" i="2" s="1"/>
  <c r="S124" i="2" s="1"/>
  <c r="Q156" i="2"/>
  <c r="R156" i="2" s="1"/>
  <c r="S156" i="2" s="1"/>
  <c r="Q188" i="2"/>
  <c r="R188" i="2" s="1"/>
  <c r="S188" i="2" s="1"/>
  <c r="Q220" i="2"/>
  <c r="R220" i="2" s="1"/>
  <c r="S220" i="2" s="1"/>
  <c r="Q21" i="2"/>
  <c r="R21" i="2" s="1"/>
  <c r="S21" i="2" s="1"/>
  <c r="Q255" i="2"/>
  <c r="R255" i="2" s="1"/>
  <c r="S255" i="2" s="1"/>
  <c r="Q287" i="2"/>
  <c r="R287" i="2" s="1"/>
  <c r="S287" i="2" s="1"/>
  <c r="Q319" i="2"/>
  <c r="R319" i="2" s="1"/>
  <c r="S319" i="2" s="1"/>
  <c r="Q351" i="2"/>
  <c r="R351" i="2" s="1"/>
  <c r="S351" i="2" s="1"/>
  <c r="Q383" i="2"/>
  <c r="R383" i="2" s="1"/>
  <c r="S383" i="2" s="1"/>
  <c r="Q51" i="2"/>
  <c r="R51" i="2" s="1"/>
  <c r="S51" i="2" s="1"/>
  <c r="Q91" i="2"/>
  <c r="R91" i="2" s="1"/>
  <c r="S91" i="2" s="1"/>
  <c r="Q123" i="2"/>
  <c r="R123" i="2" s="1"/>
  <c r="S123" i="2" s="1"/>
  <c r="Q163" i="2"/>
  <c r="R163" i="2" s="1"/>
  <c r="S163" i="2" s="1"/>
  <c r="Q195" i="2"/>
  <c r="R195" i="2" s="1"/>
  <c r="S195" i="2" s="1"/>
  <c r="Q235" i="2"/>
  <c r="R235" i="2" s="1"/>
  <c r="S235" i="2" s="1"/>
  <c r="Q275" i="2"/>
  <c r="R275" i="2" s="1"/>
  <c r="S275" i="2" s="1"/>
  <c r="Q307" i="2"/>
  <c r="R307" i="2" s="1"/>
  <c r="S307" i="2" s="1"/>
  <c r="Q347" i="2"/>
  <c r="R347" i="2" s="1"/>
  <c r="S347" i="2" s="1"/>
  <c r="Q379" i="2"/>
  <c r="R379" i="2" s="1"/>
  <c r="S379" i="2" s="1"/>
  <c r="Q427" i="2"/>
  <c r="R427" i="2" s="1"/>
  <c r="S427" i="2" s="1"/>
  <c r="Q483" i="2"/>
  <c r="R483" i="2" s="1"/>
  <c r="S483" i="2" s="1"/>
  <c r="Q547" i="2"/>
  <c r="R547" i="2" s="1"/>
  <c r="S547" i="2" s="1"/>
  <c r="Q603" i="2"/>
  <c r="R603" i="2" s="1"/>
  <c r="S603" i="2" s="1"/>
  <c r="Q691" i="2"/>
  <c r="R691" i="2" s="1"/>
  <c r="S691" i="2" s="1"/>
  <c r="Q723" i="2"/>
  <c r="R723" i="2" s="1"/>
  <c r="S723" i="2" s="1"/>
  <c r="Q763" i="2"/>
  <c r="R763" i="2" s="1"/>
  <c r="S763" i="2" s="1"/>
  <c r="Q827" i="2"/>
  <c r="R827" i="2" s="1"/>
  <c r="S827" i="2" s="1"/>
  <c r="Q891" i="2"/>
  <c r="R891" i="2" s="1"/>
  <c r="S891" i="2" s="1"/>
  <c r="Q955" i="2"/>
  <c r="R955" i="2" s="1"/>
  <c r="S955" i="2" s="1"/>
  <c r="Q89" i="2"/>
  <c r="R89" i="2" s="1"/>
  <c r="S89" i="2" s="1"/>
  <c r="Q273" i="2"/>
  <c r="R273" i="2" s="1"/>
  <c r="S273" i="2" s="1"/>
  <c r="Q505" i="2"/>
  <c r="R505" i="2" s="1"/>
  <c r="S505" i="2" s="1"/>
  <c r="Q213" i="2"/>
  <c r="R213" i="2" s="1"/>
  <c r="S213" i="2" s="1"/>
  <c r="Q245" i="2"/>
  <c r="R245" i="2" s="1"/>
  <c r="S245" i="2" s="1"/>
  <c r="Q277" i="2"/>
  <c r="R277" i="2" s="1"/>
  <c r="S277" i="2" s="1"/>
  <c r="Q309" i="2"/>
  <c r="R309" i="2" s="1"/>
  <c r="S309" i="2" s="1"/>
  <c r="Q341" i="2"/>
  <c r="R341" i="2" s="1"/>
  <c r="S341" i="2" s="1"/>
  <c r="Q373" i="2"/>
  <c r="R373" i="2" s="1"/>
  <c r="S373" i="2" s="1"/>
  <c r="Q405" i="2"/>
  <c r="R405" i="2" s="1"/>
  <c r="S405" i="2" s="1"/>
  <c r="Q437" i="2"/>
  <c r="R437" i="2" s="1"/>
  <c r="S437" i="2" s="1"/>
  <c r="Q469" i="2"/>
  <c r="R469" i="2" s="1"/>
  <c r="S469" i="2" s="1"/>
  <c r="Q501" i="2"/>
  <c r="R501" i="2" s="1"/>
  <c r="S501" i="2" s="1"/>
  <c r="Q533" i="2"/>
  <c r="R533" i="2" s="1"/>
  <c r="S533" i="2" s="1"/>
  <c r="Q565" i="2"/>
  <c r="R565" i="2" s="1"/>
  <c r="S565" i="2" s="1"/>
  <c r="Q597" i="2"/>
  <c r="R597" i="2" s="1"/>
  <c r="S597" i="2" s="1"/>
  <c r="Q629" i="2"/>
  <c r="R629" i="2" s="1"/>
  <c r="S629" i="2" s="1"/>
  <c r="Q661" i="2"/>
  <c r="R661" i="2" s="1"/>
  <c r="S661" i="2" s="1"/>
  <c r="Q693" i="2"/>
  <c r="R693" i="2" s="1"/>
  <c r="S693" i="2" s="1"/>
  <c r="Q725" i="2"/>
  <c r="R725" i="2" s="1"/>
  <c r="S725" i="2" s="1"/>
  <c r="Q757" i="2"/>
  <c r="R757" i="2" s="1"/>
  <c r="S757" i="2" s="1"/>
  <c r="Q789" i="2"/>
  <c r="R789" i="2" s="1"/>
  <c r="S789" i="2" s="1"/>
  <c r="Q821" i="2"/>
  <c r="R821" i="2" s="1"/>
  <c r="S821" i="2" s="1"/>
  <c r="Q853" i="2"/>
  <c r="R853" i="2" s="1"/>
  <c r="S853" i="2" s="1"/>
  <c r="Q885" i="2"/>
  <c r="R885" i="2" s="1"/>
  <c r="S885" i="2" s="1"/>
  <c r="Q917" i="2"/>
  <c r="R917" i="2" s="1"/>
  <c r="S917" i="2" s="1"/>
  <c r="Q949" i="2"/>
  <c r="R949" i="2" s="1"/>
  <c r="S949" i="2" s="1"/>
  <c r="Q981" i="2"/>
  <c r="R981" i="2" s="1"/>
  <c r="S981" i="2" s="1"/>
  <c r="Q14" i="2"/>
  <c r="R14" i="2" s="1"/>
  <c r="S14" i="2" s="1"/>
  <c r="Q46" i="2"/>
  <c r="R46" i="2" s="1"/>
  <c r="S46" i="2" s="1"/>
  <c r="Q86" i="2"/>
  <c r="R86" i="2" s="1"/>
  <c r="S86" i="2" s="1"/>
  <c r="Q126" i="2"/>
  <c r="R126" i="2" s="1"/>
  <c r="S126" i="2" s="1"/>
  <c r="Q158" i="2"/>
  <c r="R158" i="2" s="1"/>
  <c r="S158" i="2" s="1"/>
  <c r="Q198" i="2"/>
  <c r="R198" i="2" s="1"/>
  <c r="S198" i="2" s="1"/>
  <c r="Q230" i="2"/>
  <c r="R230" i="2" s="1"/>
  <c r="S230" i="2" s="1"/>
  <c r="Q270" i="2"/>
  <c r="R270" i="2" s="1"/>
  <c r="S270" i="2" s="1"/>
  <c r="Q302" i="2"/>
  <c r="R302" i="2" s="1"/>
  <c r="S302" i="2" s="1"/>
  <c r="Q342" i="2"/>
  <c r="R342" i="2" s="1"/>
  <c r="S342" i="2" s="1"/>
  <c r="Q382" i="2"/>
  <c r="R382" i="2" s="1"/>
  <c r="S382" i="2" s="1"/>
  <c r="Q414" i="2"/>
  <c r="R414" i="2" s="1"/>
  <c r="S414" i="2" s="1"/>
  <c r="Q470" i="2"/>
  <c r="R470" i="2" s="1"/>
  <c r="S470" i="2" s="1"/>
  <c r="Q526" i="2"/>
  <c r="R526" i="2" s="1"/>
  <c r="S526" i="2" s="1"/>
  <c r="Q8" i="2"/>
  <c r="R8" i="2" s="1"/>
  <c r="S8" i="2" s="1"/>
  <c r="Q48" i="2"/>
  <c r="R48" i="2" s="1"/>
  <c r="S48" i="2" s="1"/>
  <c r="Q80" i="2"/>
  <c r="R80" i="2" s="1"/>
  <c r="S80" i="2" s="1"/>
  <c r="Q120" i="2"/>
  <c r="R120" i="2" s="1"/>
  <c r="S120" i="2" s="1"/>
  <c r="Q152" i="2"/>
  <c r="R152" i="2" s="1"/>
  <c r="S152" i="2" s="1"/>
  <c r="Q192" i="2"/>
  <c r="R192" i="2" s="1"/>
  <c r="S192" i="2" s="1"/>
  <c r="Q232" i="2"/>
  <c r="R232" i="2" s="1"/>
  <c r="S232" i="2" s="1"/>
  <c r="Q264" i="2"/>
  <c r="R264" i="2" s="1"/>
  <c r="S264" i="2" s="1"/>
  <c r="Q304" i="2"/>
  <c r="R304" i="2" s="1"/>
  <c r="S304" i="2" s="1"/>
  <c r="Q336" i="2"/>
  <c r="R336" i="2" s="1"/>
  <c r="S336" i="2" s="1"/>
  <c r="Q376" i="2"/>
  <c r="R376" i="2" s="1"/>
  <c r="S376" i="2" s="1"/>
  <c r="Q432" i="2"/>
  <c r="R432" i="2" s="1"/>
  <c r="S432" i="2" s="1"/>
  <c r="Q472" i="2"/>
  <c r="R472" i="2" s="1"/>
  <c r="S472" i="2" s="1"/>
  <c r="Q520" i="2"/>
  <c r="R520" i="2" s="1"/>
  <c r="S520" i="2" s="1"/>
  <c r="Q576" i="2"/>
  <c r="R576" i="2" s="1"/>
  <c r="S576" i="2" s="1"/>
  <c r="Q632" i="2"/>
  <c r="R632" i="2" s="1"/>
  <c r="S632" i="2" s="1"/>
  <c r="Q680" i="2"/>
  <c r="R680" i="2" s="1"/>
  <c r="S680" i="2" s="1"/>
  <c r="Q161" i="2"/>
  <c r="R161" i="2" s="1"/>
  <c r="S161" i="2" s="1"/>
  <c r="Q369" i="2"/>
  <c r="R369" i="2" s="1"/>
  <c r="S369" i="2" s="1"/>
  <c r="Q569" i="2"/>
  <c r="R569" i="2" s="1"/>
  <c r="S569" i="2" s="1"/>
  <c r="Q31" i="2"/>
  <c r="R31" i="2" s="1"/>
  <c r="S31" i="2" s="1"/>
  <c r="Q63" i="2"/>
  <c r="R63" i="2" s="1"/>
  <c r="S63" i="2" s="1"/>
  <c r="Q95" i="2"/>
  <c r="R95" i="2" s="1"/>
  <c r="S95" i="2" s="1"/>
  <c r="Q127" i="2"/>
  <c r="R127" i="2" s="1"/>
  <c r="S127" i="2" s="1"/>
  <c r="Q159" i="2"/>
  <c r="R159" i="2" s="1"/>
  <c r="S159" i="2" s="1"/>
  <c r="Q191" i="2"/>
  <c r="R191" i="2" s="1"/>
  <c r="S191" i="2" s="1"/>
  <c r="Q223" i="2"/>
  <c r="R223" i="2" s="1"/>
  <c r="S223" i="2" s="1"/>
  <c r="Q36" i="2"/>
  <c r="R36" i="2" s="1"/>
  <c r="S36" i="2" s="1"/>
  <c r="Q68" i="2"/>
  <c r="R68" i="2" s="1"/>
  <c r="S68" i="2" s="1"/>
  <c r="Q100" i="2"/>
  <c r="R100" i="2" s="1"/>
  <c r="S100" i="2" s="1"/>
  <c r="Q132" i="2"/>
  <c r="R132" i="2" s="1"/>
  <c r="S132" i="2" s="1"/>
  <c r="Q164" i="2"/>
  <c r="R164" i="2" s="1"/>
  <c r="S164" i="2" s="1"/>
  <c r="Q196" i="2"/>
  <c r="R196" i="2" s="1"/>
  <c r="S196" i="2" s="1"/>
  <c r="Q228" i="2"/>
  <c r="R228" i="2" s="1"/>
  <c r="S228" i="2" s="1"/>
  <c r="Q29" i="2"/>
  <c r="R29" i="2" s="1"/>
  <c r="S29" i="2" s="1"/>
  <c r="Q61" i="2"/>
  <c r="R61" i="2" s="1"/>
  <c r="S61" i="2" s="1"/>
  <c r="Q93" i="2"/>
  <c r="R93" i="2" s="1"/>
  <c r="S93" i="2" s="1"/>
  <c r="Q263" i="2"/>
  <c r="R263" i="2" s="1"/>
  <c r="S263" i="2" s="1"/>
  <c r="Q295" i="2"/>
  <c r="R295" i="2" s="1"/>
  <c r="S295" i="2" s="1"/>
  <c r="Q327" i="2"/>
  <c r="R327" i="2" s="1"/>
  <c r="S327" i="2" s="1"/>
  <c r="Q359" i="2"/>
  <c r="R359" i="2" s="1"/>
  <c r="S359" i="2" s="1"/>
  <c r="Q391" i="2"/>
  <c r="R391" i="2" s="1"/>
  <c r="S391" i="2" s="1"/>
  <c r="Q23" i="2"/>
  <c r="R23" i="2" s="1"/>
  <c r="S23" i="2" s="1"/>
  <c r="Q59" i="2"/>
  <c r="R59" i="2" s="1"/>
  <c r="S59" i="2" s="1"/>
  <c r="Q99" i="2"/>
  <c r="R99" i="2" s="1"/>
  <c r="S99" i="2" s="1"/>
  <c r="Q131" i="2"/>
  <c r="R131" i="2" s="1"/>
  <c r="S131" i="2" s="1"/>
  <c r="Q171" i="2"/>
  <c r="R171" i="2" s="1"/>
  <c r="S171" i="2" s="1"/>
  <c r="Q211" i="2"/>
  <c r="R211" i="2" s="1"/>
  <c r="S211" i="2" s="1"/>
  <c r="Q243" i="2"/>
  <c r="R243" i="2" s="1"/>
  <c r="S243" i="2" s="1"/>
  <c r="Q283" i="2"/>
  <c r="R283" i="2" s="1"/>
  <c r="S283" i="2" s="1"/>
  <c r="Q315" i="2"/>
  <c r="R315" i="2" s="1"/>
  <c r="S315" i="2" s="1"/>
  <c r="Q355" i="2"/>
  <c r="R355" i="2" s="1"/>
  <c r="S355" i="2" s="1"/>
  <c r="Q387" i="2"/>
  <c r="R387" i="2" s="1"/>
  <c r="S387" i="2" s="1"/>
  <c r="Q435" i="2"/>
  <c r="R435" i="2" s="1"/>
  <c r="S435" i="2" s="1"/>
  <c r="Q491" i="2"/>
  <c r="R491" i="2" s="1"/>
  <c r="S491" i="2" s="1"/>
  <c r="Q555" i="2"/>
  <c r="R555" i="2" s="1"/>
  <c r="S555" i="2" s="1"/>
  <c r="Q627" i="2"/>
  <c r="R627" i="2" s="1"/>
  <c r="S627" i="2" s="1"/>
  <c r="Q699" i="2"/>
  <c r="R699" i="2" s="1"/>
  <c r="S699" i="2" s="1"/>
  <c r="Q731" i="2"/>
  <c r="R731" i="2" s="1"/>
  <c r="S731" i="2" s="1"/>
  <c r="Q779" i="2"/>
  <c r="R779" i="2" s="1"/>
  <c r="S779" i="2" s="1"/>
  <c r="Q843" i="2"/>
  <c r="R843" i="2" s="1"/>
  <c r="S843" i="2" s="1"/>
  <c r="Q907" i="2"/>
  <c r="R907" i="2" s="1"/>
  <c r="S907" i="2" s="1"/>
  <c r="Q971" i="2"/>
  <c r="R971" i="2" s="1"/>
  <c r="S971" i="2" s="1"/>
  <c r="Q137" i="2"/>
  <c r="R137" i="2" s="1"/>
  <c r="S137" i="2" s="1"/>
  <c r="Q345" i="2"/>
  <c r="R345" i="2" s="1"/>
  <c r="S345" i="2" s="1"/>
  <c r="Q553" i="2"/>
  <c r="R553" i="2" s="1"/>
  <c r="S553" i="2" s="1"/>
  <c r="Q221" i="2"/>
  <c r="R221" i="2" s="1"/>
  <c r="S221" i="2" s="1"/>
  <c r="Q253" i="2"/>
  <c r="R253" i="2" s="1"/>
  <c r="S253" i="2" s="1"/>
  <c r="Q285" i="2"/>
  <c r="R285" i="2" s="1"/>
  <c r="S285" i="2" s="1"/>
  <c r="Q317" i="2"/>
  <c r="R317" i="2" s="1"/>
  <c r="S317" i="2" s="1"/>
  <c r="Q349" i="2"/>
  <c r="R349" i="2" s="1"/>
  <c r="S349" i="2" s="1"/>
  <c r="Q381" i="2"/>
  <c r="R381" i="2" s="1"/>
  <c r="S381" i="2" s="1"/>
  <c r="Q413" i="2"/>
  <c r="R413" i="2" s="1"/>
  <c r="S413" i="2" s="1"/>
  <c r="Q445" i="2"/>
  <c r="R445" i="2" s="1"/>
  <c r="S445" i="2" s="1"/>
  <c r="Q477" i="2"/>
  <c r="R477" i="2" s="1"/>
  <c r="S477" i="2" s="1"/>
  <c r="Q509" i="2"/>
  <c r="R509" i="2" s="1"/>
  <c r="S509" i="2" s="1"/>
  <c r="Q541" i="2"/>
  <c r="R541" i="2" s="1"/>
  <c r="S541" i="2" s="1"/>
  <c r="Q573" i="2"/>
  <c r="R573" i="2" s="1"/>
  <c r="S573" i="2" s="1"/>
  <c r="Q605" i="2"/>
  <c r="R605" i="2" s="1"/>
  <c r="S605" i="2" s="1"/>
  <c r="Q637" i="2"/>
  <c r="R637" i="2" s="1"/>
  <c r="S637" i="2" s="1"/>
  <c r="Q669" i="2"/>
  <c r="R669" i="2" s="1"/>
  <c r="S669" i="2" s="1"/>
  <c r="Q701" i="2"/>
  <c r="R701" i="2" s="1"/>
  <c r="S701" i="2" s="1"/>
  <c r="Q733" i="2"/>
  <c r="R733" i="2" s="1"/>
  <c r="S733" i="2" s="1"/>
  <c r="Q765" i="2"/>
  <c r="R765" i="2" s="1"/>
  <c r="S765" i="2" s="1"/>
  <c r="Q797" i="2"/>
  <c r="R797" i="2" s="1"/>
  <c r="S797" i="2" s="1"/>
  <c r="Q829" i="2"/>
  <c r="R829" i="2" s="1"/>
  <c r="S829" i="2" s="1"/>
  <c r="Q861" i="2"/>
  <c r="R861" i="2" s="1"/>
  <c r="S861" i="2" s="1"/>
  <c r="Q893" i="2"/>
  <c r="R893" i="2" s="1"/>
  <c r="S893" i="2" s="1"/>
  <c r="Q925" i="2"/>
  <c r="R925" i="2" s="1"/>
  <c r="S925" i="2" s="1"/>
  <c r="Q957" i="2"/>
  <c r="R957" i="2" s="1"/>
  <c r="S957" i="2" s="1"/>
  <c r="Q989" i="2"/>
  <c r="R989" i="2" s="1"/>
  <c r="S989" i="2" s="1"/>
  <c r="Q22" i="2"/>
  <c r="R22" i="2" s="1"/>
  <c r="S22" i="2" s="1"/>
  <c r="Q62" i="2"/>
  <c r="R62" i="2" s="1"/>
  <c r="S62" i="2" s="1"/>
  <c r="Q94" i="2"/>
  <c r="R94" i="2" s="1"/>
  <c r="S94" i="2" s="1"/>
  <c r="Q134" i="2"/>
  <c r="R134" i="2" s="1"/>
  <c r="S134" i="2" s="1"/>
  <c r="Q166" i="2"/>
  <c r="R166" i="2" s="1"/>
  <c r="S166" i="2" s="1"/>
  <c r="Q206" i="2"/>
  <c r="R206" i="2" s="1"/>
  <c r="S206" i="2" s="1"/>
  <c r="Q238" i="2"/>
  <c r="R238" i="2" s="1"/>
  <c r="S238" i="2" s="1"/>
  <c r="Q278" i="2"/>
  <c r="R278" i="2" s="1"/>
  <c r="S278" i="2" s="1"/>
  <c r="Q318" i="2"/>
  <c r="R318" i="2" s="1"/>
  <c r="S318" i="2" s="1"/>
  <c r="Q350" i="2"/>
  <c r="R350" i="2" s="1"/>
  <c r="S350" i="2" s="1"/>
  <c r="Q390" i="2"/>
  <c r="R390" i="2" s="1"/>
  <c r="S390" i="2" s="1"/>
  <c r="Q430" i="2"/>
  <c r="R430" i="2" s="1"/>
  <c r="S430" i="2" s="1"/>
  <c r="Q478" i="2"/>
  <c r="R478" i="2" s="1"/>
  <c r="S478" i="2" s="1"/>
  <c r="Q534" i="2"/>
  <c r="R534" i="2" s="1"/>
  <c r="S534" i="2" s="1"/>
  <c r="Q16" i="2"/>
  <c r="R16" i="2" s="1"/>
  <c r="S16" i="2" s="1"/>
  <c r="Q56" i="2"/>
  <c r="R56" i="2" s="1"/>
  <c r="S56" i="2" s="1"/>
  <c r="Q88" i="2"/>
  <c r="R88" i="2" s="1"/>
  <c r="S88" i="2" s="1"/>
  <c r="Q128" i="2"/>
  <c r="R128" i="2" s="1"/>
  <c r="S128" i="2" s="1"/>
  <c r="Q168" i="2"/>
  <c r="R168" i="2" s="1"/>
  <c r="S168" i="2" s="1"/>
  <c r="Q200" i="2"/>
  <c r="R200" i="2" s="1"/>
  <c r="S200" i="2" s="1"/>
  <c r="Q240" i="2"/>
  <c r="R240" i="2" s="1"/>
  <c r="S240" i="2" s="1"/>
  <c r="Q272" i="2"/>
  <c r="R272" i="2" s="1"/>
  <c r="S272" i="2" s="1"/>
  <c r="Q312" i="2"/>
  <c r="R312" i="2" s="1"/>
  <c r="S312" i="2" s="1"/>
  <c r="Q344" i="2"/>
  <c r="R344" i="2" s="1"/>
  <c r="S344" i="2" s="1"/>
  <c r="Q384" i="2"/>
  <c r="R384" i="2" s="1"/>
  <c r="S384" i="2" s="1"/>
  <c r="Q440" i="2"/>
  <c r="R440" i="2" s="1"/>
  <c r="S440" i="2" s="1"/>
  <c r="Q496" i="2"/>
  <c r="R496" i="2" s="1"/>
  <c r="S496" i="2" s="1"/>
  <c r="Q536" i="2"/>
  <c r="R536" i="2" s="1"/>
  <c r="S536" i="2" s="1"/>
  <c r="Q584" i="2"/>
  <c r="R584" i="2" s="1"/>
  <c r="S584" i="2" s="1"/>
  <c r="Q640" i="2"/>
  <c r="R640" i="2" s="1"/>
  <c r="S640" i="2" s="1"/>
  <c r="Q9" i="2"/>
  <c r="R9" i="2" s="1"/>
  <c r="S9" i="2" s="1"/>
  <c r="Q209" i="2"/>
  <c r="R209" i="2" s="1"/>
  <c r="S209" i="2" s="1"/>
  <c r="Q425" i="2"/>
  <c r="R425" i="2" s="1"/>
  <c r="S425" i="2" s="1"/>
  <c r="Q625" i="2"/>
  <c r="R625" i="2" s="1"/>
  <c r="S625" i="2" s="1"/>
  <c r="Q7" i="2"/>
  <c r="R7" i="2" s="1"/>
  <c r="S7" i="2" s="1"/>
  <c r="Q39" i="2"/>
  <c r="R39" i="2" s="1"/>
  <c r="S39" i="2" s="1"/>
  <c r="Q71" i="2"/>
  <c r="R71" i="2" s="1"/>
  <c r="S71" i="2" s="1"/>
  <c r="Q103" i="2"/>
  <c r="R103" i="2" s="1"/>
  <c r="S103" i="2" s="1"/>
  <c r="Q135" i="2"/>
  <c r="R135" i="2" s="1"/>
  <c r="S135" i="2" s="1"/>
  <c r="Q167" i="2"/>
  <c r="R167" i="2" s="1"/>
  <c r="S167" i="2" s="1"/>
  <c r="Q199" i="2"/>
  <c r="R199" i="2" s="1"/>
  <c r="S199" i="2" s="1"/>
  <c r="Q231" i="2"/>
  <c r="R231" i="2" s="1"/>
  <c r="S231" i="2" s="1"/>
  <c r="Q12" i="2"/>
  <c r="R12" i="2" s="1"/>
  <c r="S12" i="2" s="1"/>
  <c r="Q44" i="2"/>
  <c r="R44" i="2" s="1"/>
  <c r="S44" i="2" s="1"/>
  <c r="Q76" i="2"/>
  <c r="R76" i="2" s="1"/>
  <c r="S76" i="2" s="1"/>
  <c r="Q108" i="2"/>
  <c r="R108" i="2" s="1"/>
  <c r="S108" i="2" s="1"/>
  <c r="Q140" i="2"/>
  <c r="R140" i="2" s="1"/>
  <c r="S140" i="2" s="1"/>
  <c r="Q172" i="2"/>
  <c r="R172" i="2" s="1"/>
  <c r="S172" i="2" s="1"/>
  <c r="Q204" i="2"/>
  <c r="R204" i="2" s="1"/>
  <c r="S204" i="2" s="1"/>
  <c r="Q236" i="2"/>
  <c r="R236" i="2" s="1"/>
  <c r="S236" i="2" s="1"/>
  <c r="Q37" i="2"/>
  <c r="R37" i="2" s="1"/>
  <c r="S37" i="2" s="1"/>
  <c r="Q69" i="2"/>
  <c r="R69" i="2" s="1"/>
  <c r="S69" i="2" s="1"/>
  <c r="Q101" i="2"/>
  <c r="R101" i="2" s="1"/>
  <c r="S101" i="2" s="1"/>
  <c r="Q133" i="2"/>
  <c r="R133" i="2" s="1"/>
  <c r="S133" i="2" s="1"/>
  <c r="Q165" i="2"/>
  <c r="R165" i="2" s="1"/>
  <c r="S165" i="2" s="1"/>
  <c r="Q197" i="2"/>
  <c r="R197" i="2" s="1"/>
  <c r="S197" i="2" s="1"/>
  <c r="Q239" i="2"/>
  <c r="R239" i="2" s="1"/>
  <c r="S239" i="2" s="1"/>
  <c r="Q271" i="2"/>
  <c r="R271" i="2" s="1"/>
  <c r="S271" i="2" s="1"/>
  <c r="Q303" i="2"/>
  <c r="R303" i="2" s="1"/>
  <c r="S303" i="2" s="1"/>
  <c r="Q335" i="2"/>
  <c r="R335" i="2" s="1"/>
  <c r="S335" i="2" s="1"/>
  <c r="Q367" i="2"/>
  <c r="R367" i="2" s="1"/>
  <c r="S367" i="2" s="1"/>
  <c r="Q399" i="2"/>
  <c r="R399" i="2" s="1"/>
  <c r="S399" i="2" s="1"/>
  <c r="Q87" i="2"/>
  <c r="R87" i="2" s="1"/>
  <c r="S87" i="2" s="1"/>
  <c r="Q67" i="2"/>
  <c r="R67" i="2" s="1"/>
  <c r="S67" i="2" s="1"/>
  <c r="Q107" i="2"/>
  <c r="R107" i="2" s="1"/>
  <c r="S107" i="2" s="1"/>
  <c r="Q147" i="2"/>
  <c r="R147" i="2" s="1"/>
  <c r="S147" i="2" s="1"/>
  <c r="Q179" i="2"/>
  <c r="R179" i="2" s="1"/>
  <c r="S179" i="2" s="1"/>
  <c r="Q219" i="2"/>
  <c r="R219" i="2" s="1"/>
  <c r="S219" i="2" s="1"/>
  <c r="Q251" i="2"/>
  <c r="R251" i="2" s="1"/>
  <c r="S251" i="2" s="1"/>
  <c r="Q291" i="2"/>
  <c r="R291" i="2" s="1"/>
  <c r="S291" i="2" s="1"/>
  <c r="Q323" i="2"/>
  <c r="R323" i="2" s="1"/>
  <c r="S323" i="2" s="1"/>
  <c r="Q363" i="2"/>
  <c r="R363" i="2" s="1"/>
  <c r="S363" i="2" s="1"/>
  <c r="Q411" i="2"/>
  <c r="R411" i="2" s="1"/>
  <c r="S411" i="2" s="1"/>
  <c r="Q451" i="2"/>
  <c r="R451" i="2" s="1"/>
  <c r="S451" i="2" s="1"/>
  <c r="Q499" i="2"/>
  <c r="R499" i="2" s="1"/>
  <c r="S499" i="2" s="1"/>
  <c r="Q563" i="2"/>
  <c r="R563" i="2" s="1"/>
  <c r="S563" i="2" s="1"/>
  <c r="Q643" i="2"/>
  <c r="R643" i="2" s="1"/>
  <c r="S643" i="2" s="1"/>
  <c r="Q707" i="2"/>
  <c r="R707" i="2" s="1"/>
  <c r="S707" i="2" s="1"/>
  <c r="Q739" i="2"/>
  <c r="R739" i="2" s="1"/>
  <c r="S739" i="2" s="1"/>
  <c r="Q795" i="2"/>
  <c r="R795" i="2" s="1"/>
  <c r="S795" i="2" s="1"/>
  <c r="Q859" i="2"/>
  <c r="R859" i="2" s="1"/>
  <c r="S859" i="2" s="1"/>
  <c r="Q923" i="2"/>
  <c r="R923" i="2" s="1"/>
  <c r="S923" i="2" s="1"/>
  <c r="Q987" i="2"/>
  <c r="R987" i="2" s="1"/>
  <c r="S987" i="2" s="1"/>
  <c r="Q177" i="2"/>
  <c r="R177" i="2" s="1"/>
  <c r="S177" i="2" s="1"/>
  <c r="Q393" i="2"/>
  <c r="R393" i="2" s="1"/>
  <c r="S393" i="2" s="1"/>
  <c r="Q601" i="2"/>
  <c r="R601" i="2" s="1"/>
  <c r="S601" i="2" s="1"/>
  <c r="Q229" i="2"/>
  <c r="R229" i="2" s="1"/>
  <c r="S229" i="2" s="1"/>
  <c r="Q261" i="2"/>
  <c r="R261" i="2" s="1"/>
  <c r="S261" i="2" s="1"/>
  <c r="Q293" i="2"/>
  <c r="R293" i="2" s="1"/>
  <c r="S293" i="2" s="1"/>
  <c r="Q325" i="2"/>
  <c r="R325" i="2" s="1"/>
  <c r="S325" i="2" s="1"/>
  <c r="Q357" i="2"/>
  <c r="R357" i="2" s="1"/>
  <c r="S357" i="2" s="1"/>
  <c r="Q389" i="2"/>
  <c r="R389" i="2" s="1"/>
  <c r="S389" i="2" s="1"/>
  <c r="Q421" i="2"/>
  <c r="R421" i="2" s="1"/>
  <c r="S421" i="2" s="1"/>
  <c r="Q453" i="2"/>
  <c r="R453" i="2" s="1"/>
  <c r="S453" i="2" s="1"/>
  <c r="Q485" i="2"/>
  <c r="R485" i="2" s="1"/>
  <c r="S485" i="2" s="1"/>
  <c r="Q517" i="2"/>
  <c r="R517" i="2" s="1"/>
  <c r="S517" i="2" s="1"/>
  <c r="Q549" i="2"/>
  <c r="R549" i="2" s="1"/>
  <c r="S549" i="2" s="1"/>
  <c r="Q581" i="2"/>
  <c r="R581" i="2" s="1"/>
  <c r="S581" i="2" s="1"/>
  <c r="Q613" i="2"/>
  <c r="R613" i="2" s="1"/>
  <c r="S613" i="2" s="1"/>
  <c r="Q645" i="2"/>
  <c r="R645" i="2" s="1"/>
  <c r="S645" i="2" s="1"/>
  <c r="Q677" i="2"/>
  <c r="R677" i="2" s="1"/>
  <c r="S677" i="2" s="1"/>
  <c r="Q709" i="2"/>
  <c r="R709" i="2" s="1"/>
  <c r="S709" i="2" s="1"/>
  <c r="Q741" i="2"/>
  <c r="R741" i="2" s="1"/>
  <c r="S741" i="2" s="1"/>
  <c r="Q773" i="2"/>
  <c r="R773" i="2" s="1"/>
  <c r="S773" i="2" s="1"/>
  <c r="Q805" i="2"/>
  <c r="R805" i="2" s="1"/>
  <c r="S805" i="2" s="1"/>
  <c r="Q837" i="2"/>
  <c r="R837" i="2" s="1"/>
  <c r="S837" i="2" s="1"/>
  <c r="Q869" i="2"/>
  <c r="R869" i="2" s="1"/>
  <c r="S869" i="2" s="1"/>
  <c r="Q901" i="2"/>
  <c r="R901" i="2" s="1"/>
  <c r="S901" i="2" s="1"/>
  <c r="Q933" i="2"/>
  <c r="R933" i="2" s="1"/>
  <c r="S933" i="2" s="1"/>
  <c r="Q965" i="2"/>
  <c r="R965" i="2" s="1"/>
  <c r="S965" i="2" s="1"/>
  <c r="Q997" i="2"/>
  <c r="R997" i="2" s="1"/>
  <c r="S997" i="2" s="1"/>
  <c r="Q30" i="2"/>
  <c r="R30" i="2" s="1"/>
  <c r="S30" i="2" s="1"/>
  <c r="Q70" i="2"/>
  <c r="R70" i="2" s="1"/>
  <c r="S70" i="2" s="1"/>
  <c r="Q102" i="2"/>
  <c r="R102" i="2" s="1"/>
  <c r="S102" i="2" s="1"/>
  <c r="Q142" i="2"/>
  <c r="R142" i="2" s="1"/>
  <c r="S142" i="2" s="1"/>
  <c r="Q174" i="2"/>
  <c r="R174" i="2" s="1"/>
  <c r="S174" i="2" s="1"/>
  <c r="Q214" i="2"/>
  <c r="R214" i="2" s="1"/>
  <c r="S214" i="2" s="1"/>
  <c r="Q254" i="2"/>
  <c r="R254" i="2" s="1"/>
  <c r="S254" i="2" s="1"/>
  <c r="Q286" i="2"/>
  <c r="R286" i="2" s="1"/>
  <c r="S286" i="2" s="1"/>
  <c r="Q326" i="2"/>
  <c r="R326" i="2" s="1"/>
  <c r="S326" i="2" s="1"/>
  <c r="Q358" i="2"/>
  <c r="R358" i="2" s="1"/>
  <c r="S358" i="2" s="1"/>
  <c r="Q398" i="2"/>
  <c r="R398" i="2" s="1"/>
  <c r="S398" i="2" s="1"/>
  <c r="Q454" i="2"/>
  <c r="R454" i="2" s="1"/>
  <c r="S454" i="2" s="1"/>
  <c r="Q24" i="2"/>
  <c r="R24" i="2" s="1"/>
  <c r="S24" i="2" s="1"/>
  <c r="Q64" i="2"/>
  <c r="R64" i="2" s="1"/>
  <c r="S64" i="2" s="1"/>
  <c r="Q104" i="2"/>
  <c r="R104" i="2" s="1"/>
  <c r="S104" i="2" s="1"/>
  <c r="Q136" i="2"/>
  <c r="R136" i="2" s="1"/>
  <c r="S136" i="2" s="1"/>
  <c r="Q176" i="2"/>
  <c r="R176" i="2" s="1"/>
  <c r="S176" i="2" s="1"/>
  <c r="Q208" i="2"/>
  <c r="R208" i="2" s="1"/>
  <c r="S208" i="2" s="1"/>
  <c r="Q248" i="2"/>
  <c r="R248" i="2" s="1"/>
  <c r="S248" i="2" s="1"/>
  <c r="Q280" i="2"/>
  <c r="R280" i="2" s="1"/>
  <c r="S280" i="2" s="1"/>
  <c r="Q320" i="2"/>
  <c r="R320" i="2" s="1"/>
  <c r="S320" i="2" s="1"/>
  <c r="Q360" i="2"/>
  <c r="R360" i="2" s="1"/>
  <c r="S360" i="2" s="1"/>
  <c r="Q392" i="2"/>
  <c r="R392" i="2" s="1"/>
  <c r="S392" i="2" s="1"/>
  <c r="Q448" i="2"/>
  <c r="R448" i="2" s="1"/>
  <c r="S448" i="2" s="1"/>
  <c r="Q504" i="2"/>
  <c r="R504" i="2" s="1"/>
  <c r="S504" i="2" s="1"/>
  <c r="Q560" i="2"/>
  <c r="R560" i="2" s="1"/>
  <c r="S560" i="2" s="1"/>
  <c r="Q592" i="2"/>
  <c r="R592" i="2" s="1"/>
  <c r="S592" i="2" s="1"/>
  <c r="Q648" i="2"/>
  <c r="R648" i="2" s="1"/>
  <c r="S648" i="2" s="1"/>
  <c r="Q57" i="2"/>
  <c r="R57" i="2" s="1"/>
  <c r="S57" i="2" s="1"/>
  <c r="Q265" i="2"/>
  <c r="R265" i="2" s="1"/>
  <c r="S265" i="2" s="1"/>
  <c r="Q481" i="2"/>
  <c r="R481" i="2" s="1"/>
  <c r="S481" i="2" s="1"/>
  <c r="Q681" i="2"/>
  <c r="R681" i="2" s="1"/>
  <c r="S681" i="2" s="1"/>
  <c r="Q55" i="2"/>
  <c r="R55" i="2" s="1"/>
  <c r="S55" i="2" s="1"/>
  <c r="Q15" i="2"/>
  <c r="R15" i="2" s="1"/>
  <c r="S15" i="2" s="1"/>
  <c r="Q47" i="2"/>
  <c r="R47" i="2" s="1"/>
  <c r="S47" i="2" s="1"/>
  <c r="Q79" i="2"/>
  <c r="R79" i="2" s="1"/>
  <c r="S79" i="2" s="1"/>
  <c r="Q111" i="2"/>
  <c r="R111" i="2" s="1"/>
  <c r="S111" i="2" s="1"/>
  <c r="Q143" i="2"/>
  <c r="R143" i="2" s="1"/>
  <c r="S143" i="2" s="1"/>
  <c r="Q175" i="2"/>
  <c r="R175" i="2" s="1"/>
  <c r="S175" i="2" s="1"/>
  <c r="Q207" i="2"/>
  <c r="R207" i="2" s="1"/>
  <c r="S207" i="2" s="1"/>
  <c r="Q20" i="2"/>
  <c r="R20" i="2" s="1"/>
  <c r="S20" i="2" s="1"/>
  <c r="Q52" i="2"/>
  <c r="R52" i="2" s="1"/>
  <c r="S52" i="2" s="1"/>
  <c r="Q84" i="2"/>
  <c r="R84" i="2" s="1"/>
  <c r="S84" i="2" s="1"/>
  <c r="Q116" i="2"/>
  <c r="R116" i="2" s="1"/>
  <c r="S116" i="2" s="1"/>
  <c r="Q148" i="2"/>
  <c r="R148" i="2" s="1"/>
  <c r="S148" i="2" s="1"/>
  <c r="Q180" i="2"/>
  <c r="R180" i="2" s="1"/>
  <c r="S180" i="2" s="1"/>
  <c r="Q212" i="2"/>
  <c r="R212" i="2" s="1"/>
  <c r="S212" i="2" s="1"/>
  <c r="Q13" i="2"/>
  <c r="R13" i="2" s="1"/>
  <c r="S13" i="2" s="1"/>
  <c r="Q45" i="2"/>
  <c r="R45" i="2" s="1"/>
  <c r="S45" i="2" s="1"/>
  <c r="Q77" i="2"/>
  <c r="R77" i="2" s="1"/>
  <c r="S77" i="2" s="1"/>
  <c r="Q109" i="2"/>
  <c r="R109" i="2" s="1"/>
  <c r="S109" i="2" s="1"/>
  <c r="Q141" i="2"/>
  <c r="R141" i="2" s="1"/>
  <c r="S141" i="2" s="1"/>
  <c r="Q173" i="2"/>
  <c r="R173" i="2" s="1"/>
  <c r="S173" i="2" s="1"/>
  <c r="Q205" i="2"/>
  <c r="R205" i="2" s="1"/>
  <c r="S205" i="2" s="1"/>
  <c r="Q266" i="2"/>
  <c r="R266" i="2" s="1"/>
  <c r="S266" i="2" s="1"/>
  <c r="Q298" i="2"/>
  <c r="R298" i="2" s="1"/>
  <c r="S298" i="2" s="1"/>
  <c r="Q330" i="2"/>
  <c r="R330" i="2" s="1"/>
  <c r="S330" i="2" s="1"/>
  <c r="Q362" i="2"/>
  <c r="R362" i="2" s="1"/>
  <c r="S362" i="2" s="1"/>
  <c r="Q394" i="2"/>
  <c r="R394" i="2" s="1"/>
  <c r="S394" i="2" s="1"/>
  <c r="Q426" i="2"/>
  <c r="R426" i="2" s="1"/>
  <c r="S426" i="2" s="1"/>
  <c r="Q458" i="2"/>
  <c r="R458" i="2" s="1"/>
  <c r="S458" i="2" s="1"/>
  <c r="Q490" i="2"/>
  <c r="R490" i="2" s="1"/>
  <c r="S490" i="2" s="1"/>
  <c r="Q522" i="2"/>
  <c r="R522" i="2" s="1"/>
  <c r="S522" i="2" s="1"/>
  <c r="Q554" i="2"/>
  <c r="R554" i="2" s="1"/>
  <c r="S554" i="2" s="1"/>
  <c r="Q594" i="2"/>
  <c r="R594" i="2" s="1"/>
  <c r="S594" i="2" s="1"/>
  <c r="Q642" i="2"/>
  <c r="R642" i="2" s="1"/>
  <c r="S642" i="2" s="1"/>
  <c r="Q682" i="2"/>
  <c r="R682" i="2" s="1"/>
  <c r="S682" i="2" s="1"/>
  <c r="Q714" i="2"/>
  <c r="R714" i="2" s="1"/>
  <c r="S714" i="2" s="1"/>
  <c r="Q746" i="2"/>
  <c r="R746" i="2" s="1"/>
  <c r="S746" i="2" s="1"/>
  <c r="Q778" i="2"/>
  <c r="R778" i="2" s="1"/>
  <c r="S778" i="2" s="1"/>
  <c r="Q810" i="2"/>
  <c r="R810" i="2" s="1"/>
  <c r="S810" i="2" s="1"/>
  <c r="Q842" i="2"/>
  <c r="R842" i="2" s="1"/>
  <c r="S842" i="2" s="1"/>
  <c r="Q874" i="2"/>
  <c r="R874" i="2" s="1"/>
  <c r="S874" i="2" s="1"/>
  <c r="Q906" i="2"/>
  <c r="R906" i="2" s="1"/>
  <c r="S906" i="2" s="1"/>
  <c r="Q938" i="2"/>
  <c r="R938" i="2" s="1"/>
  <c r="S938" i="2" s="1"/>
  <c r="Q970" i="2"/>
  <c r="R970" i="2" s="1"/>
  <c r="S970" i="2" s="1"/>
  <c r="Q1002" i="2"/>
  <c r="R1002" i="2" s="1"/>
  <c r="S1002" i="2" s="1"/>
  <c r="Q667" i="2"/>
  <c r="R667" i="2" s="1"/>
  <c r="S667" i="2" s="1"/>
  <c r="Q803" i="2"/>
  <c r="R803" i="2" s="1"/>
  <c r="S803" i="2" s="1"/>
  <c r="Q867" i="2"/>
  <c r="R867" i="2" s="1"/>
  <c r="S867" i="2" s="1"/>
  <c r="Q931" i="2"/>
  <c r="R931" i="2" s="1"/>
  <c r="S931" i="2" s="1"/>
  <c r="Q995" i="2"/>
  <c r="R995" i="2" s="1"/>
  <c r="S995" i="2" s="1"/>
  <c r="Q169" i="2"/>
  <c r="R169" i="2" s="1"/>
  <c r="S169" i="2" s="1"/>
  <c r="Q401" i="2"/>
  <c r="R401" i="2" s="1"/>
  <c r="S401" i="2" s="1"/>
  <c r="Q657" i="2"/>
  <c r="R657" i="2" s="1"/>
  <c r="S657" i="2" s="1"/>
  <c r="Q145" i="2"/>
  <c r="R145" i="2" s="1"/>
  <c r="S145" i="2" s="1"/>
  <c r="Q337" i="2"/>
  <c r="R337" i="2" s="1"/>
  <c r="S337" i="2" s="1"/>
  <c r="Q561" i="2"/>
  <c r="R561" i="2" s="1"/>
  <c r="S561" i="2" s="1"/>
  <c r="Q252" i="2"/>
  <c r="R252" i="2" s="1"/>
  <c r="S252" i="2" s="1"/>
  <c r="Q284" i="2"/>
  <c r="R284" i="2" s="1"/>
  <c r="S284" i="2" s="1"/>
  <c r="Q316" i="2"/>
  <c r="R316" i="2" s="1"/>
  <c r="S316" i="2" s="1"/>
  <c r="Q348" i="2"/>
  <c r="R348" i="2" s="1"/>
  <c r="S348" i="2" s="1"/>
  <c r="Q380" i="2"/>
  <c r="R380" i="2" s="1"/>
  <c r="S380" i="2" s="1"/>
  <c r="Q412" i="2"/>
  <c r="R412" i="2" s="1"/>
  <c r="S412" i="2" s="1"/>
  <c r="Q444" i="2"/>
  <c r="R444" i="2" s="1"/>
  <c r="S444" i="2" s="1"/>
  <c r="Q476" i="2"/>
  <c r="R476" i="2" s="1"/>
  <c r="S476" i="2" s="1"/>
  <c r="Q508" i="2"/>
  <c r="R508" i="2" s="1"/>
  <c r="S508" i="2" s="1"/>
  <c r="Q540" i="2"/>
  <c r="R540" i="2" s="1"/>
  <c r="S540" i="2" s="1"/>
  <c r="Q572" i="2"/>
  <c r="R572" i="2" s="1"/>
  <c r="S572" i="2" s="1"/>
  <c r="Q604" i="2"/>
  <c r="R604" i="2" s="1"/>
  <c r="S604" i="2" s="1"/>
  <c r="Q636" i="2"/>
  <c r="R636" i="2" s="1"/>
  <c r="S636" i="2" s="1"/>
  <c r="Q668" i="2"/>
  <c r="R668" i="2" s="1"/>
  <c r="S668" i="2" s="1"/>
  <c r="Q700" i="2"/>
  <c r="R700" i="2" s="1"/>
  <c r="S700" i="2" s="1"/>
  <c r="Q732" i="2"/>
  <c r="R732" i="2" s="1"/>
  <c r="S732" i="2" s="1"/>
  <c r="Q764" i="2"/>
  <c r="R764" i="2" s="1"/>
  <c r="S764" i="2" s="1"/>
  <c r="Q796" i="2"/>
  <c r="R796" i="2" s="1"/>
  <c r="S796" i="2" s="1"/>
  <c r="Q828" i="2"/>
  <c r="R828" i="2" s="1"/>
  <c r="S828" i="2" s="1"/>
  <c r="Q860" i="2"/>
  <c r="R860" i="2" s="1"/>
  <c r="S860" i="2" s="1"/>
  <c r="Q892" i="2"/>
  <c r="R892" i="2" s="1"/>
  <c r="S892" i="2" s="1"/>
  <c r="Q924" i="2"/>
  <c r="R924" i="2" s="1"/>
  <c r="S924" i="2" s="1"/>
  <c r="Q956" i="2"/>
  <c r="R956" i="2" s="1"/>
  <c r="S956" i="2" s="1"/>
  <c r="Q988" i="2"/>
  <c r="R988" i="2" s="1"/>
  <c r="S988" i="2" s="1"/>
  <c r="Q153" i="2"/>
  <c r="R153" i="2" s="1"/>
  <c r="S153" i="2" s="1"/>
  <c r="Q361" i="2"/>
  <c r="R361" i="2" s="1"/>
  <c r="S361" i="2" s="1"/>
  <c r="Q585" i="2"/>
  <c r="R585" i="2" s="1"/>
  <c r="S585" i="2" s="1"/>
  <c r="Q247" i="2"/>
  <c r="R247" i="2" s="1"/>
  <c r="S247" i="2" s="1"/>
  <c r="Q279" i="2"/>
  <c r="R279" i="2" s="1"/>
  <c r="S279" i="2" s="1"/>
  <c r="Q311" i="2"/>
  <c r="R311" i="2" s="1"/>
  <c r="S311" i="2" s="1"/>
  <c r="Q343" i="2"/>
  <c r="R343" i="2" s="1"/>
  <c r="S343" i="2" s="1"/>
  <c r="Q375" i="2"/>
  <c r="R375" i="2" s="1"/>
  <c r="S375" i="2" s="1"/>
  <c r="Q407" i="2"/>
  <c r="R407" i="2" s="1"/>
  <c r="S407" i="2" s="1"/>
  <c r="Q439" i="2"/>
  <c r="R439" i="2" s="1"/>
  <c r="S439" i="2" s="1"/>
  <c r="Q471" i="2"/>
  <c r="R471" i="2" s="1"/>
  <c r="S471" i="2" s="1"/>
  <c r="Q503" i="2"/>
  <c r="R503" i="2" s="1"/>
  <c r="S503" i="2" s="1"/>
  <c r="Q535" i="2"/>
  <c r="R535" i="2" s="1"/>
  <c r="S535" i="2" s="1"/>
  <c r="Q567" i="2"/>
  <c r="R567" i="2" s="1"/>
  <c r="S567" i="2" s="1"/>
  <c r="Q615" i="2"/>
  <c r="R615" i="2" s="1"/>
  <c r="S615" i="2" s="1"/>
  <c r="Q671" i="2"/>
  <c r="R671" i="2" s="1"/>
  <c r="S671" i="2" s="1"/>
  <c r="Q703" i="2"/>
  <c r="R703" i="2" s="1"/>
  <c r="S703" i="2" s="1"/>
  <c r="Q735" i="2"/>
  <c r="R735" i="2" s="1"/>
  <c r="S735" i="2" s="1"/>
  <c r="Q767" i="2"/>
  <c r="R767" i="2" s="1"/>
  <c r="S767" i="2" s="1"/>
  <c r="Q799" i="2"/>
  <c r="R799" i="2" s="1"/>
  <c r="S799" i="2" s="1"/>
  <c r="Q831" i="2"/>
  <c r="R831" i="2" s="1"/>
  <c r="S831" i="2" s="1"/>
  <c r="Q863" i="2"/>
  <c r="R863" i="2" s="1"/>
  <c r="S863" i="2" s="1"/>
  <c r="Q895" i="2"/>
  <c r="R895" i="2" s="1"/>
  <c r="S895" i="2" s="1"/>
  <c r="Q927" i="2"/>
  <c r="R927" i="2" s="1"/>
  <c r="S927" i="2" s="1"/>
  <c r="Q959" i="2"/>
  <c r="R959" i="2" s="1"/>
  <c r="S959" i="2" s="1"/>
  <c r="Q991" i="2"/>
  <c r="R991" i="2" s="1"/>
  <c r="S991" i="2" s="1"/>
  <c r="Q129" i="2"/>
  <c r="R129" i="2" s="1"/>
  <c r="S129" i="2" s="1"/>
  <c r="Q353" i="2"/>
  <c r="R353" i="2" s="1"/>
  <c r="S353" i="2" s="1"/>
  <c r="Q593" i="2"/>
  <c r="R593" i="2" s="1"/>
  <c r="S593" i="2" s="1"/>
  <c r="C12" i="4" l="1"/>
  <c r="Q368" i="3"/>
  <c r="R368" i="3" s="1"/>
  <c r="S368" i="3" s="1"/>
  <c r="Q174" i="3"/>
  <c r="R174" i="3" s="1"/>
  <c r="S174" i="3" s="1"/>
  <c r="Q750" i="3"/>
  <c r="R750" i="3" s="1"/>
  <c r="S750" i="3" s="1"/>
  <c r="Q818" i="3"/>
  <c r="R818" i="3" s="1"/>
  <c r="S818" i="3" s="1"/>
  <c r="Q909" i="3"/>
  <c r="R909" i="3" s="1"/>
  <c r="S909" i="3" s="1"/>
  <c r="Q838" i="3"/>
  <c r="R838" i="3" s="1"/>
  <c r="S838" i="3" s="1"/>
  <c r="Q795" i="3"/>
  <c r="R795" i="3" s="1"/>
  <c r="S795" i="3" s="1"/>
  <c r="Q936" i="3"/>
  <c r="R936" i="3" s="1"/>
  <c r="S936" i="3" s="1"/>
  <c r="Q814" i="3"/>
  <c r="R814" i="3" s="1"/>
  <c r="S814" i="3" s="1"/>
  <c r="Q7" i="3"/>
  <c r="R7" i="3" s="1"/>
  <c r="S7" i="3" s="1"/>
  <c r="Q693" i="3"/>
  <c r="R693" i="3" s="1"/>
  <c r="S693" i="3" s="1"/>
  <c r="Q896" i="3"/>
  <c r="R896" i="3" s="1"/>
  <c r="S896" i="3" s="1"/>
  <c r="Q189" i="3"/>
  <c r="R189" i="3" s="1"/>
  <c r="S189" i="3" s="1"/>
  <c r="Q151" i="3"/>
  <c r="R151" i="3" s="1"/>
  <c r="S151" i="3" s="1"/>
  <c r="Q190" i="3"/>
  <c r="R190" i="3" s="1"/>
  <c r="S190" i="3" s="1"/>
  <c r="Q870" i="3"/>
  <c r="R870" i="3" s="1"/>
  <c r="S870" i="3" s="1"/>
  <c r="Q87" i="3"/>
  <c r="R87" i="3" s="1"/>
  <c r="S87" i="3" s="1"/>
  <c r="Q758" i="3"/>
  <c r="R758" i="3" s="1"/>
  <c r="S758" i="3" s="1"/>
  <c r="Q159" i="3"/>
  <c r="R159" i="3" s="1"/>
  <c r="S159" i="3" s="1"/>
  <c r="Q96" i="3"/>
  <c r="R96" i="3" s="1"/>
  <c r="S96" i="3" s="1"/>
  <c r="Q485" i="3"/>
  <c r="R485" i="3" s="1"/>
  <c r="S485" i="3" s="1"/>
  <c r="Q710" i="3"/>
  <c r="R710" i="3" s="1"/>
  <c r="S710" i="3" s="1"/>
  <c r="Q486" i="3"/>
  <c r="R486" i="3" s="1"/>
  <c r="S486" i="3" s="1"/>
  <c r="Q199" i="3"/>
  <c r="R199" i="3" s="1"/>
  <c r="S199" i="3" s="1"/>
  <c r="Q686" i="3"/>
  <c r="R686" i="3" s="1"/>
  <c r="S686" i="3" s="1"/>
  <c r="Q390" i="3"/>
  <c r="R390" i="3" s="1"/>
  <c r="S390" i="3" s="1"/>
  <c r="Q357" i="3"/>
  <c r="R357" i="3" s="1"/>
  <c r="S357" i="3" s="1"/>
  <c r="Q731" i="3"/>
  <c r="R731" i="3" s="1"/>
  <c r="S731" i="3" s="1"/>
  <c r="Q846" i="3"/>
  <c r="R846" i="3" s="1"/>
  <c r="S846" i="3" s="1"/>
  <c r="Q422" i="3"/>
  <c r="R422" i="3" s="1"/>
  <c r="S422" i="3" s="1"/>
  <c r="Q381" i="3"/>
  <c r="R381" i="3" s="1"/>
  <c r="S381" i="3" s="1"/>
  <c r="Q128" i="3"/>
  <c r="R128" i="3" s="1"/>
  <c r="S128" i="3" s="1"/>
  <c r="Q584" i="3"/>
  <c r="R584" i="3" s="1"/>
  <c r="S584" i="3" s="1"/>
  <c r="Q542" i="3"/>
  <c r="R542" i="3" s="1"/>
  <c r="S542" i="3" s="1"/>
  <c r="Q86" i="3"/>
  <c r="R86" i="3" s="1"/>
  <c r="S86" i="3" s="1"/>
  <c r="Q238" i="3"/>
  <c r="R238" i="3" s="1"/>
  <c r="S238" i="3" s="1"/>
  <c r="Q941" i="3"/>
  <c r="R941" i="3" s="1"/>
  <c r="S941" i="3" s="1"/>
  <c r="Q488" i="3"/>
  <c r="R488" i="3" s="1"/>
  <c r="S488" i="3" s="1"/>
  <c r="Q64" i="3"/>
  <c r="R64" i="3" s="1"/>
  <c r="S64" i="3" s="1"/>
  <c r="Q327" i="3"/>
  <c r="R327" i="3" s="1"/>
  <c r="S327" i="3" s="1"/>
  <c r="Q792" i="3"/>
  <c r="R792" i="3" s="1"/>
  <c r="S792" i="3" s="1"/>
  <c r="Q215" i="3"/>
  <c r="R215" i="3" s="1"/>
  <c r="S215" i="3" s="1"/>
  <c r="Q917" i="3"/>
  <c r="R917" i="3" s="1"/>
  <c r="S917" i="3" s="1"/>
  <c r="Q192" i="3"/>
  <c r="R192" i="3" s="1"/>
  <c r="S192" i="3" s="1"/>
  <c r="Q343" i="3"/>
  <c r="R343" i="3" s="1"/>
  <c r="S343" i="3" s="1"/>
  <c r="Q421" i="3"/>
  <c r="R421" i="3" s="1"/>
  <c r="S421" i="3" s="1"/>
  <c r="Q462" i="3"/>
  <c r="R462" i="3" s="1"/>
  <c r="S462" i="3" s="1"/>
  <c r="Q853" i="3"/>
  <c r="R853" i="3" s="1"/>
  <c r="S853" i="3" s="1"/>
  <c r="Q520" i="3"/>
  <c r="R520" i="3" s="1"/>
  <c r="S520" i="3" s="1"/>
  <c r="Q574" i="3"/>
  <c r="R574" i="3" s="1"/>
  <c r="S574" i="3" s="1"/>
  <c r="Q933" i="3"/>
  <c r="R933" i="3" s="1"/>
  <c r="S933" i="3" s="1"/>
  <c r="Q558" i="3"/>
  <c r="R558" i="3" s="1"/>
  <c r="S558" i="3" s="1"/>
  <c r="Q619" i="3"/>
  <c r="R619" i="3" s="1"/>
  <c r="S619" i="3" s="1"/>
  <c r="Q763" i="3"/>
  <c r="R763" i="3" s="1"/>
  <c r="S763" i="3" s="1"/>
  <c r="Q279" i="3"/>
  <c r="R279" i="3" s="1"/>
  <c r="S279" i="3" s="1"/>
  <c r="Q408" i="3"/>
  <c r="R408" i="3" s="1"/>
  <c r="S408" i="3" s="1"/>
  <c r="Q614" i="3"/>
  <c r="R614" i="3" s="1"/>
  <c r="S614" i="3" s="1"/>
  <c r="Q165" i="3"/>
  <c r="R165" i="3" s="1"/>
  <c r="S165" i="3" s="1"/>
  <c r="Q827" i="3"/>
  <c r="R827" i="3" s="1"/>
  <c r="S827" i="3" s="1"/>
  <c r="Q678" i="3"/>
  <c r="R678" i="3" s="1"/>
  <c r="S678" i="3" s="1"/>
  <c r="Q78" i="3"/>
  <c r="R78" i="3" s="1"/>
  <c r="S78" i="3" s="1"/>
  <c r="Q31" i="3"/>
  <c r="R31" i="3" s="1"/>
  <c r="S31" i="3" s="1"/>
  <c r="Q891" i="3"/>
  <c r="R891" i="3" s="1"/>
  <c r="S891" i="3" s="1"/>
  <c r="Q438" i="3"/>
  <c r="R438" i="3" s="1"/>
  <c r="S438" i="3" s="1"/>
  <c r="Q757" i="3"/>
  <c r="R757" i="3" s="1"/>
  <c r="S757" i="3" s="1"/>
  <c r="Q229" i="3"/>
  <c r="R229" i="3" s="1"/>
  <c r="S229" i="3" s="1"/>
  <c r="Q318" i="3"/>
  <c r="R318" i="3" s="1"/>
  <c r="S318" i="3" s="1"/>
  <c r="Q774" i="3"/>
  <c r="R774" i="3" s="1"/>
  <c r="S774" i="3" s="1"/>
  <c r="Q302" i="3"/>
  <c r="R302" i="3" s="1"/>
  <c r="S302" i="3" s="1"/>
  <c r="Q517" i="3"/>
  <c r="R517" i="3" s="1"/>
  <c r="S517" i="3" s="1"/>
  <c r="Q552" i="3"/>
  <c r="R552" i="3" s="1"/>
  <c r="S552" i="3" s="1"/>
  <c r="Q328" i="3"/>
  <c r="R328" i="3" s="1"/>
  <c r="S328" i="3" s="1"/>
  <c r="Q254" i="3"/>
  <c r="R254" i="3" s="1"/>
  <c r="S254" i="3" s="1"/>
  <c r="Q37" i="3"/>
  <c r="R37" i="3" s="1"/>
  <c r="S37" i="3" s="1"/>
  <c r="Q946" i="3"/>
  <c r="R946" i="3" s="1"/>
  <c r="S946" i="3" s="1"/>
  <c r="Q606" i="3"/>
  <c r="R606" i="3" s="1"/>
  <c r="S606" i="3" s="1"/>
  <c r="Q325" i="3"/>
  <c r="R325" i="3" s="1"/>
  <c r="S325" i="3" s="1"/>
  <c r="Q662" i="3"/>
  <c r="R662" i="3" s="1"/>
  <c r="S662" i="3" s="1"/>
  <c r="Q1000" i="3"/>
  <c r="R1000" i="3" s="1"/>
  <c r="S1000" i="3" s="1"/>
  <c r="Q718" i="3"/>
  <c r="R718" i="3" s="1"/>
  <c r="S718" i="3" s="1"/>
  <c r="Q613" i="3"/>
  <c r="R613" i="3" s="1"/>
  <c r="S613" i="3" s="1"/>
  <c r="Q101" i="3"/>
  <c r="R101" i="3" s="1"/>
  <c r="S101" i="3" s="1"/>
  <c r="Q987" i="3"/>
  <c r="R987" i="3" s="1"/>
  <c r="S987" i="3" s="1"/>
  <c r="Q702" i="3"/>
  <c r="R702" i="3" s="1"/>
  <c r="S702" i="3" s="1"/>
  <c r="Q722" i="3"/>
  <c r="R722" i="3" s="1"/>
  <c r="S722" i="3" s="1"/>
  <c r="Q470" i="3"/>
  <c r="R470" i="3" s="1"/>
  <c r="S470" i="3" s="1"/>
  <c r="Q549" i="3"/>
  <c r="R549" i="3" s="1"/>
  <c r="S549" i="3" s="1"/>
  <c r="Q894" i="3"/>
  <c r="R894" i="3" s="1"/>
  <c r="S894" i="3" s="1"/>
  <c r="Q518" i="3"/>
  <c r="R518" i="3" s="1"/>
  <c r="S518" i="3" s="1"/>
  <c r="Q263" i="3"/>
  <c r="R263" i="3" s="1"/>
  <c r="S263" i="3" s="1"/>
  <c r="Q46" i="3"/>
  <c r="R46" i="3" s="1"/>
  <c r="S46" i="3" s="1"/>
  <c r="Q430" i="3"/>
  <c r="R430" i="3" s="1"/>
  <c r="S430" i="3" s="1"/>
  <c r="Q22" i="3"/>
  <c r="R22" i="3" s="1"/>
  <c r="S22" i="3" s="1"/>
  <c r="Q998" i="3"/>
  <c r="R998" i="3" s="1"/>
  <c r="S998" i="3" s="1"/>
  <c r="Q14" i="3"/>
  <c r="R14" i="3" s="1"/>
  <c r="S14" i="3" s="1"/>
  <c r="Q685" i="3"/>
  <c r="R685" i="3" s="1"/>
  <c r="S685" i="3" s="1"/>
  <c r="Q413" i="3"/>
  <c r="R413" i="3" s="1"/>
  <c r="S413" i="3" s="1"/>
  <c r="Q157" i="3"/>
  <c r="R157" i="3" s="1"/>
  <c r="S157" i="3" s="1"/>
  <c r="Q978" i="3"/>
  <c r="R978" i="3" s="1"/>
  <c r="S978" i="3" s="1"/>
  <c r="Q886" i="3"/>
  <c r="R886" i="3" s="1"/>
  <c r="S886" i="3" s="1"/>
  <c r="Q598" i="3"/>
  <c r="R598" i="3" s="1"/>
  <c r="S598" i="3" s="1"/>
  <c r="Q135" i="3"/>
  <c r="R135" i="3" s="1"/>
  <c r="S135" i="3" s="1"/>
  <c r="Q70" i="3"/>
  <c r="R70" i="3" s="1"/>
  <c r="S70" i="3" s="1"/>
  <c r="Q453" i="3"/>
  <c r="R453" i="3" s="1"/>
  <c r="S453" i="3" s="1"/>
  <c r="Q968" i="3"/>
  <c r="R968" i="3" s="1"/>
  <c r="S968" i="3" s="1"/>
  <c r="Q734" i="3"/>
  <c r="R734" i="3" s="1"/>
  <c r="S734" i="3" s="1"/>
  <c r="Q446" i="3"/>
  <c r="R446" i="3" s="1"/>
  <c r="S446" i="3" s="1"/>
  <c r="Q366" i="3"/>
  <c r="R366" i="3" s="1"/>
  <c r="S366" i="3" s="1"/>
  <c r="Q850" i="3"/>
  <c r="R850" i="3" s="1"/>
  <c r="S850" i="3" s="1"/>
  <c r="Q448" i="3"/>
  <c r="R448" i="3" s="1"/>
  <c r="S448" i="3" s="1"/>
  <c r="Q160" i="3"/>
  <c r="R160" i="3" s="1"/>
  <c r="S160" i="3" s="1"/>
  <c r="Q798" i="3"/>
  <c r="R798" i="3" s="1"/>
  <c r="S798" i="3" s="1"/>
  <c r="Q502" i="3"/>
  <c r="R502" i="3" s="1"/>
  <c r="S502" i="3" s="1"/>
  <c r="Q103" i="3"/>
  <c r="R103" i="3" s="1"/>
  <c r="S103" i="3" s="1"/>
  <c r="Q645" i="3"/>
  <c r="R645" i="3" s="1"/>
  <c r="S645" i="3" s="1"/>
  <c r="Q133" i="3"/>
  <c r="R133" i="3" s="1"/>
  <c r="S133" i="3" s="1"/>
  <c r="Q648" i="3"/>
  <c r="R648" i="3" s="1"/>
  <c r="S648" i="3" s="1"/>
  <c r="Q622" i="3"/>
  <c r="R622" i="3" s="1"/>
  <c r="S622" i="3" s="1"/>
  <c r="Q351" i="3"/>
  <c r="R351" i="3" s="1"/>
  <c r="S351" i="3" s="1"/>
  <c r="Q110" i="3"/>
  <c r="R110" i="3" s="1"/>
  <c r="S110" i="3" s="1"/>
  <c r="Q509" i="3"/>
  <c r="R509" i="3" s="1"/>
  <c r="S509" i="3" s="1"/>
  <c r="Q864" i="3"/>
  <c r="R864" i="3" s="1"/>
  <c r="S864" i="3" s="1"/>
  <c r="Q264" i="3"/>
  <c r="R264" i="3" s="1"/>
  <c r="S264" i="3" s="1"/>
  <c r="Q830" i="3"/>
  <c r="R830" i="3" s="1"/>
  <c r="S830" i="3" s="1"/>
  <c r="Q534" i="3"/>
  <c r="R534" i="3" s="1"/>
  <c r="S534" i="3" s="1"/>
  <c r="Q47" i="3"/>
  <c r="R47" i="3" s="1"/>
  <c r="S47" i="3" s="1"/>
  <c r="Q821" i="3"/>
  <c r="R821" i="3" s="1"/>
  <c r="S821" i="3" s="1"/>
  <c r="Q293" i="3"/>
  <c r="R293" i="3" s="1"/>
  <c r="S293" i="3" s="1"/>
  <c r="Q658" i="3"/>
  <c r="R658" i="3" s="1"/>
  <c r="S658" i="3" s="1"/>
  <c r="Q822" i="3"/>
  <c r="R822" i="3" s="1"/>
  <c r="S822" i="3" s="1"/>
  <c r="Q526" i="3"/>
  <c r="R526" i="3" s="1"/>
  <c r="S526" i="3" s="1"/>
  <c r="Q39" i="3"/>
  <c r="R39" i="3" s="1"/>
  <c r="S39" i="3" s="1"/>
  <c r="Q901" i="3"/>
  <c r="R901" i="3" s="1"/>
  <c r="S901" i="3" s="1"/>
  <c r="Q845" i="3"/>
  <c r="R845" i="3" s="1"/>
  <c r="S845" i="3" s="1"/>
  <c r="Q573" i="3"/>
  <c r="R573" i="3" s="1"/>
  <c r="S573" i="3" s="1"/>
  <c r="Q317" i="3"/>
  <c r="R317" i="3" s="1"/>
  <c r="S317" i="3" s="1"/>
  <c r="Q61" i="3"/>
  <c r="R61" i="3" s="1"/>
  <c r="S61" i="3" s="1"/>
  <c r="Q690" i="3"/>
  <c r="R690" i="3" s="1"/>
  <c r="S690" i="3" s="1"/>
  <c r="Q782" i="3"/>
  <c r="R782" i="3" s="1"/>
  <c r="S782" i="3" s="1"/>
  <c r="Q494" i="3"/>
  <c r="R494" i="3" s="1"/>
  <c r="S494" i="3" s="1"/>
  <c r="Q95" i="3"/>
  <c r="R95" i="3" s="1"/>
  <c r="S95" i="3" s="1"/>
  <c r="Q877" i="3"/>
  <c r="R877" i="3" s="1"/>
  <c r="S877" i="3" s="1"/>
  <c r="Q605" i="3"/>
  <c r="R605" i="3" s="1"/>
  <c r="S605" i="3" s="1"/>
  <c r="Q349" i="3"/>
  <c r="R349" i="3" s="1"/>
  <c r="S349" i="3" s="1"/>
  <c r="Q93" i="3"/>
  <c r="R93" i="3" s="1"/>
  <c r="S93" i="3" s="1"/>
  <c r="Q786" i="3"/>
  <c r="R786" i="3" s="1"/>
  <c r="S786" i="3" s="1"/>
  <c r="Q926" i="3"/>
  <c r="R926" i="3" s="1"/>
  <c r="S926" i="3" s="1"/>
  <c r="Q638" i="3"/>
  <c r="R638" i="3" s="1"/>
  <c r="S638" i="3" s="1"/>
  <c r="Q391" i="3"/>
  <c r="R391" i="3" s="1"/>
  <c r="S391" i="3" s="1"/>
  <c r="Q126" i="3"/>
  <c r="R126" i="3" s="1"/>
  <c r="S126" i="3" s="1"/>
  <c r="Q626" i="3"/>
  <c r="R626" i="3" s="1"/>
  <c r="S626" i="3" s="1"/>
  <c r="Q813" i="3"/>
  <c r="R813" i="3" s="1"/>
  <c r="S813" i="3" s="1"/>
  <c r="Q541" i="3"/>
  <c r="R541" i="3" s="1"/>
  <c r="S541" i="3" s="1"/>
  <c r="Q285" i="3"/>
  <c r="R285" i="3" s="1"/>
  <c r="S285" i="3" s="1"/>
  <c r="Q29" i="3"/>
  <c r="R29" i="3" s="1"/>
  <c r="S29" i="3" s="1"/>
  <c r="Q680" i="3"/>
  <c r="R680" i="3" s="1"/>
  <c r="S680" i="3" s="1"/>
  <c r="Q742" i="3"/>
  <c r="R742" i="3" s="1"/>
  <c r="S742" i="3" s="1"/>
  <c r="Q454" i="3"/>
  <c r="R454" i="3" s="1"/>
  <c r="S454" i="3" s="1"/>
  <c r="Q382" i="3"/>
  <c r="R382" i="3" s="1"/>
  <c r="S382" i="3" s="1"/>
  <c r="Q725" i="3"/>
  <c r="R725" i="3" s="1"/>
  <c r="S725" i="3" s="1"/>
  <c r="Q197" i="3"/>
  <c r="R197" i="3" s="1"/>
  <c r="S197" i="3" s="1"/>
  <c r="Q635" i="3"/>
  <c r="R635" i="3" s="1"/>
  <c r="S635" i="3" s="1"/>
  <c r="Q878" i="3"/>
  <c r="R878" i="3" s="1"/>
  <c r="S878" i="3" s="1"/>
  <c r="Q582" i="3"/>
  <c r="R582" i="3" s="1"/>
  <c r="S582" i="3" s="1"/>
  <c r="Q111" i="3"/>
  <c r="R111" i="3" s="1"/>
  <c r="S111" i="3" s="1"/>
  <c r="Q62" i="3"/>
  <c r="R62" i="3" s="1"/>
  <c r="S62" i="3" s="1"/>
  <c r="Q923" i="3"/>
  <c r="R923" i="3" s="1"/>
  <c r="S923" i="3" s="1"/>
  <c r="Q720" i="3"/>
  <c r="R720" i="3" s="1"/>
  <c r="S720" i="3" s="1"/>
  <c r="Q296" i="3"/>
  <c r="R296" i="3" s="1"/>
  <c r="S296" i="3" s="1"/>
  <c r="Q32" i="3"/>
  <c r="R32" i="3" s="1"/>
  <c r="S32" i="3" s="1"/>
  <c r="Q654" i="3"/>
  <c r="R654" i="3" s="1"/>
  <c r="S654" i="3" s="1"/>
  <c r="Q415" i="3"/>
  <c r="R415" i="3" s="1"/>
  <c r="S415" i="3" s="1"/>
  <c r="Q326" i="3"/>
  <c r="R326" i="3" s="1"/>
  <c r="S326" i="3" s="1"/>
  <c r="Q885" i="3"/>
  <c r="R885" i="3" s="1"/>
  <c r="S885" i="3" s="1"/>
  <c r="Q389" i="3"/>
  <c r="R389" i="3" s="1"/>
  <c r="S389" i="3" s="1"/>
  <c r="Q882" i="3"/>
  <c r="R882" i="3" s="1"/>
  <c r="S882" i="3" s="1"/>
  <c r="Q766" i="3"/>
  <c r="R766" i="3" s="1"/>
  <c r="S766" i="3" s="1"/>
  <c r="Q478" i="3"/>
  <c r="R478" i="3" s="1"/>
  <c r="S478" i="3" s="1"/>
  <c r="Q71" i="3"/>
  <c r="R71" i="3" s="1"/>
  <c r="S71" i="3" s="1"/>
  <c r="Q781" i="3"/>
  <c r="R781" i="3" s="1"/>
  <c r="S781" i="3" s="1"/>
  <c r="Q253" i="3"/>
  <c r="R253" i="3" s="1"/>
  <c r="S253" i="3" s="1"/>
  <c r="Q717" i="3"/>
  <c r="R717" i="3" s="1"/>
  <c r="S717" i="3" s="1"/>
  <c r="Q445" i="3"/>
  <c r="R445" i="3" s="1"/>
  <c r="S445" i="3" s="1"/>
  <c r="Q955" i="3"/>
  <c r="R955" i="3" s="1"/>
  <c r="S955" i="3" s="1"/>
  <c r="Q752" i="3"/>
  <c r="R752" i="3" s="1"/>
  <c r="S752" i="3" s="1"/>
  <c r="Q646" i="3"/>
  <c r="R646" i="3" s="1"/>
  <c r="S646" i="3" s="1"/>
  <c r="Q407" i="3"/>
  <c r="R407" i="3" s="1"/>
  <c r="S407" i="3" s="1"/>
  <c r="Q134" i="3"/>
  <c r="R134" i="3" s="1"/>
  <c r="S134" i="3" s="1"/>
  <c r="Q749" i="3"/>
  <c r="R749" i="3" s="1"/>
  <c r="S749" i="3" s="1"/>
  <c r="Q477" i="3"/>
  <c r="R477" i="3" s="1"/>
  <c r="S477" i="3" s="1"/>
  <c r="Q859" i="3"/>
  <c r="R859" i="3" s="1"/>
  <c r="S859" i="3" s="1"/>
  <c r="Q966" i="3"/>
  <c r="R966" i="3" s="1"/>
  <c r="S966" i="3" s="1"/>
  <c r="Q670" i="3"/>
  <c r="R670" i="3" s="1"/>
  <c r="S670" i="3" s="1"/>
  <c r="Q287" i="3"/>
  <c r="R287" i="3" s="1"/>
  <c r="S287" i="3" s="1"/>
  <c r="Q198" i="3"/>
  <c r="R198" i="3" s="1"/>
  <c r="S198" i="3" s="1"/>
  <c r="Q581" i="3"/>
  <c r="R581" i="3" s="1"/>
  <c r="S581" i="3" s="1"/>
  <c r="Q69" i="3"/>
  <c r="R69" i="3" s="1"/>
  <c r="S69" i="3" s="1"/>
  <c r="Q754" i="3"/>
  <c r="R754" i="3" s="1"/>
  <c r="S754" i="3" s="1"/>
  <c r="Q806" i="3"/>
  <c r="R806" i="3" s="1"/>
  <c r="S806" i="3" s="1"/>
  <c r="Q510" i="3"/>
  <c r="R510" i="3" s="1"/>
  <c r="S510" i="3" s="1"/>
  <c r="Q23" i="3"/>
  <c r="R23" i="3" s="1"/>
  <c r="S23" i="3" s="1"/>
  <c r="Q667" i="3"/>
  <c r="R667" i="3" s="1"/>
  <c r="S667" i="3" s="1"/>
  <c r="Q616" i="3"/>
  <c r="R616" i="3" s="1"/>
  <c r="S616" i="3" s="1"/>
  <c r="Q789" i="3"/>
  <c r="R789" i="3" s="1"/>
  <c r="S789" i="3" s="1"/>
  <c r="Q261" i="3"/>
  <c r="R261" i="3" s="1"/>
  <c r="S261" i="3" s="1"/>
  <c r="Q824" i="3"/>
  <c r="R824" i="3" s="1"/>
  <c r="S824" i="3" s="1"/>
  <c r="Q694" i="3"/>
  <c r="R694" i="3" s="1"/>
  <c r="S694" i="3" s="1"/>
  <c r="Q414" i="3"/>
  <c r="R414" i="3" s="1"/>
  <c r="S414" i="3" s="1"/>
  <c r="Q262" i="3"/>
  <c r="R262" i="3" s="1"/>
  <c r="S262" i="3" s="1"/>
  <c r="Q637" i="3"/>
  <c r="R637" i="3" s="1"/>
  <c r="S637" i="3" s="1"/>
  <c r="Q125" i="3"/>
  <c r="R125" i="3" s="1"/>
  <c r="S125" i="3" s="1"/>
  <c r="Q699" i="3"/>
  <c r="R699" i="3" s="1"/>
  <c r="S699" i="3" s="1"/>
  <c r="Q862" i="3"/>
  <c r="R862" i="3" s="1"/>
  <c r="S862" i="3" s="1"/>
  <c r="Q566" i="3"/>
  <c r="R566" i="3" s="1"/>
  <c r="S566" i="3" s="1"/>
  <c r="Q223" i="3"/>
  <c r="R223" i="3" s="1"/>
  <c r="S223" i="3" s="1"/>
  <c r="U7" i="2"/>
  <c r="V7" i="3" l="1"/>
</calcChain>
</file>

<file path=xl/sharedStrings.xml><?xml version="1.0" encoding="utf-8"?>
<sst xmlns="http://schemas.openxmlformats.org/spreadsheetml/2006/main" count="67" uniqueCount="53">
  <si>
    <t>Spot price(S)</t>
  </si>
  <si>
    <t>Int rate r</t>
  </si>
  <si>
    <t>Vol (Sigma)</t>
  </si>
  <si>
    <t>T(years)</t>
  </si>
  <si>
    <t>Strike (K)</t>
  </si>
  <si>
    <t>q</t>
  </si>
  <si>
    <t>d_bs</t>
  </si>
  <si>
    <t>d_1bs</t>
  </si>
  <si>
    <t>BS Call Price</t>
  </si>
  <si>
    <t>BS Put Price</t>
  </si>
  <si>
    <t>Path</t>
  </si>
  <si>
    <t>Z_m</t>
  </si>
  <si>
    <t>S_m(T)</t>
  </si>
  <si>
    <t>Payoff</t>
  </si>
  <si>
    <t>MC Call Price</t>
  </si>
  <si>
    <t>payoff descontado</t>
  </si>
  <si>
    <t>STD</t>
  </si>
  <si>
    <t>alpha</t>
  </si>
  <si>
    <t>int_exc</t>
  </si>
  <si>
    <t>Time step</t>
  </si>
  <si>
    <t>Path\Time</t>
  </si>
  <si>
    <t>AVERAGE</t>
  </si>
  <si>
    <t>PAYOFF</t>
  </si>
  <si>
    <t>PAYOFF DESCONTADO</t>
  </si>
  <si>
    <t>Discrete asian call</t>
  </si>
  <si>
    <t>Alpha</t>
  </si>
  <si>
    <t>int co</t>
  </si>
  <si>
    <t>Est de</t>
  </si>
  <si>
    <t>Call up &amp; out</t>
  </si>
  <si>
    <t>Time Step(DeltaT)</t>
  </si>
  <si>
    <t>Barrera</t>
  </si>
  <si>
    <t>MAX S_i</t>
  </si>
  <si>
    <t>PRICE MC</t>
  </si>
  <si>
    <t>S_0</t>
  </si>
  <si>
    <t>Sigma</t>
  </si>
  <si>
    <t>r</t>
  </si>
  <si>
    <t>T</t>
  </si>
  <si>
    <t>K</t>
  </si>
  <si>
    <t>rho</t>
  </si>
  <si>
    <t>paths</t>
  </si>
  <si>
    <t>eps_1</t>
  </si>
  <si>
    <t>eps_2</t>
  </si>
  <si>
    <t>phi_2</t>
  </si>
  <si>
    <t>phi_1</t>
  </si>
  <si>
    <t>S_1_T</t>
  </si>
  <si>
    <t>S_2_T</t>
  </si>
  <si>
    <t>PAYOFF GEOM</t>
  </si>
  <si>
    <t>PAYOFF ARIT</t>
  </si>
  <si>
    <t>PRECIO MC GEOM</t>
  </si>
  <si>
    <t>S_g</t>
  </si>
  <si>
    <t>Sigma_g</t>
  </si>
  <si>
    <t>q_g</t>
  </si>
  <si>
    <t>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</si>
</sst>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F33A-98BB-4619-BDC4-09ACE0FBD2BA}">
  <dimension ref="B4:I1006"/>
  <sheetViews>
    <sheetView topLeftCell="F11" workbookViewId="0">
      <selection activeCell="C16" sqref="C16"/>
    </sheetView>
  </sheetViews>
  <sheetFormatPr baseColWidth="10" defaultRowHeight="14.75" x14ac:dyDescent="0.75"/>
  <sheetData>
    <row r="4" spans="2:9" x14ac:dyDescent="0.75">
      <c r="F4">
        <f ca="1">NORMINV(RAND(), 0,1)</f>
        <v>1.7875975474031776</v>
      </c>
    </row>
    <row r="5" spans="2:9" x14ac:dyDescent="0.75">
      <c r="B5" t="s">
        <v>0</v>
      </c>
      <c r="C5">
        <v>100</v>
      </c>
    </row>
    <row r="6" spans="2:9" x14ac:dyDescent="0.75">
      <c r="B6" t="s">
        <v>1</v>
      </c>
      <c r="C6">
        <v>0.05</v>
      </c>
      <c r="E6" t="s">
        <v>10</v>
      </c>
      <c r="F6" t="s">
        <v>11</v>
      </c>
      <c r="G6" t="s">
        <v>12</v>
      </c>
      <c r="H6" t="s">
        <v>13</v>
      </c>
      <c r="I6" t="s">
        <v>15</v>
      </c>
    </row>
    <row r="7" spans="2:9" x14ac:dyDescent="0.75">
      <c r="B7" t="s">
        <v>2</v>
      </c>
      <c r="C7">
        <v>0.2</v>
      </c>
      <c r="E7">
        <v>1</v>
      </c>
      <c r="F7">
        <f ca="1">NORMINV(RAND(), 0,1)</f>
        <v>0.62621580570499391</v>
      </c>
      <c r="G7">
        <f ca="1">$C$5*EXP(($C$6-0.5*$C$7^2)*$C$8+$C$7*SQRT($C$8)*F7)</f>
        <v>116.79419246702969</v>
      </c>
      <c r="H7">
        <f ca="1">MAX(G7-$C$9,0)</f>
        <v>16.794192467029688</v>
      </c>
      <c r="I7">
        <f ca="1">EXP(-$C$6*$C$8)*H7</f>
        <v>15.975130035366877</v>
      </c>
    </row>
    <row r="8" spans="2:9" x14ac:dyDescent="0.75">
      <c r="B8" t="s">
        <v>3</v>
      </c>
      <c r="C8">
        <v>1</v>
      </c>
      <c r="E8">
        <v>2</v>
      </c>
      <c r="F8">
        <f t="shared" ref="F8:F71" ca="1" si="0">NORMINV(RAND(), 0,1)</f>
        <v>-1.5670543887927679</v>
      </c>
      <c r="G8">
        <f t="shared" ref="G8:G71" ca="1" si="1">$C$5*EXP(($C$6-0.5*$C$7^2)*$C$8+$C$7*SQRT($C$8)*F8)</f>
        <v>75.32102469343512</v>
      </c>
      <c r="H8">
        <f t="shared" ref="H8:H71" ca="1" si="2">MAX(G8-$C$9,0)</f>
        <v>0</v>
      </c>
      <c r="I8">
        <f t="shared" ref="I8:I71" ca="1" si="3">EXP(-$C$6*$C$8)*H8</f>
        <v>0</v>
      </c>
    </row>
    <row r="9" spans="2:9" x14ac:dyDescent="0.75">
      <c r="B9" t="s">
        <v>4</v>
      </c>
      <c r="C9">
        <v>100</v>
      </c>
      <c r="E9">
        <v>3</v>
      </c>
      <c r="F9">
        <f t="shared" ca="1" si="0"/>
        <v>-1.3894594580872159</v>
      </c>
      <c r="G9">
        <f t="shared" ca="1" si="1"/>
        <v>78.044431128967659</v>
      </c>
      <c r="H9">
        <f t="shared" ca="1" si="2"/>
        <v>0</v>
      </c>
      <c r="I9">
        <f t="shared" ca="1" si="3"/>
        <v>0</v>
      </c>
    </row>
    <row r="10" spans="2:9" x14ac:dyDescent="0.75">
      <c r="B10" t="s">
        <v>5</v>
      </c>
      <c r="C10">
        <v>0</v>
      </c>
      <c r="E10">
        <v>4</v>
      </c>
      <c r="F10">
        <f t="shared" ca="1" si="0"/>
        <v>0.90275073479434875</v>
      </c>
      <c r="G10">
        <f t="shared" ca="1" si="1"/>
        <v>123.43569509174286</v>
      </c>
      <c r="H10">
        <f t="shared" ca="1" si="2"/>
        <v>23.435695091742858</v>
      </c>
      <c r="I10">
        <f t="shared" ca="1" si="3"/>
        <v>22.292722754892768</v>
      </c>
    </row>
    <row r="11" spans="2:9" x14ac:dyDescent="0.75">
      <c r="E11">
        <v>5</v>
      </c>
      <c r="F11">
        <f t="shared" ca="1" si="0"/>
        <v>0.43884083787549905</v>
      </c>
      <c r="G11">
        <f t="shared" ca="1" si="1"/>
        <v>112.49832735329015</v>
      </c>
      <c r="H11">
        <f t="shared" ca="1" si="2"/>
        <v>12.498327353290151</v>
      </c>
      <c r="I11">
        <f t="shared" ca="1" si="3"/>
        <v>11.888776735491723</v>
      </c>
    </row>
    <row r="12" spans="2:9" x14ac:dyDescent="0.75">
      <c r="B12" t="s">
        <v>6</v>
      </c>
      <c r="C12">
        <f>(C7)</f>
        <v>0.2</v>
      </c>
      <c r="E12">
        <v>6</v>
      </c>
      <c r="F12">
        <f t="shared" ca="1" si="0"/>
        <v>-0.23360817537714551</v>
      </c>
      <c r="G12">
        <f t="shared" ca="1" si="1"/>
        <v>98.341739544650267</v>
      </c>
      <c r="H12">
        <f t="shared" ca="1" si="2"/>
        <v>0</v>
      </c>
      <c r="I12">
        <f t="shared" ca="1" si="3"/>
        <v>0</v>
      </c>
    </row>
    <row r="13" spans="2:9" x14ac:dyDescent="0.75">
      <c r="B13" t="s">
        <v>7</v>
      </c>
      <c r="E13">
        <v>7</v>
      </c>
      <c r="F13">
        <f t="shared" ca="1" si="0"/>
        <v>1.381581321418446</v>
      </c>
      <c r="G13">
        <f t="shared" ca="1" si="1"/>
        <v>135.84118557712938</v>
      </c>
      <c r="H13">
        <f t="shared" ca="1" si="2"/>
        <v>35.84118557712938</v>
      </c>
      <c r="I13">
        <f t="shared" ca="1" si="3"/>
        <v>34.093190329956073</v>
      </c>
    </row>
    <row r="14" spans="2:9" x14ac:dyDescent="0.75">
      <c r="E14">
        <v>8</v>
      </c>
      <c r="F14">
        <f t="shared" ca="1" si="0"/>
        <v>0.34889876694578009</v>
      </c>
      <c r="G14">
        <f t="shared" ca="1" si="1"/>
        <v>110.49275347297005</v>
      </c>
      <c r="H14">
        <f t="shared" ca="1" si="2"/>
        <v>10.492753472970051</v>
      </c>
      <c r="I14">
        <f t="shared" ca="1" si="3"/>
        <v>9.9810158475211708</v>
      </c>
    </row>
    <row r="15" spans="2:9" x14ac:dyDescent="0.75">
      <c r="B15" t="s">
        <v>8</v>
      </c>
      <c r="C15">
        <f>C5*EXP(-C10*C8)*Vainilla!C18</f>
        <v>0</v>
      </c>
      <c r="E15">
        <v>9</v>
      </c>
      <c r="F15">
        <f t="shared" ca="1" si="0"/>
        <v>0.25859191046574215</v>
      </c>
      <c r="G15">
        <f t="shared" ca="1" si="1"/>
        <v>108.51501690753797</v>
      </c>
      <c r="H15">
        <f t="shared" ca="1" si="2"/>
        <v>8.5150169075379694</v>
      </c>
      <c r="I15">
        <f t="shared" ca="1" si="3"/>
        <v>8.0997346325711916</v>
      </c>
    </row>
    <row r="16" spans="2:9" x14ac:dyDescent="0.75">
      <c r="B16" t="s">
        <v>9</v>
      </c>
      <c r="C16">
        <f>C15-C5*EXP(-C10*C8)+C9*EXP(C6*C8)</f>
        <v>5.1271096376024161</v>
      </c>
      <c r="E16">
        <v>10</v>
      </c>
      <c r="F16">
        <f t="shared" ca="1" si="0"/>
        <v>-1.5563409563464858</v>
      </c>
      <c r="G16">
        <f t="shared" ca="1" si="1"/>
        <v>75.482587062342731</v>
      </c>
      <c r="H16">
        <f t="shared" ca="1" si="2"/>
        <v>0</v>
      </c>
      <c r="I16">
        <f t="shared" ca="1" si="3"/>
        <v>0</v>
      </c>
    </row>
    <row r="17" spans="2:9" x14ac:dyDescent="0.75">
      <c r="E17">
        <v>11</v>
      </c>
      <c r="F17">
        <f t="shared" ca="1" si="0"/>
        <v>-0.90642584994021647</v>
      </c>
      <c r="G17">
        <f t="shared" ca="1" si="1"/>
        <v>85.960253086017033</v>
      </c>
      <c r="H17">
        <f t="shared" ca="1" si="2"/>
        <v>0</v>
      </c>
      <c r="I17">
        <f t="shared" ca="1" si="3"/>
        <v>0</v>
      </c>
    </row>
    <row r="18" spans="2:9" x14ac:dyDescent="0.75">
      <c r="B18" t="s">
        <v>14</v>
      </c>
      <c r="E18">
        <v>12</v>
      </c>
      <c r="F18">
        <f t="shared" ca="1" si="0"/>
        <v>0.89129565785798892</v>
      </c>
      <c r="G18">
        <f t="shared" ca="1" si="1"/>
        <v>123.15322570935076</v>
      </c>
      <c r="H18">
        <f t="shared" ca="1" si="2"/>
        <v>23.153225709350764</v>
      </c>
      <c r="I18">
        <f t="shared" ca="1" si="3"/>
        <v>22.024029566840863</v>
      </c>
    </row>
    <row r="19" spans="2:9" x14ac:dyDescent="0.75">
      <c r="E19">
        <v>13</v>
      </c>
      <c r="F19">
        <f t="shared" ca="1" si="0"/>
        <v>-1.4352812595992475</v>
      </c>
      <c r="G19">
        <f t="shared" ca="1" si="1"/>
        <v>77.332471154222745</v>
      </c>
      <c r="H19">
        <f t="shared" ca="1" si="2"/>
        <v>0</v>
      </c>
      <c r="I19">
        <f t="shared" ca="1" si="3"/>
        <v>0</v>
      </c>
    </row>
    <row r="20" spans="2:9" x14ac:dyDescent="0.75">
      <c r="B20" t="s">
        <v>16</v>
      </c>
      <c r="E20">
        <v>14</v>
      </c>
      <c r="F20">
        <f t="shared" ca="1" si="0"/>
        <v>0.78515324033046019</v>
      </c>
      <c r="G20">
        <f t="shared" ca="1" si="1"/>
        <v>120.56642357608705</v>
      </c>
      <c r="H20">
        <f t="shared" ca="1" si="2"/>
        <v>20.566423576087047</v>
      </c>
      <c r="I20">
        <f t="shared" ca="1" si="3"/>
        <v>19.5633872623192</v>
      </c>
    </row>
    <row r="21" spans="2:9" x14ac:dyDescent="0.75">
      <c r="B21" t="s">
        <v>17</v>
      </c>
      <c r="C21">
        <v>0.05</v>
      </c>
      <c r="E21">
        <v>15</v>
      </c>
      <c r="F21">
        <f t="shared" ca="1" si="0"/>
        <v>0.47068793053699259</v>
      </c>
      <c r="G21">
        <f t="shared" ca="1" si="1"/>
        <v>113.21716313713652</v>
      </c>
      <c r="H21">
        <f t="shared" ca="1" si="2"/>
        <v>13.217163137136524</v>
      </c>
      <c r="I21">
        <f t="shared" ca="1" si="3"/>
        <v>12.572554484470427</v>
      </c>
    </row>
    <row r="22" spans="2:9" x14ac:dyDescent="0.75">
      <c r="B22" t="s">
        <v>18</v>
      </c>
      <c r="C22" t="e">
        <f>CONFIDENCE(C21,C20,E1006)</f>
        <v>#NUM!</v>
      </c>
      <c r="E22">
        <v>16</v>
      </c>
      <c r="F22">
        <f t="shared" ca="1" si="0"/>
        <v>3.8860195008788373E-2</v>
      </c>
      <c r="G22">
        <f t="shared" ca="1" si="1"/>
        <v>103.84944696571607</v>
      </c>
      <c r="H22">
        <f t="shared" ca="1" si="2"/>
        <v>3.8494469657160693</v>
      </c>
      <c r="I22">
        <f t="shared" ca="1" si="3"/>
        <v>3.6617072218441162</v>
      </c>
    </row>
    <row r="23" spans="2:9" x14ac:dyDescent="0.75">
      <c r="E23">
        <v>17</v>
      </c>
      <c r="F23">
        <f t="shared" ca="1" si="0"/>
        <v>-0.13336489528234832</v>
      </c>
      <c r="G23">
        <f t="shared" ca="1" si="1"/>
        <v>100.33325616206552</v>
      </c>
      <c r="H23">
        <f t="shared" ca="1" si="2"/>
        <v>0.33325616206552411</v>
      </c>
      <c r="I23">
        <f t="shared" ca="1" si="3"/>
        <v>0.31700306725290517</v>
      </c>
    </row>
    <row r="24" spans="2:9" x14ac:dyDescent="0.75">
      <c r="C24" t="e">
        <f>C18+C22</f>
        <v>#NUM!</v>
      </c>
      <c r="E24">
        <v>18</v>
      </c>
      <c r="F24">
        <f t="shared" ca="1" si="0"/>
        <v>-0.53959628269020421</v>
      </c>
      <c r="G24">
        <f t="shared" ca="1" si="1"/>
        <v>92.503911438876457</v>
      </c>
      <c r="H24">
        <f t="shared" ca="1" si="2"/>
        <v>0</v>
      </c>
      <c r="I24">
        <f t="shared" ca="1" si="3"/>
        <v>0</v>
      </c>
    </row>
    <row r="25" spans="2:9" x14ac:dyDescent="0.75">
      <c r="E25">
        <v>19</v>
      </c>
      <c r="F25">
        <f t="shared" ca="1" si="0"/>
        <v>0.68582854133521776</v>
      </c>
      <c r="G25">
        <f t="shared" ca="1" si="1"/>
        <v>118.19501079856643</v>
      </c>
      <c r="H25">
        <f t="shared" ca="1" si="2"/>
        <v>18.195010798566429</v>
      </c>
      <c r="I25">
        <f t="shared" ca="1" si="3"/>
        <v>17.307629650704619</v>
      </c>
    </row>
    <row r="26" spans="2:9" x14ac:dyDescent="0.75">
      <c r="E26">
        <v>20</v>
      </c>
      <c r="F26">
        <f t="shared" ca="1" si="0"/>
        <v>0.62986366096533375</v>
      </c>
      <c r="G26">
        <f t="shared" ca="1" si="1"/>
        <v>116.87943321971514</v>
      </c>
      <c r="H26">
        <f t="shared" ca="1" si="2"/>
        <v>16.879433219715139</v>
      </c>
      <c r="I26">
        <f t="shared" ca="1" si="3"/>
        <v>16.056213547487864</v>
      </c>
    </row>
    <row r="27" spans="2:9" x14ac:dyDescent="0.75">
      <c r="E27">
        <v>21</v>
      </c>
      <c r="F27">
        <f t="shared" ca="1" si="0"/>
        <v>0.4862040114231741</v>
      </c>
      <c r="G27">
        <f t="shared" ca="1" si="1"/>
        <v>113.56904617150221</v>
      </c>
      <c r="H27">
        <f t="shared" ca="1" si="2"/>
        <v>13.569046171502208</v>
      </c>
      <c r="I27">
        <f t="shared" ca="1" si="3"/>
        <v>12.907275980741662</v>
      </c>
    </row>
    <row r="28" spans="2:9" x14ac:dyDescent="0.75">
      <c r="E28">
        <v>22</v>
      </c>
      <c r="F28">
        <f t="shared" ca="1" si="0"/>
        <v>0.84197390881774681</v>
      </c>
      <c r="G28">
        <f t="shared" ca="1" si="1"/>
        <v>121.94437129469313</v>
      </c>
      <c r="H28">
        <f t="shared" ca="1" si="2"/>
        <v>21.944371294693127</v>
      </c>
      <c r="I28">
        <f t="shared" ca="1" si="3"/>
        <v>20.874131677680932</v>
      </c>
    </row>
    <row r="29" spans="2:9" x14ac:dyDescent="0.75">
      <c r="E29">
        <v>23</v>
      </c>
      <c r="F29">
        <f t="shared" ca="1" si="0"/>
        <v>0.48855921408769371</v>
      </c>
      <c r="G29">
        <f t="shared" ca="1" si="1"/>
        <v>113.62255439681435</v>
      </c>
      <c r="H29">
        <f t="shared" ca="1" si="2"/>
        <v>13.622554396814351</v>
      </c>
      <c r="I29">
        <f t="shared" ca="1" si="3"/>
        <v>12.958174579111386</v>
      </c>
    </row>
    <row r="30" spans="2:9" x14ac:dyDescent="0.75">
      <c r="E30">
        <v>24</v>
      </c>
      <c r="F30">
        <f t="shared" ca="1" si="0"/>
        <v>1.598406954475831</v>
      </c>
      <c r="G30">
        <f t="shared" ca="1" si="1"/>
        <v>141.86154927702759</v>
      </c>
      <c r="H30">
        <f t="shared" ca="1" si="2"/>
        <v>41.861549277027592</v>
      </c>
      <c r="I30">
        <f t="shared" ca="1" si="3"/>
        <v>39.81993742749524</v>
      </c>
    </row>
    <row r="31" spans="2:9" x14ac:dyDescent="0.75">
      <c r="E31">
        <v>25</v>
      </c>
      <c r="F31">
        <f t="shared" ca="1" si="0"/>
        <v>1.4098444620873232</v>
      </c>
      <c r="G31">
        <f t="shared" ca="1" si="1"/>
        <v>136.61121959206048</v>
      </c>
      <c r="H31">
        <f t="shared" ca="1" si="2"/>
        <v>36.611219592060479</v>
      </c>
      <c r="I31">
        <f t="shared" ca="1" si="3"/>
        <v>34.825669342824952</v>
      </c>
    </row>
    <row r="32" spans="2:9" x14ac:dyDescent="0.75">
      <c r="E32">
        <v>26</v>
      </c>
      <c r="F32">
        <f t="shared" ca="1" si="0"/>
        <v>-0.69574419656136877</v>
      </c>
      <c r="G32">
        <f t="shared" ca="1" si="1"/>
        <v>89.659695869180496</v>
      </c>
      <c r="H32">
        <f t="shared" ca="1" si="2"/>
        <v>0</v>
      </c>
      <c r="I32">
        <f t="shared" ca="1" si="3"/>
        <v>0</v>
      </c>
    </row>
    <row r="33" spans="5:9" x14ac:dyDescent="0.75">
      <c r="E33">
        <v>27</v>
      </c>
      <c r="F33">
        <f t="shared" ca="1" si="0"/>
        <v>0.948473622057459</v>
      </c>
      <c r="G33">
        <f t="shared" ca="1" si="1"/>
        <v>124.5696391837146</v>
      </c>
      <c r="H33">
        <f t="shared" ca="1" si="2"/>
        <v>24.5696391837146</v>
      </c>
      <c r="I33">
        <f t="shared" ca="1" si="3"/>
        <v>23.371363740915033</v>
      </c>
    </row>
    <row r="34" spans="5:9" x14ac:dyDescent="0.75">
      <c r="E34">
        <v>28</v>
      </c>
      <c r="F34">
        <f t="shared" ca="1" si="0"/>
        <v>-1.705454260271005</v>
      </c>
      <c r="G34">
        <f t="shared" ca="1" si="1"/>
        <v>73.264731033242185</v>
      </c>
      <c r="H34">
        <f t="shared" ca="1" si="2"/>
        <v>0</v>
      </c>
      <c r="I34">
        <f t="shared" ca="1" si="3"/>
        <v>0</v>
      </c>
    </row>
    <row r="35" spans="5:9" x14ac:dyDescent="0.75">
      <c r="E35">
        <v>29</v>
      </c>
      <c r="F35">
        <f t="shared" ca="1" si="0"/>
        <v>-0.72073590535553189</v>
      </c>
      <c r="G35">
        <f t="shared" ca="1" si="1"/>
        <v>89.212664206444956</v>
      </c>
      <c r="H35">
        <f t="shared" ca="1" si="2"/>
        <v>0</v>
      </c>
      <c r="I35">
        <f t="shared" ca="1" si="3"/>
        <v>0</v>
      </c>
    </row>
    <row r="36" spans="5:9" x14ac:dyDescent="0.75">
      <c r="E36">
        <v>30</v>
      </c>
      <c r="F36">
        <f t="shared" ca="1" si="0"/>
        <v>-0.62901719138982082</v>
      </c>
      <c r="G36">
        <f t="shared" ca="1" si="1"/>
        <v>90.864260287120189</v>
      </c>
      <c r="H36">
        <f t="shared" ca="1" si="2"/>
        <v>0</v>
      </c>
      <c r="I36">
        <f t="shared" ca="1" si="3"/>
        <v>0</v>
      </c>
    </row>
    <row r="37" spans="5:9" x14ac:dyDescent="0.75">
      <c r="E37">
        <v>31</v>
      </c>
      <c r="F37">
        <f t="shared" ca="1" si="0"/>
        <v>-0.58752721218205572</v>
      </c>
      <c r="G37">
        <f t="shared" ca="1" si="1"/>
        <v>91.621388520149921</v>
      </c>
      <c r="H37">
        <f t="shared" ca="1" si="2"/>
        <v>0</v>
      </c>
      <c r="I37">
        <f t="shared" ca="1" si="3"/>
        <v>0</v>
      </c>
    </row>
    <row r="38" spans="5:9" x14ac:dyDescent="0.75">
      <c r="E38">
        <v>32</v>
      </c>
      <c r="F38">
        <f t="shared" ca="1" si="0"/>
        <v>1.0933007550324296</v>
      </c>
      <c r="G38">
        <f t="shared" ca="1" si="1"/>
        <v>128.23061685491888</v>
      </c>
      <c r="H38">
        <f t="shared" ca="1" si="2"/>
        <v>28.230616854918878</v>
      </c>
      <c r="I38">
        <f t="shared" ca="1" si="3"/>
        <v>26.853793424204643</v>
      </c>
    </row>
    <row r="39" spans="5:9" x14ac:dyDescent="0.75">
      <c r="E39">
        <v>33</v>
      </c>
      <c r="F39">
        <f t="shared" ca="1" si="0"/>
        <v>0.16718536492943623</v>
      </c>
      <c r="G39">
        <f t="shared" ca="1" si="1"/>
        <v>106.54924354343277</v>
      </c>
      <c r="H39">
        <f t="shared" ca="1" si="2"/>
        <v>6.549243543432766</v>
      </c>
      <c r="I39">
        <f t="shared" ca="1" si="3"/>
        <v>6.2298331667345668</v>
      </c>
    </row>
    <row r="40" spans="5:9" x14ac:dyDescent="0.75">
      <c r="E40">
        <v>34</v>
      </c>
      <c r="F40">
        <f t="shared" ca="1" si="0"/>
        <v>-7.3093106682261794E-2</v>
      </c>
      <c r="G40">
        <f t="shared" ca="1" si="1"/>
        <v>101.55002809129753</v>
      </c>
      <c r="H40">
        <f t="shared" ca="1" si="2"/>
        <v>1.5500280912975342</v>
      </c>
      <c r="I40">
        <f t="shared" ca="1" si="3"/>
        <v>1.4744323292448935</v>
      </c>
    </row>
    <row r="41" spans="5:9" x14ac:dyDescent="0.75">
      <c r="E41">
        <v>35</v>
      </c>
      <c r="F41">
        <f t="shared" ca="1" si="0"/>
        <v>-1.4505000286270926</v>
      </c>
      <c r="G41">
        <f t="shared" ca="1" si="1"/>
        <v>77.097448008596373</v>
      </c>
      <c r="H41">
        <f t="shared" ca="1" si="2"/>
        <v>0</v>
      </c>
      <c r="I41">
        <f t="shared" ca="1" si="3"/>
        <v>0</v>
      </c>
    </row>
    <row r="42" spans="5:9" x14ac:dyDescent="0.75">
      <c r="E42">
        <v>36</v>
      </c>
      <c r="F42">
        <f t="shared" ca="1" si="0"/>
        <v>1.1426371551551036</v>
      </c>
      <c r="G42">
        <f t="shared" ca="1" si="1"/>
        <v>129.50216731453369</v>
      </c>
      <c r="H42">
        <f t="shared" ca="1" si="2"/>
        <v>29.502167314533693</v>
      </c>
      <c r="I42">
        <f t="shared" ca="1" si="3"/>
        <v>28.063329636127662</v>
      </c>
    </row>
    <row r="43" spans="5:9" x14ac:dyDescent="0.75">
      <c r="E43">
        <v>37</v>
      </c>
      <c r="F43">
        <f t="shared" ca="1" si="0"/>
        <v>-0.89349678900895146</v>
      </c>
      <c r="G43">
        <f t="shared" ca="1" si="1"/>
        <v>86.182817787225062</v>
      </c>
      <c r="H43">
        <f t="shared" ca="1" si="2"/>
        <v>0</v>
      </c>
      <c r="I43">
        <f t="shared" ca="1" si="3"/>
        <v>0</v>
      </c>
    </row>
    <row r="44" spans="5:9" x14ac:dyDescent="0.75">
      <c r="E44">
        <v>38</v>
      </c>
      <c r="F44">
        <f t="shared" ca="1" si="0"/>
        <v>0.16746848970419992</v>
      </c>
      <c r="G44">
        <f t="shared" ca="1" si="1"/>
        <v>106.55527706037087</v>
      </c>
      <c r="H44">
        <f t="shared" ca="1" si="2"/>
        <v>6.5552770603708694</v>
      </c>
      <c r="I44">
        <f t="shared" ca="1" si="3"/>
        <v>6.2355724255793143</v>
      </c>
    </row>
    <row r="45" spans="5:9" x14ac:dyDescent="0.75">
      <c r="E45">
        <v>39</v>
      </c>
      <c r="F45">
        <f t="shared" ca="1" si="0"/>
        <v>1.4449339066500178</v>
      </c>
      <c r="G45">
        <f t="shared" ca="1" si="1"/>
        <v>137.57331394234726</v>
      </c>
      <c r="H45">
        <f t="shared" ca="1" si="2"/>
        <v>37.573313942347255</v>
      </c>
      <c r="I45">
        <f t="shared" ca="1" si="3"/>
        <v>35.740841797963633</v>
      </c>
    </row>
    <row r="46" spans="5:9" x14ac:dyDescent="0.75">
      <c r="E46">
        <v>40</v>
      </c>
      <c r="F46">
        <f t="shared" ca="1" si="0"/>
        <v>5.6743124181401518E-2</v>
      </c>
      <c r="G46">
        <f t="shared" ca="1" si="1"/>
        <v>104.22153843855372</v>
      </c>
      <c r="H46">
        <f t="shared" ca="1" si="2"/>
        <v>4.221538438553722</v>
      </c>
      <c r="I46">
        <f t="shared" ca="1" si="3"/>
        <v>4.0156515794130998</v>
      </c>
    </row>
    <row r="47" spans="5:9" x14ac:dyDescent="0.75">
      <c r="E47">
        <v>41</v>
      </c>
      <c r="F47">
        <f t="shared" ca="1" si="0"/>
        <v>0.43714528870958824</v>
      </c>
      <c r="G47">
        <f t="shared" ca="1" si="1"/>
        <v>112.46018453193652</v>
      </c>
      <c r="H47">
        <f t="shared" ca="1" si="2"/>
        <v>12.46018453193652</v>
      </c>
      <c r="I47">
        <f t="shared" ca="1" si="3"/>
        <v>11.852494161486675</v>
      </c>
    </row>
    <row r="48" spans="5:9" x14ac:dyDescent="0.75">
      <c r="E48">
        <v>42</v>
      </c>
      <c r="F48">
        <f t="shared" ca="1" si="0"/>
        <v>-0.10445401144071664</v>
      </c>
      <c r="G48">
        <f t="shared" ca="1" si="1"/>
        <v>100.91508127171258</v>
      </c>
      <c r="H48">
        <f t="shared" ca="1" si="2"/>
        <v>0.91508127171258025</v>
      </c>
      <c r="I48">
        <f t="shared" ca="1" si="3"/>
        <v>0.87045223146253925</v>
      </c>
    </row>
    <row r="49" spans="5:9" x14ac:dyDescent="0.75">
      <c r="E49">
        <v>43</v>
      </c>
      <c r="F49">
        <f t="shared" ca="1" si="0"/>
        <v>-0.58577531279621575</v>
      </c>
      <c r="G49">
        <f t="shared" ca="1" si="1"/>
        <v>91.653496435660841</v>
      </c>
      <c r="H49">
        <f t="shared" ca="1" si="2"/>
        <v>0</v>
      </c>
      <c r="I49">
        <f t="shared" ca="1" si="3"/>
        <v>0</v>
      </c>
    </row>
    <row r="50" spans="5:9" x14ac:dyDescent="0.75">
      <c r="E50">
        <v>44</v>
      </c>
      <c r="F50">
        <f t="shared" ca="1" si="0"/>
        <v>-1.7461723733995589</v>
      </c>
      <c r="G50">
        <f t="shared" ca="1" si="1"/>
        <v>72.670513537423574</v>
      </c>
      <c r="H50">
        <f t="shared" ca="1" si="2"/>
        <v>0</v>
      </c>
      <c r="I50">
        <f t="shared" ca="1" si="3"/>
        <v>0</v>
      </c>
    </row>
    <row r="51" spans="5:9" x14ac:dyDescent="0.75">
      <c r="E51">
        <v>45</v>
      </c>
      <c r="F51">
        <f t="shared" ca="1" si="0"/>
        <v>0.50103091691974788</v>
      </c>
      <c r="G51">
        <f t="shared" ca="1" si="1"/>
        <v>113.90632150227987</v>
      </c>
      <c r="H51">
        <f t="shared" ca="1" si="2"/>
        <v>13.906321502279866</v>
      </c>
      <c r="I51">
        <f t="shared" ca="1" si="3"/>
        <v>13.228102199535581</v>
      </c>
    </row>
    <row r="52" spans="5:9" x14ac:dyDescent="0.75">
      <c r="E52">
        <v>46</v>
      </c>
      <c r="F52">
        <f t="shared" ca="1" si="0"/>
        <v>2.2421743853667651</v>
      </c>
      <c r="G52">
        <f t="shared" ca="1" si="1"/>
        <v>161.35470254384293</v>
      </c>
      <c r="H52">
        <f t="shared" ca="1" si="2"/>
        <v>61.354702543842933</v>
      </c>
      <c r="I52">
        <f t="shared" ca="1" si="3"/>
        <v>58.362398391192208</v>
      </c>
    </row>
    <row r="53" spans="5:9" x14ac:dyDescent="0.75">
      <c r="E53">
        <v>47</v>
      </c>
      <c r="F53">
        <f t="shared" ca="1" si="0"/>
        <v>1.7419061514542196</v>
      </c>
      <c r="G53">
        <f t="shared" ca="1" si="1"/>
        <v>145.99194022978102</v>
      </c>
      <c r="H53">
        <f t="shared" ca="1" si="2"/>
        <v>45.991940229781022</v>
      </c>
      <c r="I53">
        <f t="shared" ca="1" si="3"/>
        <v>43.748886836445841</v>
      </c>
    </row>
    <row r="54" spans="5:9" x14ac:dyDescent="0.75">
      <c r="E54">
        <v>48</v>
      </c>
      <c r="F54">
        <f t="shared" ca="1" si="0"/>
        <v>0.94239543758478628</v>
      </c>
      <c r="G54">
        <f t="shared" ca="1" si="1"/>
        <v>124.41829973992687</v>
      </c>
      <c r="H54">
        <f t="shared" ca="1" si="2"/>
        <v>24.418299739926866</v>
      </c>
      <c r="I54">
        <f t="shared" ca="1" si="3"/>
        <v>23.227405208896567</v>
      </c>
    </row>
    <row r="55" spans="5:9" x14ac:dyDescent="0.75">
      <c r="E55">
        <v>49</v>
      </c>
      <c r="F55">
        <f t="shared" ca="1" si="0"/>
        <v>-0.49745892011628351</v>
      </c>
      <c r="G55">
        <f t="shared" ca="1" si="1"/>
        <v>93.286779777320177</v>
      </c>
      <c r="H55">
        <f t="shared" ca="1" si="2"/>
        <v>0</v>
      </c>
      <c r="I55">
        <f t="shared" ca="1" si="3"/>
        <v>0</v>
      </c>
    </row>
    <row r="56" spans="5:9" x14ac:dyDescent="0.75">
      <c r="E56">
        <v>50</v>
      </c>
      <c r="F56">
        <f t="shared" ca="1" si="0"/>
        <v>0.49466176648927895</v>
      </c>
      <c r="G56">
        <f t="shared" ca="1" si="1"/>
        <v>113.76131657837894</v>
      </c>
      <c r="H56">
        <f t="shared" ca="1" si="2"/>
        <v>13.761316578378938</v>
      </c>
      <c r="I56">
        <f t="shared" ca="1" si="3"/>
        <v>13.090169249223532</v>
      </c>
    </row>
    <row r="57" spans="5:9" x14ac:dyDescent="0.75">
      <c r="E57">
        <v>51</v>
      </c>
      <c r="F57">
        <f t="shared" ca="1" si="0"/>
        <v>0.18997247405124829</v>
      </c>
      <c r="G57">
        <f t="shared" ca="1" si="1"/>
        <v>107.03594159308689</v>
      </c>
      <c r="H57">
        <f t="shared" ca="1" si="2"/>
        <v>7.0359415930868892</v>
      </c>
      <c r="I57">
        <f t="shared" ca="1" si="3"/>
        <v>6.6927946724126786</v>
      </c>
    </row>
    <row r="58" spans="5:9" x14ac:dyDescent="0.75">
      <c r="E58">
        <v>52</v>
      </c>
      <c r="F58">
        <f t="shared" ca="1" si="0"/>
        <v>1.0294555905473026</v>
      </c>
      <c r="G58">
        <f t="shared" ca="1" si="1"/>
        <v>126.60364542193807</v>
      </c>
      <c r="H58">
        <f t="shared" ca="1" si="2"/>
        <v>26.603645421938069</v>
      </c>
      <c r="I58">
        <f t="shared" ca="1" si="3"/>
        <v>25.306170324331205</v>
      </c>
    </row>
    <row r="59" spans="5:9" x14ac:dyDescent="0.75">
      <c r="E59">
        <v>53</v>
      </c>
      <c r="F59">
        <f t="shared" ca="1" si="0"/>
        <v>0.2186072368404344</v>
      </c>
      <c r="G59">
        <f t="shared" ca="1" si="1"/>
        <v>107.65068998981731</v>
      </c>
      <c r="H59">
        <f t="shared" ca="1" si="2"/>
        <v>7.6506899898173089</v>
      </c>
      <c r="I59">
        <f t="shared" ca="1" si="3"/>
        <v>7.277561436047292</v>
      </c>
    </row>
    <row r="60" spans="5:9" x14ac:dyDescent="0.75">
      <c r="E60">
        <v>54</v>
      </c>
      <c r="F60">
        <f t="shared" ca="1" si="0"/>
        <v>-0.44329363249093623</v>
      </c>
      <c r="G60">
        <f t="shared" ca="1" si="1"/>
        <v>94.302854490103698</v>
      </c>
      <c r="H60">
        <f t="shared" ca="1" si="2"/>
        <v>0</v>
      </c>
      <c r="I60">
        <f t="shared" ca="1" si="3"/>
        <v>0</v>
      </c>
    </row>
    <row r="61" spans="5:9" x14ac:dyDescent="0.75">
      <c r="E61">
        <v>55</v>
      </c>
      <c r="F61">
        <f t="shared" ca="1" si="0"/>
        <v>-0.43526088529603879</v>
      </c>
      <c r="G61">
        <f t="shared" ca="1" si="1"/>
        <v>94.454478451161933</v>
      </c>
      <c r="H61">
        <f t="shared" ca="1" si="2"/>
        <v>0</v>
      </c>
      <c r="I61">
        <f t="shared" ca="1" si="3"/>
        <v>0</v>
      </c>
    </row>
    <row r="62" spans="5:9" x14ac:dyDescent="0.75">
      <c r="E62">
        <v>56</v>
      </c>
      <c r="F62">
        <f t="shared" ca="1" si="0"/>
        <v>1.3800453620632924</v>
      </c>
      <c r="G62">
        <f t="shared" ca="1" si="1"/>
        <v>135.79946267796475</v>
      </c>
      <c r="H62">
        <f t="shared" ca="1" si="2"/>
        <v>35.799462677964755</v>
      </c>
      <c r="I62">
        <f t="shared" ca="1" si="3"/>
        <v>34.053502280595204</v>
      </c>
    </row>
    <row r="63" spans="5:9" x14ac:dyDescent="0.75">
      <c r="E63">
        <v>57</v>
      </c>
      <c r="F63">
        <f t="shared" ca="1" si="0"/>
        <v>1.1580506422910315E-2</v>
      </c>
      <c r="G63">
        <f t="shared" ca="1" si="1"/>
        <v>103.28439370049205</v>
      </c>
      <c r="H63">
        <f t="shared" ca="1" si="2"/>
        <v>3.2843937004920463</v>
      </c>
      <c r="I63">
        <f t="shared" ca="1" si="3"/>
        <v>3.1242119295528195</v>
      </c>
    </row>
    <row r="64" spans="5:9" x14ac:dyDescent="0.75">
      <c r="E64">
        <v>58</v>
      </c>
      <c r="F64">
        <f t="shared" ca="1" si="0"/>
        <v>-0.54365615397853173</v>
      </c>
      <c r="G64">
        <f t="shared" ca="1" si="1"/>
        <v>92.42883112981886</v>
      </c>
      <c r="H64">
        <f t="shared" ca="1" si="2"/>
        <v>0</v>
      </c>
      <c r="I64">
        <f t="shared" ca="1" si="3"/>
        <v>0</v>
      </c>
    </row>
    <row r="65" spans="5:9" x14ac:dyDescent="0.75">
      <c r="E65">
        <v>59</v>
      </c>
      <c r="F65">
        <f t="shared" ca="1" si="0"/>
        <v>1.1452333971978159</v>
      </c>
      <c r="G65">
        <f t="shared" ca="1" si="1"/>
        <v>129.56942856995323</v>
      </c>
      <c r="H65">
        <f t="shared" ca="1" si="2"/>
        <v>29.569428569953232</v>
      </c>
      <c r="I65">
        <f t="shared" ca="1" si="3"/>
        <v>28.127310521411584</v>
      </c>
    </row>
    <row r="66" spans="5:9" x14ac:dyDescent="0.75">
      <c r="E66">
        <v>60</v>
      </c>
      <c r="F66">
        <f t="shared" ca="1" si="0"/>
        <v>-0.64438369162813669</v>
      </c>
      <c r="G66">
        <f t="shared" ca="1" si="1"/>
        <v>90.585435826724691</v>
      </c>
      <c r="H66">
        <f t="shared" ca="1" si="2"/>
        <v>0</v>
      </c>
      <c r="I66">
        <f t="shared" ca="1" si="3"/>
        <v>0</v>
      </c>
    </row>
    <row r="67" spans="5:9" x14ac:dyDescent="0.75">
      <c r="E67">
        <v>61</v>
      </c>
      <c r="F67">
        <f t="shared" ca="1" si="0"/>
        <v>1.2626075576646971</v>
      </c>
      <c r="G67">
        <f t="shared" ca="1" si="1"/>
        <v>132.64703091995915</v>
      </c>
      <c r="H67">
        <f t="shared" ca="1" si="2"/>
        <v>32.64703091995915</v>
      </c>
      <c r="I67">
        <f t="shared" ca="1" si="3"/>
        <v>31.054816433649759</v>
      </c>
    </row>
    <row r="68" spans="5:9" x14ac:dyDescent="0.75">
      <c r="E68">
        <v>62</v>
      </c>
      <c r="F68">
        <f t="shared" ca="1" si="0"/>
        <v>-0.46500853772088641</v>
      </c>
      <c r="G68">
        <f t="shared" ca="1" si="1"/>
        <v>93.894187040304075</v>
      </c>
      <c r="H68">
        <f t="shared" ca="1" si="2"/>
        <v>0</v>
      </c>
      <c r="I68">
        <f t="shared" ca="1" si="3"/>
        <v>0</v>
      </c>
    </row>
    <row r="69" spans="5:9" x14ac:dyDescent="0.75">
      <c r="E69">
        <v>63</v>
      </c>
      <c r="F69">
        <f t="shared" ca="1" si="0"/>
        <v>-1.1057836266475549</v>
      </c>
      <c r="G69">
        <f t="shared" ca="1" si="1"/>
        <v>82.600312239464273</v>
      </c>
      <c r="H69">
        <f t="shared" ca="1" si="2"/>
        <v>0</v>
      </c>
      <c r="I69">
        <f t="shared" ca="1" si="3"/>
        <v>0</v>
      </c>
    </row>
    <row r="70" spans="5:9" x14ac:dyDescent="0.75">
      <c r="E70">
        <v>64</v>
      </c>
      <c r="F70">
        <f t="shared" ca="1" si="0"/>
        <v>-0.20710631743769919</v>
      </c>
      <c r="G70">
        <f t="shared" ca="1" si="1"/>
        <v>98.864371154138794</v>
      </c>
      <c r="H70">
        <f t="shared" ca="1" si="2"/>
        <v>0</v>
      </c>
      <c r="I70">
        <f t="shared" ca="1" si="3"/>
        <v>0</v>
      </c>
    </row>
    <row r="71" spans="5:9" x14ac:dyDescent="0.75">
      <c r="E71">
        <v>65</v>
      </c>
      <c r="F71">
        <f t="shared" ca="1" si="0"/>
        <v>-0.20843593642369612</v>
      </c>
      <c r="G71">
        <f t="shared" ca="1" si="1"/>
        <v>98.838084260463958</v>
      </c>
      <c r="H71">
        <f t="shared" ca="1" si="2"/>
        <v>0</v>
      </c>
      <c r="I71">
        <f t="shared" ca="1" si="3"/>
        <v>0</v>
      </c>
    </row>
    <row r="72" spans="5:9" x14ac:dyDescent="0.75">
      <c r="E72">
        <v>66</v>
      </c>
      <c r="F72">
        <f t="shared" ref="F72:F135" ca="1" si="4">NORMINV(RAND(), 0,1)</f>
        <v>1.5419741925948267</v>
      </c>
      <c r="G72">
        <f t="shared" ref="G72:G135" ca="1" si="5">$C$5*EXP(($C$6-0.5*$C$7^2)*$C$8+$C$7*SQRT($C$8)*F72)</f>
        <v>140.26942317945213</v>
      </c>
      <c r="H72">
        <f t="shared" ref="H72:H135" ca="1" si="6">MAX(G72-$C$9,0)</f>
        <v>40.269423179452133</v>
      </c>
      <c r="I72">
        <f t="shared" ref="I72:I135" ca="1" si="7">EXP(-$C$6*$C$8)*H72</f>
        <v>38.305460235965967</v>
      </c>
    </row>
    <row r="73" spans="5:9" x14ac:dyDescent="0.75">
      <c r="E73">
        <v>67</v>
      </c>
      <c r="F73">
        <f t="shared" ca="1" si="4"/>
        <v>0.52550447131302158</v>
      </c>
      <c r="G73">
        <f t="shared" ca="1" si="5"/>
        <v>114.46522673718842</v>
      </c>
      <c r="H73">
        <f t="shared" ca="1" si="6"/>
        <v>14.465226737188416</v>
      </c>
      <c r="I73">
        <f t="shared" ca="1" si="7"/>
        <v>13.759749304488079</v>
      </c>
    </row>
    <row r="74" spans="5:9" x14ac:dyDescent="0.75">
      <c r="E74">
        <v>68</v>
      </c>
      <c r="F74">
        <f t="shared" ca="1" si="4"/>
        <v>1.6975391469076702</v>
      </c>
      <c r="G74">
        <f t="shared" ca="1" si="5"/>
        <v>144.70222575376542</v>
      </c>
      <c r="H74">
        <f t="shared" ca="1" si="6"/>
        <v>44.702225753765418</v>
      </c>
      <c r="I74">
        <f t="shared" ca="1" si="7"/>
        <v>42.522072477655279</v>
      </c>
    </row>
    <row r="75" spans="5:9" x14ac:dyDescent="0.75">
      <c r="E75">
        <v>69</v>
      </c>
      <c r="F75">
        <f t="shared" ca="1" si="4"/>
        <v>-0.13669528214086887</v>
      </c>
      <c r="G75">
        <f t="shared" ca="1" si="5"/>
        <v>100.26644870244512</v>
      </c>
      <c r="H75">
        <f t="shared" ca="1" si="6"/>
        <v>0.26644870244511765</v>
      </c>
      <c r="I75">
        <f t="shared" ca="1" si="7"/>
        <v>0.25345384588583125</v>
      </c>
    </row>
    <row r="76" spans="5:9" x14ac:dyDescent="0.75">
      <c r="E76">
        <v>70</v>
      </c>
      <c r="F76">
        <f t="shared" ca="1" si="4"/>
        <v>4.6277684777580215E-2</v>
      </c>
      <c r="G76">
        <f t="shared" ca="1" si="5"/>
        <v>104.00362173849341</v>
      </c>
      <c r="H76">
        <f t="shared" ca="1" si="6"/>
        <v>4.0036217384934076</v>
      </c>
      <c r="I76">
        <f t="shared" ca="1" si="7"/>
        <v>3.8083628022256324</v>
      </c>
    </row>
    <row r="77" spans="5:9" x14ac:dyDescent="0.75">
      <c r="E77">
        <v>71</v>
      </c>
      <c r="F77">
        <f t="shared" ca="1" si="4"/>
        <v>0.44311514446083572</v>
      </c>
      <c r="G77">
        <f t="shared" ca="1" si="5"/>
        <v>112.5945389395017</v>
      </c>
      <c r="H77">
        <f t="shared" ca="1" si="6"/>
        <v>12.594538939501703</v>
      </c>
      <c r="I77">
        <f t="shared" ca="1" si="7"/>
        <v>11.980296027274038</v>
      </c>
    </row>
    <row r="78" spans="5:9" x14ac:dyDescent="0.75">
      <c r="E78">
        <v>72</v>
      </c>
      <c r="F78">
        <f t="shared" ca="1" si="4"/>
        <v>0.81826275824351069</v>
      </c>
      <c r="G78">
        <f t="shared" ca="1" si="5"/>
        <v>121.36745204789847</v>
      </c>
      <c r="H78">
        <f t="shared" ca="1" si="6"/>
        <v>21.367452047898468</v>
      </c>
      <c r="I78">
        <f t="shared" ca="1" si="7"/>
        <v>20.325349114569061</v>
      </c>
    </row>
    <row r="79" spans="5:9" x14ac:dyDescent="0.75">
      <c r="E79">
        <v>73</v>
      </c>
      <c r="F79">
        <f t="shared" ca="1" si="4"/>
        <v>0.81810545049499517</v>
      </c>
      <c r="G79">
        <f t="shared" ca="1" si="5"/>
        <v>121.36363369983943</v>
      </c>
      <c r="H79">
        <f t="shared" ca="1" si="6"/>
        <v>21.363633699839426</v>
      </c>
      <c r="I79">
        <f t="shared" ca="1" si="7"/>
        <v>20.321716989542317</v>
      </c>
    </row>
    <row r="80" spans="5:9" x14ac:dyDescent="0.75">
      <c r="E80">
        <v>74</v>
      </c>
      <c r="F80">
        <f t="shared" ca="1" si="4"/>
        <v>3.3098198098973149E-3</v>
      </c>
      <c r="G80">
        <f t="shared" ca="1" si="5"/>
        <v>103.11368835399533</v>
      </c>
      <c r="H80">
        <f t="shared" ca="1" si="6"/>
        <v>3.1136883539953288</v>
      </c>
      <c r="I80">
        <f t="shared" ca="1" si="7"/>
        <v>2.961831981045552</v>
      </c>
    </row>
    <row r="81" spans="5:9" x14ac:dyDescent="0.75">
      <c r="E81">
        <v>75</v>
      </c>
      <c r="F81">
        <f t="shared" ca="1" si="4"/>
        <v>0.64823863522266134</v>
      </c>
      <c r="G81">
        <f t="shared" ca="1" si="5"/>
        <v>117.30975476546035</v>
      </c>
      <c r="H81">
        <f t="shared" ca="1" si="6"/>
        <v>17.309754765460355</v>
      </c>
      <c r="I81">
        <f t="shared" ca="1" si="7"/>
        <v>16.465548063797346</v>
      </c>
    </row>
    <row r="82" spans="5:9" x14ac:dyDescent="0.75">
      <c r="E82">
        <v>76</v>
      </c>
      <c r="F82">
        <f t="shared" ca="1" si="4"/>
        <v>-0.24200031973600242</v>
      </c>
      <c r="G82">
        <f t="shared" ca="1" si="5"/>
        <v>98.176818372643581</v>
      </c>
      <c r="H82">
        <f t="shared" ca="1" si="6"/>
        <v>0</v>
      </c>
      <c r="I82">
        <f t="shared" ca="1" si="7"/>
        <v>0</v>
      </c>
    </row>
    <row r="83" spans="5:9" x14ac:dyDescent="0.75">
      <c r="E83">
        <v>77</v>
      </c>
      <c r="F83">
        <f t="shared" ca="1" si="4"/>
        <v>0.16617464134805707</v>
      </c>
      <c r="G83">
        <f t="shared" ca="1" si="5"/>
        <v>106.5277073536141</v>
      </c>
      <c r="H83">
        <f t="shared" ca="1" si="6"/>
        <v>6.5277073536141046</v>
      </c>
      <c r="I83">
        <f t="shared" ca="1" si="7"/>
        <v>6.2093473092874234</v>
      </c>
    </row>
    <row r="84" spans="5:9" x14ac:dyDescent="0.75">
      <c r="E84">
        <v>78</v>
      </c>
      <c r="F84">
        <f t="shared" ca="1" si="4"/>
        <v>0.64319023179697965</v>
      </c>
      <c r="G84">
        <f t="shared" ca="1" si="5"/>
        <v>117.19136914778876</v>
      </c>
      <c r="H84">
        <f t="shared" ca="1" si="6"/>
        <v>17.191369147788762</v>
      </c>
      <c r="I84">
        <f t="shared" ca="1" si="7"/>
        <v>16.352936180830437</v>
      </c>
    </row>
    <row r="85" spans="5:9" x14ac:dyDescent="0.75">
      <c r="E85">
        <v>79</v>
      </c>
      <c r="F85">
        <f t="shared" ca="1" si="4"/>
        <v>-0.35885543450382557</v>
      </c>
      <c r="G85">
        <f t="shared" ca="1" si="5"/>
        <v>95.908930355060207</v>
      </c>
      <c r="H85">
        <f t="shared" ca="1" si="6"/>
        <v>0</v>
      </c>
      <c r="I85">
        <f t="shared" ca="1" si="7"/>
        <v>0</v>
      </c>
    </row>
    <row r="86" spans="5:9" x14ac:dyDescent="0.75">
      <c r="E86">
        <v>80</v>
      </c>
      <c r="F86">
        <f t="shared" ca="1" si="4"/>
        <v>-0.80524999128207841</v>
      </c>
      <c r="G86">
        <f t="shared" ca="1" si="5"/>
        <v>87.717391612825452</v>
      </c>
      <c r="H86">
        <f t="shared" ca="1" si="6"/>
        <v>0</v>
      </c>
      <c r="I86">
        <f t="shared" ca="1" si="7"/>
        <v>0</v>
      </c>
    </row>
    <row r="87" spans="5:9" x14ac:dyDescent="0.75">
      <c r="E87">
        <v>81</v>
      </c>
      <c r="F87">
        <f t="shared" ca="1" si="4"/>
        <v>1.7556907904407277</v>
      </c>
      <c r="G87">
        <f t="shared" ca="1" si="5"/>
        <v>146.39498479508194</v>
      </c>
      <c r="H87">
        <f t="shared" ca="1" si="6"/>
        <v>46.394984795081939</v>
      </c>
      <c r="I87">
        <f t="shared" ca="1" si="7"/>
        <v>44.13227468634517</v>
      </c>
    </row>
    <row r="88" spans="5:9" x14ac:dyDescent="0.75">
      <c r="E88">
        <v>82</v>
      </c>
      <c r="F88">
        <f t="shared" ca="1" si="4"/>
        <v>-0.9740779418641079</v>
      </c>
      <c r="G88">
        <f t="shared" ca="1" si="5"/>
        <v>84.805007996388269</v>
      </c>
      <c r="H88">
        <f t="shared" ca="1" si="6"/>
        <v>0</v>
      </c>
      <c r="I88">
        <f t="shared" ca="1" si="7"/>
        <v>0</v>
      </c>
    </row>
    <row r="89" spans="5:9" x14ac:dyDescent="0.75">
      <c r="E89">
        <v>83</v>
      </c>
      <c r="F89">
        <f t="shared" ca="1" si="4"/>
        <v>-2.880748567057486E-2</v>
      </c>
      <c r="G89">
        <f t="shared" ca="1" si="5"/>
        <v>102.4534643201922</v>
      </c>
      <c r="H89">
        <f t="shared" ca="1" si="6"/>
        <v>2.4534643201921966</v>
      </c>
      <c r="I89">
        <f t="shared" ca="1" si="7"/>
        <v>2.3338074533294586</v>
      </c>
    </row>
    <row r="90" spans="5:9" x14ac:dyDescent="0.75">
      <c r="E90">
        <v>84</v>
      </c>
      <c r="F90">
        <f t="shared" ca="1" si="4"/>
        <v>1.7165529181425205</v>
      </c>
      <c r="G90">
        <f t="shared" ca="1" si="5"/>
        <v>145.25354034988035</v>
      </c>
      <c r="H90">
        <f t="shared" ca="1" si="6"/>
        <v>45.253540349880353</v>
      </c>
      <c r="I90">
        <f t="shared" ca="1" si="7"/>
        <v>43.046499143636531</v>
      </c>
    </row>
    <row r="91" spans="5:9" x14ac:dyDescent="0.75">
      <c r="E91">
        <v>85</v>
      </c>
      <c r="F91">
        <f t="shared" ca="1" si="4"/>
        <v>0.76322168959962311</v>
      </c>
      <c r="G91">
        <f t="shared" ca="1" si="5"/>
        <v>120.03873998704837</v>
      </c>
      <c r="H91">
        <f t="shared" ca="1" si="6"/>
        <v>20.038739987048373</v>
      </c>
      <c r="I91">
        <f t="shared" ca="1" si="7"/>
        <v>19.061439105599469</v>
      </c>
    </row>
    <row r="92" spans="5:9" x14ac:dyDescent="0.75">
      <c r="E92">
        <v>86</v>
      </c>
      <c r="F92">
        <f t="shared" ca="1" si="4"/>
        <v>-1.3411058179283439</v>
      </c>
      <c r="G92">
        <f t="shared" ca="1" si="5"/>
        <v>78.802838863576312</v>
      </c>
      <c r="H92">
        <f t="shared" ca="1" si="6"/>
        <v>0</v>
      </c>
      <c r="I92">
        <f t="shared" ca="1" si="7"/>
        <v>0</v>
      </c>
    </row>
    <row r="93" spans="5:9" x14ac:dyDescent="0.75">
      <c r="E93">
        <v>87</v>
      </c>
      <c r="F93">
        <f t="shared" ca="1" si="4"/>
        <v>0.6709211852527075</v>
      </c>
      <c r="G93">
        <f t="shared" ca="1" si="5"/>
        <v>117.84314058205044</v>
      </c>
      <c r="H93">
        <f t="shared" ca="1" si="6"/>
        <v>17.843140582050438</v>
      </c>
      <c r="I93">
        <f t="shared" ca="1" si="7"/>
        <v>16.972920347149174</v>
      </c>
    </row>
    <row r="94" spans="5:9" x14ac:dyDescent="0.75">
      <c r="E94">
        <v>88</v>
      </c>
      <c r="F94">
        <f t="shared" ca="1" si="4"/>
        <v>-1.2209031213333521</v>
      </c>
      <c r="G94">
        <f t="shared" ca="1" si="5"/>
        <v>80.720257148181759</v>
      </c>
      <c r="H94">
        <f t="shared" ca="1" si="6"/>
        <v>0</v>
      </c>
      <c r="I94">
        <f t="shared" ca="1" si="7"/>
        <v>0</v>
      </c>
    </row>
    <row r="95" spans="5:9" x14ac:dyDescent="0.75">
      <c r="E95">
        <v>89</v>
      </c>
      <c r="F95">
        <f t="shared" ca="1" si="4"/>
        <v>0.52469898902823298</v>
      </c>
      <c r="G95">
        <f t="shared" ca="1" si="5"/>
        <v>114.44678827994115</v>
      </c>
      <c r="H95">
        <f t="shared" ca="1" si="6"/>
        <v>14.446788279941146</v>
      </c>
      <c r="I95">
        <f t="shared" ca="1" si="7"/>
        <v>13.742210101412075</v>
      </c>
    </row>
    <row r="96" spans="5:9" x14ac:dyDescent="0.75">
      <c r="E96">
        <v>90</v>
      </c>
      <c r="F96">
        <f t="shared" ca="1" si="4"/>
        <v>-0.15445517360350561</v>
      </c>
      <c r="G96">
        <f t="shared" ca="1" si="5"/>
        <v>99.910936213285666</v>
      </c>
      <c r="H96">
        <f t="shared" ca="1" si="6"/>
        <v>0</v>
      </c>
      <c r="I96">
        <f t="shared" ca="1" si="7"/>
        <v>0</v>
      </c>
    </row>
    <row r="97" spans="5:9" x14ac:dyDescent="0.75">
      <c r="E97">
        <v>91</v>
      </c>
      <c r="F97">
        <f t="shared" ca="1" si="4"/>
        <v>-0.5956363610195774</v>
      </c>
      <c r="G97">
        <f t="shared" ca="1" si="5"/>
        <v>91.472914657117869</v>
      </c>
      <c r="H97">
        <f t="shared" ca="1" si="6"/>
        <v>0</v>
      </c>
      <c r="I97">
        <f t="shared" ca="1" si="7"/>
        <v>0</v>
      </c>
    </row>
    <row r="98" spans="5:9" x14ac:dyDescent="0.75">
      <c r="E98">
        <v>92</v>
      </c>
      <c r="F98">
        <f t="shared" ca="1" si="4"/>
        <v>-0.27651244688052651</v>
      </c>
      <c r="G98">
        <f t="shared" ca="1" si="5"/>
        <v>97.501493575737726</v>
      </c>
      <c r="H98">
        <f t="shared" ca="1" si="6"/>
        <v>0</v>
      </c>
      <c r="I98">
        <f t="shared" ca="1" si="7"/>
        <v>0</v>
      </c>
    </row>
    <row r="99" spans="5:9" x14ac:dyDescent="0.75">
      <c r="E99">
        <v>93</v>
      </c>
      <c r="F99">
        <f t="shared" ca="1" si="4"/>
        <v>0.66999578683230332</v>
      </c>
      <c r="G99">
        <f t="shared" ca="1" si="5"/>
        <v>117.82133222902419</v>
      </c>
      <c r="H99">
        <f t="shared" ca="1" si="6"/>
        <v>17.821332229024193</v>
      </c>
      <c r="I99">
        <f t="shared" ca="1" si="7"/>
        <v>16.952175600050712</v>
      </c>
    </row>
    <row r="100" spans="5:9" x14ac:dyDescent="0.75">
      <c r="E100">
        <v>94</v>
      </c>
      <c r="F100">
        <f t="shared" ca="1" si="4"/>
        <v>0.94514720523104478</v>
      </c>
      <c r="G100">
        <f t="shared" ca="1" si="5"/>
        <v>124.48679263621702</v>
      </c>
      <c r="H100">
        <f t="shared" ca="1" si="6"/>
        <v>24.486792636217018</v>
      </c>
      <c r="I100">
        <f t="shared" ca="1" si="7"/>
        <v>23.292557667217036</v>
      </c>
    </row>
    <row r="101" spans="5:9" x14ac:dyDescent="0.75">
      <c r="E101">
        <v>95</v>
      </c>
      <c r="F101">
        <f t="shared" ca="1" si="4"/>
        <v>-0.98835304492934772</v>
      </c>
      <c r="G101">
        <f t="shared" ca="1" si="5"/>
        <v>84.563233250638646</v>
      </c>
      <c r="H101">
        <f t="shared" ca="1" si="6"/>
        <v>0</v>
      </c>
      <c r="I101">
        <f t="shared" ca="1" si="7"/>
        <v>0</v>
      </c>
    </row>
    <row r="102" spans="5:9" x14ac:dyDescent="0.75">
      <c r="E102">
        <v>96</v>
      </c>
      <c r="F102">
        <f t="shared" ca="1" si="4"/>
        <v>-1.6034707480320642</v>
      </c>
      <c r="G102">
        <f t="shared" ca="1" si="5"/>
        <v>74.774434094896662</v>
      </c>
      <c r="H102">
        <f t="shared" ca="1" si="6"/>
        <v>0</v>
      </c>
      <c r="I102">
        <f t="shared" ca="1" si="7"/>
        <v>0</v>
      </c>
    </row>
    <row r="103" spans="5:9" x14ac:dyDescent="0.75">
      <c r="E103">
        <v>97</v>
      </c>
      <c r="F103">
        <f t="shared" ca="1" si="4"/>
        <v>0.5570976160971588</v>
      </c>
      <c r="G103">
        <f t="shared" ca="1" si="5"/>
        <v>115.19077986993852</v>
      </c>
      <c r="H103">
        <f t="shared" ca="1" si="6"/>
        <v>15.190779869938524</v>
      </c>
      <c r="I103">
        <f t="shared" ca="1" si="7"/>
        <v>14.449916793398653</v>
      </c>
    </row>
    <row r="104" spans="5:9" x14ac:dyDescent="0.75">
      <c r="E104">
        <v>98</v>
      </c>
      <c r="F104">
        <f t="shared" ca="1" si="4"/>
        <v>-1.1981768499512446</v>
      </c>
      <c r="G104">
        <f t="shared" ca="1" si="5"/>
        <v>81.08798632038814</v>
      </c>
      <c r="H104">
        <f t="shared" ca="1" si="6"/>
        <v>0</v>
      </c>
      <c r="I104">
        <f t="shared" ca="1" si="7"/>
        <v>0</v>
      </c>
    </row>
    <row r="105" spans="5:9" x14ac:dyDescent="0.75">
      <c r="E105">
        <v>99</v>
      </c>
      <c r="F105">
        <f t="shared" ca="1" si="4"/>
        <v>-0.70347016637231941</v>
      </c>
      <c r="G105">
        <f t="shared" ca="1" si="5"/>
        <v>89.52126123019994</v>
      </c>
      <c r="H105">
        <f t="shared" ca="1" si="6"/>
        <v>0</v>
      </c>
      <c r="I105">
        <f t="shared" ca="1" si="7"/>
        <v>0</v>
      </c>
    </row>
    <row r="106" spans="5:9" x14ac:dyDescent="0.75">
      <c r="E106">
        <v>100</v>
      </c>
      <c r="F106">
        <f t="shared" ca="1" si="4"/>
        <v>-2.0130175967234889</v>
      </c>
      <c r="G106">
        <f t="shared" ca="1" si="5"/>
        <v>68.893832942193526</v>
      </c>
      <c r="H106">
        <f t="shared" ca="1" si="6"/>
        <v>0</v>
      </c>
      <c r="I106">
        <f t="shared" ca="1" si="7"/>
        <v>0</v>
      </c>
    </row>
    <row r="107" spans="5:9" x14ac:dyDescent="0.75">
      <c r="E107">
        <v>101</v>
      </c>
      <c r="F107">
        <f t="shared" ca="1" si="4"/>
        <v>-0.83079692714029552</v>
      </c>
      <c r="G107">
        <f t="shared" ca="1" si="5"/>
        <v>87.270352517824548</v>
      </c>
      <c r="H107">
        <f t="shared" ca="1" si="6"/>
        <v>0</v>
      </c>
      <c r="I107">
        <f t="shared" ca="1" si="7"/>
        <v>0</v>
      </c>
    </row>
    <row r="108" spans="5:9" x14ac:dyDescent="0.75">
      <c r="E108">
        <v>102</v>
      </c>
      <c r="F108">
        <f t="shared" ca="1" si="4"/>
        <v>7.227869924911411E-3</v>
      </c>
      <c r="G108">
        <f t="shared" ca="1" si="5"/>
        <v>103.19452094017443</v>
      </c>
      <c r="H108">
        <f t="shared" ca="1" si="6"/>
        <v>3.1945209401744279</v>
      </c>
      <c r="I108">
        <f t="shared" ca="1" si="7"/>
        <v>3.0387223154776009</v>
      </c>
    </row>
    <row r="109" spans="5:9" x14ac:dyDescent="0.75">
      <c r="E109">
        <v>103</v>
      </c>
      <c r="F109">
        <f t="shared" ca="1" si="4"/>
        <v>-0.18428304409775303</v>
      </c>
      <c r="G109">
        <f t="shared" ca="1" si="5"/>
        <v>99.316684408961336</v>
      </c>
      <c r="H109">
        <f t="shared" ca="1" si="6"/>
        <v>0</v>
      </c>
      <c r="I109">
        <f t="shared" ca="1" si="7"/>
        <v>0</v>
      </c>
    </row>
    <row r="110" spans="5:9" x14ac:dyDescent="0.75">
      <c r="E110">
        <v>104</v>
      </c>
      <c r="F110">
        <f t="shared" ca="1" si="4"/>
        <v>-6.7007415077898716E-2</v>
      </c>
      <c r="G110">
        <f t="shared" ca="1" si="5"/>
        <v>101.67370377191025</v>
      </c>
      <c r="H110">
        <f t="shared" ca="1" si="6"/>
        <v>1.6737037719102545</v>
      </c>
      <c r="I110">
        <f t="shared" ca="1" si="7"/>
        <v>1.5920762757388658</v>
      </c>
    </row>
    <row r="111" spans="5:9" x14ac:dyDescent="0.75">
      <c r="E111">
        <v>105</v>
      </c>
      <c r="F111">
        <f t="shared" ca="1" si="4"/>
        <v>-0.79869981451103822</v>
      </c>
      <c r="G111">
        <f t="shared" ca="1" si="5"/>
        <v>87.832379799867184</v>
      </c>
      <c r="H111">
        <f t="shared" ca="1" si="6"/>
        <v>0</v>
      </c>
      <c r="I111">
        <f t="shared" ca="1" si="7"/>
        <v>0</v>
      </c>
    </row>
    <row r="112" spans="5:9" x14ac:dyDescent="0.75">
      <c r="E112">
        <v>106</v>
      </c>
      <c r="F112">
        <f t="shared" ca="1" si="4"/>
        <v>3.6341471814075467E-2</v>
      </c>
      <c r="G112">
        <f t="shared" ca="1" si="5"/>
        <v>103.79714653768603</v>
      </c>
      <c r="H112">
        <f t="shared" ca="1" si="6"/>
        <v>3.7971465376860323</v>
      </c>
      <c r="I112">
        <f t="shared" ca="1" si="7"/>
        <v>3.6119575157879633</v>
      </c>
    </row>
    <row r="113" spans="5:9" x14ac:dyDescent="0.75">
      <c r="E113">
        <v>107</v>
      </c>
      <c r="F113">
        <f t="shared" ca="1" si="4"/>
        <v>2.5840259085746522E-2</v>
      </c>
      <c r="G113">
        <f t="shared" ca="1" si="5"/>
        <v>103.57937611980638</v>
      </c>
      <c r="H113">
        <f t="shared" ca="1" si="6"/>
        <v>3.5793761198063834</v>
      </c>
      <c r="I113">
        <f t="shared" ca="1" si="7"/>
        <v>3.4048078865150249</v>
      </c>
    </row>
    <row r="114" spans="5:9" x14ac:dyDescent="0.75">
      <c r="E114">
        <v>108</v>
      </c>
      <c r="F114">
        <f t="shared" ca="1" si="4"/>
        <v>0.26832973841588914</v>
      </c>
      <c r="G114">
        <f t="shared" ca="1" si="5"/>
        <v>108.7265629535021</v>
      </c>
      <c r="H114">
        <f t="shared" ca="1" si="6"/>
        <v>8.7265629535020963</v>
      </c>
      <c r="I114">
        <f t="shared" ca="1" si="7"/>
        <v>8.3009634561290504</v>
      </c>
    </row>
    <row r="115" spans="5:9" x14ac:dyDescent="0.75">
      <c r="E115">
        <v>109</v>
      </c>
      <c r="F115">
        <f t="shared" ca="1" si="4"/>
        <v>0.1210099508021083</v>
      </c>
      <c r="G115">
        <f t="shared" ca="1" si="5"/>
        <v>105.56978211925407</v>
      </c>
      <c r="H115">
        <f t="shared" ca="1" si="6"/>
        <v>5.5697821192540715</v>
      </c>
      <c r="I115">
        <f t="shared" ca="1" si="7"/>
        <v>5.2981406398924173</v>
      </c>
    </row>
    <row r="116" spans="5:9" x14ac:dyDescent="0.75">
      <c r="E116">
        <v>110</v>
      </c>
      <c r="F116">
        <f t="shared" ca="1" si="4"/>
        <v>0.78139026147477619</v>
      </c>
      <c r="G116">
        <f t="shared" ca="1" si="5"/>
        <v>120.47571993143349</v>
      </c>
      <c r="H116">
        <f t="shared" ca="1" si="6"/>
        <v>20.475719931433488</v>
      </c>
      <c r="I116">
        <f t="shared" ca="1" si="7"/>
        <v>19.477107286615276</v>
      </c>
    </row>
    <row r="117" spans="5:9" x14ac:dyDescent="0.75">
      <c r="E117">
        <v>111</v>
      </c>
      <c r="F117">
        <f t="shared" ca="1" si="4"/>
        <v>-7.4009810027350961E-3</v>
      </c>
      <c r="G117">
        <f t="shared" ca="1" si="5"/>
        <v>102.89303873637994</v>
      </c>
      <c r="H117">
        <f t="shared" ca="1" si="6"/>
        <v>2.8930387363799355</v>
      </c>
      <c r="I117">
        <f t="shared" ca="1" si="7"/>
        <v>2.7519435722649588</v>
      </c>
    </row>
    <row r="118" spans="5:9" x14ac:dyDescent="0.75">
      <c r="E118">
        <v>112</v>
      </c>
      <c r="F118">
        <f t="shared" ca="1" si="4"/>
        <v>2.1667407982376918</v>
      </c>
      <c r="G118">
        <f t="shared" ca="1" si="5"/>
        <v>158.93866063790773</v>
      </c>
      <c r="H118">
        <f t="shared" ca="1" si="6"/>
        <v>58.938660637907731</v>
      </c>
      <c r="I118">
        <f t="shared" ca="1" si="7"/>
        <v>56.064188239439858</v>
      </c>
    </row>
    <row r="119" spans="5:9" x14ac:dyDescent="0.75">
      <c r="E119">
        <v>113</v>
      </c>
      <c r="F119">
        <f t="shared" ca="1" si="4"/>
        <v>-0.21664669791230243</v>
      </c>
      <c r="G119">
        <f t="shared" ca="1" si="5"/>
        <v>98.675910266935389</v>
      </c>
      <c r="H119">
        <f t="shared" ca="1" si="6"/>
        <v>0</v>
      </c>
      <c r="I119">
        <f t="shared" ca="1" si="7"/>
        <v>0</v>
      </c>
    </row>
    <row r="120" spans="5:9" x14ac:dyDescent="0.75">
      <c r="E120">
        <v>114</v>
      </c>
      <c r="F120">
        <f t="shared" ca="1" si="4"/>
        <v>-0.71228206122034443</v>
      </c>
      <c r="G120">
        <f t="shared" ca="1" si="5"/>
        <v>89.363629786046388</v>
      </c>
      <c r="H120">
        <f t="shared" ca="1" si="6"/>
        <v>0</v>
      </c>
      <c r="I120">
        <f t="shared" ca="1" si="7"/>
        <v>0</v>
      </c>
    </row>
    <row r="121" spans="5:9" x14ac:dyDescent="0.75">
      <c r="E121">
        <v>115</v>
      </c>
      <c r="F121">
        <f t="shared" ca="1" si="4"/>
        <v>6.9748695457031884E-2</v>
      </c>
      <c r="G121">
        <f t="shared" ca="1" si="5"/>
        <v>104.49298344456963</v>
      </c>
      <c r="H121">
        <f t="shared" ca="1" si="6"/>
        <v>4.4929834445696315</v>
      </c>
      <c r="I121">
        <f t="shared" ca="1" si="7"/>
        <v>4.2738580562692059</v>
      </c>
    </row>
    <row r="122" spans="5:9" x14ac:dyDescent="0.75">
      <c r="E122">
        <v>116</v>
      </c>
      <c r="F122">
        <f t="shared" ca="1" si="4"/>
        <v>-0.1539320519616279</v>
      </c>
      <c r="G122">
        <f t="shared" ca="1" si="5"/>
        <v>99.92138987472849</v>
      </c>
      <c r="H122">
        <f t="shared" ca="1" si="6"/>
        <v>0</v>
      </c>
      <c r="I122">
        <f t="shared" ca="1" si="7"/>
        <v>0</v>
      </c>
    </row>
    <row r="123" spans="5:9" x14ac:dyDescent="0.75">
      <c r="E123">
        <v>117</v>
      </c>
      <c r="F123">
        <f t="shared" ca="1" si="4"/>
        <v>0.16351982550298971</v>
      </c>
      <c r="G123">
        <f t="shared" ca="1" si="5"/>
        <v>106.47116007811867</v>
      </c>
      <c r="H123">
        <f t="shared" ca="1" si="6"/>
        <v>6.4711600781186718</v>
      </c>
      <c r="I123">
        <f t="shared" ca="1" si="7"/>
        <v>6.1555578769608195</v>
      </c>
    </row>
    <row r="124" spans="5:9" x14ac:dyDescent="0.75">
      <c r="E124">
        <v>118</v>
      </c>
      <c r="F124">
        <f t="shared" ca="1" si="4"/>
        <v>0.75850867263538824</v>
      </c>
      <c r="G124">
        <f t="shared" ca="1" si="5"/>
        <v>119.9256443739916</v>
      </c>
      <c r="H124">
        <f t="shared" ca="1" si="6"/>
        <v>19.925644373991602</v>
      </c>
      <c r="I124">
        <f t="shared" ca="1" si="7"/>
        <v>18.953859230677921</v>
      </c>
    </row>
    <row r="125" spans="5:9" x14ac:dyDescent="0.75">
      <c r="E125">
        <v>119</v>
      </c>
      <c r="F125">
        <f t="shared" ca="1" si="4"/>
        <v>0.5065750418878564</v>
      </c>
      <c r="G125">
        <f t="shared" ca="1" si="5"/>
        <v>114.03269372788642</v>
      </c>
      <c r="H125">
        <f t="shared" ca="1" si="6"/>
        <v>14.032693727886425</v>
      </c>
      <c r="I125">
        <f t="shared" ca="1" si="7"/>
        <v>13.348311178972184</v>
      </c>
    </row>
    <row r="126" spans="5:9" x14ac:dyDescent="0.75">
      <c r="E126">
        <v>120</v>
      </c>
      <c r="F126">
        <f t="shared" ca="1" si="4"/>
        <v>0.47657481906084725</v>
      </c>
      <c r="G126">
        <f t="shared" ca="1" si="5"/>
        <v>113.35054100346709</v>
      </c>
      <c r="H126">
        <f t="shared" ca="1" si="6"/>
        <v>13.350541003467086</v>
      </c>
      <c r="I126">
        <f t="shared" ca="1" si="7"/>
        <v>12.699427435501182</v>
      </c>
    </row>
    <row r="127" spans="5:9" x14ac:dyDescent="0.75">
      <c r="E127">
        <v>121</v>
      </c>
      <c r="F127">
        <f t="shared" ca="1" si="4"/>
        <v>1.9124450179244212</v>
      </c>
      <c r="G127">
        <f t="shared" ca="1" si="5"/>
        <v>151.05729313293267</v>
      </c>
      <c r="H127">
        <f t="shared" ca="1" si="6"/>
        <v>51.057293132932671</v>
      </c>
      <c r="I127">
        <f t="shared" ca="1" si="7"/>
        <v>48.567199563403804</v>
      </c>
    </row>
    <row r="128" spans="5:9" x14ac:dyDescent="0.75">
      <c r="E128">
        <v>122</v>
      </c>
      <c r="F128">
        <f t="shared" ca="1" si="4"/>
        <v>-1.2180433723557988</v>
      </c>
      <c r="G128">
        <f t="shared" ca="1" si="5"/>
        <v>80.766438288139085</v>
      </c>
      <c r="H128">
        <f t="shared" ca="1" si="6"/>
        <v>0</v>
      </c>
      <c r="I128">
        <f t="shared" ca="1" si="7"/>
        <v>0</v>
      </c>
    </row>
    <row r="129" spans="5:9" x14ac:dyDescent="0.75">
      <c r="E129">
        <v>123</v>
      </c>
      <c r="F129">
        <f t="shared" ca="1" si="4"/>
        <v>-0.85035605935871472</v>
      </c>
      <c r="G129">
        <f t="shared" ca="1" si="5"/>
        <v>86.92963289759102</v>
      </c>
      <c r="H129">
        <f t="shared" ca="1" si="6"/>
        <v>0</v>
      </c>
      <c r="I129">
        <f t="shared" ca="1" si="7"/>
        <v>0</v>
      </c>
    </row>
    <row r="130" spans="5:9" x14ac:dyDescent="0.75">
      <c r="E130">
        <v>124</v>
      </c>
      <c r="F130">
        <f t="shared" ca="1" si="4"/>
        <v>0.3090884873986316</v>
      </c>
      <c r="G130">
        <f t="shared" ca="1" si="5"/>
        <v>109.61649702279139</v>
      </c>
      <c r="H130">
        <f t="shared" ca="1" si="6"/>
        <v>9.6164970227913926</v>
      </c>
      <c r="I130">
        <f t="shared" ca="1" si="7"/>
        <v>9.1474949287026863</v>
      </c>
    </row>
    <row r="131" spans="5:9" x14ac:dyDescent="0.75">
      <c r="E131">
        <v>125</v>
      </c>
      <c r="F131">
        <f t="shared" ca="1" si="4"/>
        <v>-0.63662417270494309</v>
      </c>
      <c r="G131">
        <f t="shared" ca="1" si="5"/>
        <v>90.726124847092564</v>
      </c>
      <c r="H131">
        <f t="shared" ca="1" si="6"/>
        <v>0</v>
      </c>
      <c r="I131">
        <f t="shared" ca="1" si="7"/>
        <v>0</v>
      </c>
    </row>
    <row r="132" spans="5:9" x14ac:dyDescent="0.75">
      <c r="E132">
        <v>126</v>
      </c>
      <c r="F132">
        <f t="shared" ca="1" si="4"/>
        <v>-0.27120304091647035</v>
      </c>
      <c r="G132">
        <f t="shared" ca="1" si="5"/>
        <v>97.605083568435376</v>
      </c>
      <c r="H132">
        <f t="shared" ca="1" si="6"/>
        <v>0</v>
      </c>
      <c r="I132">
        <f t="shared" ca="1" si="7"/>
        <v>0</v>
      </c>
    </row>
    <row r="133" spans="5:9" x14ac:dyDescent="0.75">
      <c r="E133">
        <v>127</v>
      </c>
      <c r="F133">
        <f t="shared" ca="1" si="4"/>
        <v>0.75453689828159909</v>
      </c>
      <c r="G133">
        <f t="shared" ca="1" si="5"/>
        <v>119.83041868075823</v>
      </c>
      <c r="H133">
        <f t="shared" ca="1" si="6"/>
        <v>19.830418680758228</v>
      </c>
      <c r="I133">
        <f t="shared" ca="1" si="7"/>
        <v>18.863277749305858</v>
      </c>
    </row>
    <row r="134" spans="5:9" x14ac:dyDescent="0.75">
      <c r="E134">
        <v>128</v>
      </c>
      <c r="F134">
        <f t="shared" ca="1" si="4"/>
        <v>-0.41542198626822729</v>
      </c>
      <c r="G134">
        <f t="shared" ca="1" si="5"/>
        <v>94.829997519134366</v>
      </c>
      <c r="H134">
        <f t="shared" ca="1" si="6"/>
        <v>0</v>
      </c>
      <c r="I134">
        <f t="shared" ca="1" si="7"/>
        <v>0</v>
      </c>
    </row>
    <row r="135" spans="5:9" x14ac:dyDescent="0.75">
      <c r="E135">
        <v>129</v>
      </c>
      <c r="F135">
        <f t="shared" ca="1" si="4"/>
        <v>-0.54214584416456912</v>
      </c>
      <c r="G135">
        <f t="shared" ca="1" si="5"/>
        <v>92.456754581062498</v>
      </c>
      <c r="H135">
        <f t="shared" ca="1" si="6"/>
        <v>0</v>
      </c>
      <c r="I135">
        <f t="shared" ca="1" si="7"/>
        <v>0</v>
      </c>
    </row>
    <row r="136" spans="5:9" x14ac:dyDescent="0.75">
      <c r="E136">
        <v>130</v>
      </c>
      <c r="F136">
        <f t="shared" ref="F136:F199" ca="1" si="8">NORMINV(RAND(), 0,1)</f>
        <v>0.22803820347064083</v>
      </c>
      <c r="G136">
        <f t="shared" ref="G136:G199" ca="1" si="9">$C$5*EXP(($C$6-0.5*$C$7^2)*$C$8+$C$7*SQRT($C$8)*F136)</f>
        <v>107.85393161906566</v>
      </c>
      <c r="H136">
        <f t="shared" ref="H136:H199" ca="1" si="10">MAX(G136-$C$9,0)</f>
        <v>7.8539316190656621</v>
      </c>
      <c r="I136">
        <f t="shared" ref="I136:I199" ca="1" si="11">EXP(-$C$6*$C$8)*H136</f>
        <v>7.4708908540717909</v>
      </c>
    </row>
    <row r="137" spans="5:9" x14ac:dyDescent="0.75">
      <c r="E137">
        <v>131</v>
      </c>
      <c r="F137">
        <f t="shared" ca="1" si="8"/>
        <v>-2.0349829497490761</v>
      </c>
      <c r="G137">
        <f t="shared" ca="1" si="9"/>
        <v>68.591841290824277</v>
      </c>
      <c r="H137">
        <f t="shared" ca="1" si="10"/>
        <v>0</v>
      </c>
      <c r="I137">
        <f t="shared" ca="1" si="11"/>
        <v>0</v>
      </c>
    </row>
    <row r="138" spans="5:9" x14ac:dyDescent="0.75">
      <c r="E138">
        <v>132</v>
      </c>
      <c r="F138">
        <f t="shared" ca="1" si="8"/>
        <v>-0.10011322888506768</v>
      </c>
      <c r="G138">
        <f t="shared" ca="1" si="9"/>
        <v>101.00272939723025</v>
      </c>
      <c r="H138">
        <f t="shared" ca="1" si="10"/>
        <v>1.0027293972302544</v>
      </c>
      <c r="I138">
        <f t="shared" ca="1" si="11"/>
        <v>0.95382570745728279</v>
      </c>
    </row>
    <row r="139" spans="5:9" x14ac:dyDescent="0.75">
      <c r="E139">
        <v>133</v>
      </c>
      <c r="F139">
        <f t="shared" ca="1" si="8"/>
        <v>0.70005196839262374</v>
      </c>
      <c r="G139">
        <f t="shared" ca="1" si="9"/>
        <v>118.53171710619677</v>
      </c>
      <c r="H139">
        <f t="shared" ca="1" si="10"/>
        <v>18.531717106196766</v>
      </c>
      <c r="I139">
        <f t="shared" ca="1" si="11"/>
        <v>17.627914597937586</v>
      </c>
    </row>
    <row r="140" spans="5:9" x14ac:dyDescent="0.75">
      <c r="E140">
        <v>134</v>
      </c>
      <c r="F140">
        <f t="shared" ca="1" si="8"/>
        <v>-1.2411755775076072</v>
      </c>
      <c r="G140">
        <f t="shared" ca="1" si="9"/>
        <v>80.393640153405968</v>
      </c>
      <c r="H140">
        <f t="shared" ca="1" si="10"/>
        <v>0</v>
      </c>
      <c r="I140">
        <f t="shared" ca="1" si="11"/>
        <v>0</v>
      </c>
    </row>
    <row r="141" spans="5:9" x14ac:dyDescent="0.75">
      <c r="E141">
        <v>135</v>
      </c>
      <c r="F141">
        <f t="shared" ca="1" si="8"/>
        <v>-1.9726863551177807</v>
      </c>
      <c r="G141">
        <f t="shared" ca="1" si="9"/>
        <v>69.451795011519096</v>
      </c>
      <c r="H141">
        <f t="shared" ca="1" si="10"/>
        <v>0</v>
      </c>
      <c r="I141">
        <f t="shared" ca="1" si="11"/>
        <v>0</v>
      </c>
    </row>
    <row r="142" spans="5:9" x14ac:dyDescent="0.75">
      <c r="E142">
        <v>136</v>
      </c>
      <c r="F142">
        <f t="shared" ca="1" si="8"/>
        <v>0.21990292598077657</v>
      </c>
      <c r="G142">
        <f t="shared" ca="1" si="9"/>
        <v>107.67858997062541</v>
      </c>
      <c r="H142">
        <f t="shared" ca="1" si="10"/>
        <v>7.6785899706254099</v>
      </c>
      <c r="I142">
        <f t="shared" ca="1" si="11"/>
        <v>7.3041007187349631</v>
      </c>
    </row>
    <row r="143" spans="5:9" x14ac:dyDescent="0.75">
      <c r="E143">
        <v>137</v>
      </c>
      <c r="F143">
        <f t="shared" ca="1" si="8"/>
        <v>-1.2735333955750405</v>
      </c>
      <c r="G143">
        <f t="shared" ca="1" si="9"/>
        <v>79.875047459772929</v>
      </c>
      <c r="H143">
        <f t="shared" ca="1" si="10"/>
        <v>0</v>
      </c>
      <c r="I143">
        <f t="shared" ca="1" si="11"/>
        <v>0</v>
      </c>
    </row>
    <row r="144" spans="5:9" x14ac:dyDescent="0.75">
      <c r="E144">
        <v>138</v>
      </c>
      <c r="F144">
        <f t="shared" ca="1" si="8"/>
        <v>-1.7214339280744699</v>
      </c>
      <c r="G144">
        <f t="shared" ca="1" si="9"/>
        <v>73.030955584900084</v>
      </c>
      <c r="H144">
        <f t="shared" ca="1" si="10"/>
        <v>0</v>
      </c>
      <c r="I144">
        <f t="shared" ca="1" si="11"/>
        <v>0</v>
      </c>
    </row>
    <row r="145" spans="5:9" x14ac:dyDescent="0.75">
      <c r="E145">
        <v>139</v>
      </c>
      <c r="F145">
        <f t="shared" ca="1" si="8"/>
        <v>1.0319567263777791</v>
      </c>
      <c r="G145">
        <f t="shared" ca="1" si="9"/>
        <v>126.66699184718529</v>
      </c>
      <c r="H145">
        <f t="shared" ca="1" si="10"/>
        <v>26.666991847185287</v>
      </c>
      <c r="I145">
        <f t="shared" ca="1" si="11"/>
        <v>25.366427307963292</v>
      </c>
    </row>
    <row r="146" spans="5:9" x14ac:dyDescent="0.75">
      <c r="E146">
        <v>140</v>
      </c>
      <c r="F146">
        <f t="shared" ca="1" si="8"/>
        <v>-1.1869816440175547</v>
      </c>
      <c r="G146">
        <f t="shared" ca="1" si="9"/>
        <v>81.26974907271746</v>
      </c>
      <c r="H146">
        <f t="shared" ca="1" si="10"/>
        <v>0</v>
      </c>
      <c r="I146">
        <f t="shared" ca="1" si="11"/>
        <v>0</v>
      </c>
    </row>
    <row r="147" spans="5:9" x14ac:dyDescent="0.75">
      <c r="E147">
        <v>141</v>
      </c>
      <c r="F147">
        <f t="shared" ca="1" si="8"/>
        <v>0.14095694744482098</v>
      </c>
      <c r="G147">
        <f t="shared" ca="1" si="9"/>
        <v>105.9917833431649</v>
      </c>
      <c r="H147">
        <f t="shared" ca="1" si="10"/>
        <v>5.9917833431648972</v>
      </c>
      <c r="I147">
        <f t="shared" ca="1" si="11"/>
        <v>5.6995606212517096</v>
      </c>
    </row>
    <row r="148" spans="5:9" x14ac:dyDescent="0.75">
      <c r="E148">
        <v>142</v>
      </c>
      <c r="F148">
        <f t="shared" ca="1" si="8"/>
        <v>1.0538624175666911</v>
      </c>
      <c r="G148">
        <f t="shared" ca="1" si="9"/>
        <v>127.22315487258065</v>
      </c>
      <c r="H148">
        <f t="shared" ca="1" si="10"/>
        <v>27.22315487258065</v>
      </c>
      <c r="I148">
        <f t="shared" ca="1" si="11"/>
        <v>25.895465942538699</v>
      </c>
    </row>
    <row r="149" spans="5:9" x14ac:dyDescent="0.75">
      <c r="E149">
        <v>143</v>
      </c>
      <c r="F149">
        <f t="shared" ca="1" si="8"/>
        <v>-1.5401084161884309</v>
      </c>
      <c r="G149">
        <f t="shared" ca="1" si="9"/>
        <v>75.728040104538081</v>
      </c>
      <c r="H149">
        <f t="shared" ca="1" si="10"/>
        <v>0</v>
      </c>
      <c r="I149">
        <f t="shared" ca="1" si="11"/>
        <v>0</v>
      </c>
    </row>
    <row r="150" spans="5:9" x14ac:dyDescent="0.75">
      <c r="E150">
        <v>144</v>
      </c>
      <c r="F150">
        <f t="shared" ca="1" si="8"/>
        <v>0.58853764744404236</v>
      </c>
      <c r="G150">
        <f t="shared" ca="1" si="9"/>
        <v>115.91738226203938</v>
      </c>
      <c r="H150">
        <f t="shared" ca="1" si="10"/>
        <v>15.917382262039382</v>
      </c>
      <c r="I150">
        <f t="shared" ca="1" si="11"/>
        <v>15.141082368677594</v>
      </c>
    </row>
    <row r="151" spans="5:9" x14ac:dyDescent="0.75">
      <c r="E151">
        <v>145</v>
      </c>
      <c r="F151">
        <f t="shared" ca="1" si="8"/>
        <v>-1.4633635240851857</v>
      </c>
      <c r="G151">
        <f t="shared" ca="1" si="9"/>
        <v>76.899354401022165</v>
      </c>
      <c r="H151">
        <f t="shared" ca="1" si="10"/>
        <v>0</v>
      </c>
      <c r="I151">
        <f t="shared" ca="1" si="11"/>
        <v>0</v>
      </c>
    </row>
    <row r="152" spans="5:9" x14ac:dyDescent="0.75">
      <c r="E152">
        <v>146</v>
      </c>
      <c r="F152">
        <f t="shared" ca="1" si="8"/>
        <v>-0.33942522992424562</v>
      </c>
      <c r="G152">
        <f t="shared" ca="1" si="9"/>
        <v>96.282361497028575</v>
      </c>
      <c r="H152">
        <f t="shared" ca="1" si="10"/>
        <v>0</v>
      </c>
      <c r="I152">
        <f t="shared" ca="1" si="11"/>
        <v>0</v>
      </c>
    </row>
    <row r="153" spans="5:9" x14ac:dyDescent="0.75">
      <c r="E153">
        <v>147</v>
      </c>
      <c r="F153">
        <f t="shared" ca="1" si="8"/>
        <v>-0.56147865401096952</v>
      </c>
      <c r="G153">
        <f t="shared" ca="1" si="9"/>
        <v>92.099955048269976</v>
      </c>
      <c r="H153">
        <f t="shared" ca="1" si="10"/>
        <v>0</v>
      </c>
      <c r="I153">
        <f t="shared" ca="1" si="11"/>
        <v>0</v>
      </c>
    </row>
    <row r="154" spans="5:9" x14ac:dyDescent="0.75">
      <c r="E154">
        <v>148</v>
      </c>
      <c r="F154">
        <f t="shared" ca="1" si="8"/>
        <v>-1.4644697210796469</v>
      </c>
      <c r="G154">
        <f t="shared" ca="1" si="9"/>
        <v>76.882343115931931</v>
      </c>
      <c r="H154">
        <f t="shared" ca="1" si="10"/>
        <v>0</v>
      </c>
      <c r="I154">
        <f t="shared" ca="1" si="11"/>
        <v>0</v>
      </c>
    </row>
    <row r="155" spans="5:9" x14ac:dyDescent="0.75">
      <c r="E155">
        <v>149</v>
      </c>
      <c r="F155">
        <f t="shared" ca="1" si="8"/>
        <v>1.2389677391135945</v>
      </c>
      <c r="G155">
        <f t="shared" ca="1" si="9"/>
        <v>132.0213608097888</v>
      </c>
      <c r="H155">
        <f t="shared" ca="1" si="10"/>
        <v>32.021360809788803</v>
      </c>
      <c r="I155">
        <f t="shared" ca="1" si="11"/>
        <v>30.459660614825122</v>
      </c>
    </row>
    <row r="156" spans="5:9" x14ac:dyDescent="0.75">
      <c r="E156">
        <v>150</v>
      </c>
      <c r="F156">
        <f t="shared" ca="1" si="8"/>
        <v>0.98833032528680786</v>
      </c>
      <c r="G156">
        <f t="shared" ca="1" si="9"/>
        <v>125.56659446780883</v>
      </c>
      <c r="H156">
        <f t="shared" ca="1" si="10"/>
        <v>25.566594467808827</v>
      </c>
      <c r="I156">
        <f t="shared" ca="1" si="11"/>
        <v>24.319696942056929</v>
      </c>
    </row>
    <row r="157" spans="5:9" x14ac:dyDescent="0.75">
      <c r="E157">
        <v>151</v>
      </c>
      <c r="F157">
        <f t="shared" ca="1" si="8"/>
        <v>-0.74639382906512752</v>
      </c>
      <c r="G157">
        <f t="shared" ca="1" si="9"/>
        <v>88.756034479129525</v>
      </c>
      <c r="H157">
        <f t="shared" ca="1" si="10"/>
        <v>0</v>
      </c>
      <c r="I157">
        <f t="shared" ca="1" si="11"/>
        <v>0</v>
      </c>
    </row>
    <row r="158" spans="5:9" x14ac:dyDescent="0.75">
      <c r="E158">
        <v>152</v>
      </c>
      <c r="F158">
        <f t="shared" ca="1" si="8"/>
        <v>0.37235634657653888</v>
      </c>
      <c r="G158">
        <f t="shared" ca="1" si="9"/>
        <v>111.01234987998218</v>
      </c>
      <c r="H158">
        <f t="shared" ca="1" si="10"/>
        <v>11.012349879982182</v>
      </c>
      <c r="I158">
        <f t="shared" ca="1" si="11"/>
        <v>10.475271238735958</v>
      </c>
    </row>
    <row r="159" spans="5:9" x14ac:dyDescent="0.75">
      <c r="E159">
        <v>153</v>
      </c>
      <c r="F159">
        <f t="shared" ca="1" si="8"/>
        <v>-1.7822100388522648</v>
      </c>
      <c r="G159">
        <f t="shared" ca="1" si="9"/>
        <v>72.148621442958373</v>
      </c>
      <c r="H159">
        <f t="shared" ca="1" si="10"/>
        <v>0</v>
      </c>
      <c r="I159">
        <f t="shared" ca="1" si="11"/>
        <v>0</v>
      </c>
    </row>
    <row r="160" spans="5:9" x14ac:dyDescent="0.75">
      <c r="E160">
        <v>154</v>
      </c>
      <c r="F160">
        <f t="shared" ca="1" si="8"/>
        <v>-3.1766952346136494</v>
      </c>
      <c r="G160">
        <f t="shared" ca="1" si="9"/>
        <v>54.588931316862535</v>
      </c>
      <c r="H160">
        <f t="shared" ca="1" si="10"/>
        <v>0</v>
      </c>
      <c r="I160">
        <f t="shared" ca="1" si="11"/>
        <v>0</v>
      </c>
    </row>
    <row r="161" spans="5:9" x14ac:dyDescent="0.75">
      <c r="E161">
        <v>155</v>
      </c>
      <c r="F161">
        <f t="shared" ca="1" si="8"/>
        <v>2.2131373924027549</v>
      </c>
      <c r="G161">
        <f t="shared" ca="1" si="9"/>
        <v>160.42036712638085</v>
      </c>
      <c r="H161">
        <f t="shared" ca="1" si="10"/>
        <v>60.420367126380853</v>
      </c>
      <c r="I161">
        <f t="shared" ca="1" si="11"/>
        <v>57.473631049749116</v>
      </c>
    </row>
    <row r="162" spans="5:9" x14ac:dyDescent="0.75">
      <c r="E162">
        <v>156</v>
      </c>
      <c r="F162">
        <f t="shared" ca="1" si="8"/>
        <v>0.61010570372961415</v>
      </c>
      <c r="G162">
        <f t="shared" ca="1" si="9"/>
        <v>116.41848479080356</v>
      </c>
      <c r="H162">
        <f t="shared" ca="1" si="10"/>
        <v>16.418484790803561</v>
      </c>
      <c r="I162">
        <f t="shared" ca="1" si="11"/>
        <v>15.617745838729798</v>
      </c>
    </row>
    <row r="163" spans="5:9" x14ac:dyDescent="0.75">
      <c r="E163">
        <v>157</v>
      </c>
      <c r="F163">
        <f t="shared" ca="1" si="8"/>
        <v>0.36798643857606356</v>
      </c>
      <c r="G163">
        <f t="shared" ca="1" si="9"/>
        <v>110.91536951450442</v>
      </c>
      <c r="H163">
        <f t="shared" ca="1" si="10"/>
        <v>10.91536951450442</v>
      </c>
      <c r="I163">
        <f t="shared" ca="1" si="11"/>
        <v>10.383020661494678</v>
      </c>
    </row>
    <row r="164" spans="5:9" x14ac:dyDescent="0.75">
      <c r="E164">
        <v>158</v>
      </c>
      <c r="F164">
        <f t="shared" ca="1" si="8"/>
        <v>0.27985860752321834</v>
      </c>
      <c r="G164">
        <f t="shared" ca="1" si="9"/>
        <v>108.97755106576747</v>
      </c>
      <c r="H164">
        <f t="shared" ca="1" si="10"/>
        <v>8.9775510657674715</v>
      </c>
      <c r="I164">
        <f t="shared" ca="1" si="11"/>
        <v>8.5397107337157632</v>
      </c>
    </row>
    <row r="165" spans="5:9" x14ac:dyDescent="0.75">
      <c r="E165">
        <v>159</v>
      </c>
      <c r="F165">
        <f t="shared" ca="1" si="8"/>
        <v>1.1873407508792533</v>
      </c>
      <c r="G165">
        <f t="shared" ca="1" si="9"/>
        <v>130.66520125365162</v>
      </c>
      <c r="H165">
        <f t="shared" ca="1" si="10"/>
        <v>30.665201253651617</v>
      </c>
      <c r="I165">
        <f t="shared" ca="1" si="11"/>
        <v>29.169641740709601</v>
      </c>
    </row>
    <row r="166" spans="5:9" x14ac:dyDescent="0.75">
      <c r="E166">
        <v>160</v>
      </c>
      <c r="F166">
        <f t="shared" ca="1" si="8"/>
        <v>0.98678224710259788</v>
      </c>
      <c r="G166">
        <f t="shared" ca="1" si="9"/>
        <v>125.52772310459805</v>
      </c>
      <c r="H166">
        <f t="shared" ca="1" si="10"/>
        <v>25.527723104598053</v>
      </c>
      <c r="I166">
        <f t="shared" ca="1" si="11"/>
        <v>24.282721357600387</v>
      </c>
    </row>
    <row r="167" spans="5:9" x14ac:dyDescent="0.75">
      <c r="E167">
        <v>161</v>
      </c>
      <c r="F167">
        <f t="shared" ca="1" si="8"/>
        <v>-4.1519178826013914E-2</v>
      </c>
      <c r="G167">
        <f t="shared" ca="1" si="9"/>
        <v>102.19332374279982</v>
      </c>
      <c r="H167">
        <f t="shared" ca="1" si="10"/>
        <v>2.1933237427998193</v>
      </c>
      <c r="I167">
        <f t="shared" ca="1" si="11"/>
        <v>2.0863540816072241</v>
      </c>
    </row>
    <row r="168" spans="5:9" x14ac:dyDescent="0.75">
      <c r="E168">
        <v>162</v>
      </c>
      <c r="F168">
        <f t="shared" ca="1" si="8"/>
        <v>-0.50347460568278379</v>
      </c>
      <c r="G168">
        <f t="shared" ca="1" si="9"/>
        <v>93.174610481442045</v>
      </c>
      <c r="H168">
        <f t="shared" ca="1" si="10"/>
        <v>0</v>
      </c>
      <c r="I168">
        <f t="shared" ca="1" si="11"/>
        <v>0</v>
      </c>
    </row>
    <row r="169" spans="5:9" x14ac:dyDescent="0.75">
      <c r="E169">
        <v>163</v>
      </c>
      <c r="F169">
        <f t="shared" ca="1" si="8"/>
        <v>-0.75470880095436199</v>
      </c>
      <c r="G169">
        <f t="shared" ca="1" si="9"/>
        <v>88.608556354425033</v>
      </c>
      <c r="H169">
        <f t="shared" ca="1" si="10"/>
        <v>0</v>
      </c>
      <c r="I169">
        <f t="shared" ca="1" si="11"/>
        <v>0</v>
      </c>
    </row>
    <row r="170" spans="5:9" x14ac:dyDescent="0.75">
      <c r="E170">
        <v>164</v>
      </c>
      <c r="F170">
        <f t="shared" ca="1" si="8"/>
        <v>-0.14570016895344179</v>
      </c>
      <c r="G170">
        <f t="shared" ca="1" si="9"/>
        <v>100.08603360862718</v>
      </c>
      <c r="H170">
        <f t="shared" ca="1" si="10"/>
        <v>8.6033608627175795E-2</v>
      </c>
      <c r="I170">
        <f t="shared" ca="1" si="11"/>
        <v>8.1837700022148102E-2</v>
      </c>
    </row>
    <row r="171" spans="5:9" x14ac:dyDescent="0.75">
      <c r="E171">
        <v>165</v>
      </c>
      <c r="F171">
        <f t="shared" ca="1" si="8"/>
        <v>1.5670118140144185</v>
      </c>
      <c r="G171">
        <f t="shared" ca="1" si="9"/>
        <v>140.97358731038062</v>
      </c>
      <c r="H171">
        <f t="shared" ca="1" si="10"/>
        <v>40.973587310380623</v>
      </c>
      <c r="I171">
        <f t="shared" ca="1" si="11"/>
        <v>38.975281876983118</v>
      </c>
    </row>
    <row r="172" spans="5:9" x14ac:dyDescent="0.75">
      <c r="E172">
        <v>166</v>
      </c>
      <c r="F172">
        <f t="shared" ca="1" si="8"/>
        <v>1.0718293970288626</v>
      </c>
      <c r="G172">
        <f t="shared" ca="1" si="9"/>
        <v>127.68114040357406</v>
      </c>
      <c r="H172">
        <f t="shared" ca="1" si="10"/>
        <v>27.681140403574062</v>
      </c>
      <c r="I172">
        <f t="shared" ca="1" si="11"/>
        <v>26.331115255615217</v>
      </c>
    </row>
    <row r="173" spans="5:9" x14ac:dyDescent="0.75">
      <c r="E173">
        <v>167</v>
      </c>
      <c r="F173">
        <f t="shared" ca="1" si="8"/>
        <v>0.49383870883357506</v>
      </c>
      <c r="G173">
        <f t="shared" ca="1" si="9"/>
        <v>113.74259169508052</v>
      </c>
      <c r="H173">
        <f t="shared" ca="1" si="10"/>
        <v>13.74259169508052</v>
      </c>
      <c r="I173">
        <f t="shared" ca="1" si="11"/>
        <v>13.072357589259735</v>
      </c>
    </row>
    <row r="174" spans="5:9" x14ac:dyDescent="0.75">
      <c r="E174">
        <v>168</v>
      </c>
      <c r="F174">
        <f t="shared" ca="1" si="8"/>
        <v>-0.11708022710714923</v>
      </c>
      <c r="G174">
        <f t="shared" ca="1" si="9"/>
        <v>100.66056764532946</v>
      </c>
      <c r="H174">
        <f t="shared" ca="1" si="10"/>
        <v>0.66056764532946488</v>
      </c>
      <c r="I174">
        <f t="shared" ca="1" si="11"/>
        <v>0.62835138111053868</v>
      </c>
    </row>
    <row r="175" spans="5:9" x14ac:dyDescent="0.75">
      <c r="E175">
        <v>169</v>
      </c>
      <c r="F175">
        <f t="shared" ca="1" si="8"/>
        <v>-0.31963486062393015</v>
      </c>
      <c r="G175">
        <f t="shared" ca="1" si="9"/>
        <v>96.664209387819241</v>
      </c>
      <c r="H175">
        <f t="shared" ca="1" si="10"/>
        <v>0</v>
      </c>
      <c r="I175">
        <f t="shared" ca="1" si="11"/>
        <v>0</v>
      </c>
    </row>
    <row r="176" spans="5:9" x14ac:dyDescent="0.75">
      <c r="E176">
        <v>170</v>
      </c>
      <c r="F176">
        <f t="shared" ca="1" si="8"/>
        <v>0.71129685653435815</v>
      </c>
      <c r="G176">
        <f t="shared" ca="1" si="9"/>
        <v>118.79859227187106</v>
      </c>
      <c r="H176">
        <f t="shared" ca="1" si="10"/>
        <v>18.798592271871058</v>
      </c>
      <c r="I176">
        <f t="shared" ca="1" si="11"/>
        <v>17.881774108195476</v>
      </c>
    </row>
    <row r="177" spans="5:9" x14ac:dyDescent="0.75">
      <c r="E177">
        <v>171</v>
      </c>
      <c r="F177">
        <f t="shared" ca="1" si="8"/>
        <v>-1.2955847519898316</v>
      </c>
      <c r="G177">
        <f t="shared" ca="1" si="9"/>
        <v>79.52355249553861</v>
      </c>
      <c r="H177">
        <f t="shared" ca="1" si="10"/>
        <v>0</v>
      </c>
      <c r="I177">
        <f t="shared" ca="1" si="11"/>
        <v>0</v>
      </c>
    </row>
    <row r="178" spans="5:9" x14ac:dyDescent="0.75">
      <c r="E178">
        <v>172</v>
      </c>
      <c r="F178">
        <f t="shared" ca="1" si="8"/>
        <v>-0.84434274342408289</v>
      </c>
      <c r="G178">
        <f t="shared" ca="1" si="9"/>
        <v>87.034242859596148</v>
      </c>
      <c r="H178">
        <f t="shared" ca="1" si="10"/>
        <v>0</v>
      </c>
      <c r="I178">
        <f t="shared" ca="1" si="11"/>
        <v>0</v>
      </c>
    </row>
    <row r="179" spans="5:9" x14ac:dyDescent="0.75">
      <c r="E179">
        <v>173</v>
      </c>
      <c r="F179">
        <f t="shared" ca="1" si="8"/>
        <v>0.20871275934694083</v>
      </c>
      <c r="G179">
        <f t="shared" ca="1" si="9"/>
        <v>107.43787116652072</v>
      </c>
      <c r="H179">
        <f t="shared" ca="1" si="10"/>
        <v>7.437871166520722</v>
      </c>
      <c r="I179">
        <f t="shared" ca="1" si="11"/>
        <v>7.0751219092399609</v>
      </c>
    </row>
    <row r="180" spans="5:9" x14ac:dyDescent="0.75">
      <c r="E180">
        <v>174</v>
      </c>
      <c r="F180">
        <f t="shared" ca="1" si="8"/>
        <v>0.14590676035619646</v>
      </c>
      <c r="G180">
        <f t="shared" ca="1" si="9"/>
        <v>106.09676319719334</v>
      </c>
      <c r="H180">
        <f t="shared" ca="1" si="10"/>
        <v>6.09676319719334</v>
      </c>
      <c r="I180">
        <f t="shared" ca="1" si="11"/>
        <v>5.7994205473833542</v>
      </c>
    </row>
    <row r="181" spans="5:9" x14ac:dyDescent="0.75">
      <c r="E181">
        <v>175</v>
      </c>
      <c r="F181">
        <f t="shared" ca="1" si="8"/>
        <v>-2.1205389593000761</v>
      </c>
      <c r="G181">
        <f t="shared" ca="1" si="9"/>
        <v>67.428137027996101</v>
      </c>
      <c r="H181">
        <f t="shared" ca="1" si="10"/>
        <v>0</v>
      </c>
      <c r="I181">
        <f t="shared" ca="1" si="11"/>
        <v>0</v>
      </c>
    </row>
    <row r="182" spans="5:9" x14ac:dyDescent="0.75">
      <c r="E182">
        <v>176</v>
      </c>
      <c r="F182">
        <f t="shared" ca="1" si="8"/>
        <v>0.4468980833018168</v>
      </c>
      <c r="G182">
        <f t="shared" ca="1" si="9"/>
        <v>112.67975882452517</v>
      </c>
      <c r="H182">
        <f t="shared" ca="1" si="10"/>
        <v>12.679758824525166</v>
      </c>
      <c r="I182">
        <f t="shared" ca="1" si="11"/>
        <v>12.061359689460923</v>
      </c>
    </row>
    <row r="183" spans="5:9" x14ac:dyDescent="0.75">
      <c r="E183">
        <v>177</v>
      </c>
      <c r="F183">
        <f t="shared" ca="1" si="8"/>
        <v>-0.34752826096574657</v>
      </c>
      <c r="G183">
        <f t="shared" ca="1" si="9"/>
        <v>96.126452072250459</v>
      </c>
      <c r="H183">
        <f t="shared" ca="1" si="10"/>
        <v>0</v>
      </c>
      <c r="I183">
        <f t="shared" ca="1" si="11"/>
        <v>0</v>
      </c>
    </row>
    <row r="184" spans="5:9" x14ac:dyDescent="0.75">
      <c r="E184">
        <v>178</v>
      </c>
      <c r="F184">
        <f t="shared" ca="1" si="8"/>
        <v>-0.25035029243209678</v>
      </c>
      <c r="G184">
        <f t="shared" ca="1" si="9"/>
        <v>98.013000447675836</v>
      </c>
      <c r="H184">
        <f t="shared" ca="1" si="10"/>
        <v>0</v>
      </c>
      <c r="I184">
        <f t="shared" ca="1" si="11"/>
        <v>0</v>
      </c>
    </row>
    <row r="185" spans="5:9" x14ac:dyDescent="0.75">
      <c r="E185">
        <v>179</v>
      </c>
      <c r="F185">
        <f t="shared" ca="1" si="8"/>
        <v>-0.26220425387913565</v>
      </c>
      <c r="G185">
        <f t="shared" ca="1" si="9"/>
        <v>97.780907213087943</v>
      </c>
      <c r="H185">
        <f t="shared" ca="1" si="10"/>
        <v>0</v>
      </c>
      <c r="I185">
        <f t="shared" ca="1" si="11"/>
        <v>0</v>
      </c>
    </row>
    <row r="186" spans="5:9" x14ac:dyDescent="0.75">
      <c r="E186">
        <v>180</v>
      </c>
      <c r="F186">
        <f t="shared" ca="1" si="8"/>
        <v>-0.45057769441991868</v>
      </c>
      <c r="G186">
        <f t="shared" ca="1" si="9"/>
        <v>94.165572944673826</v>
      </c>
      <c r="H186">
        <f t="shared" ca="1" si="10"/>
        <v>0</v>
      </c>
      <c r="I186">
        <f t="shared" ca="1" si="11"/>
        <v>0</v>
      </c>
    </row>
    <row r="187" spans="5:9" x14ac:dyDescent="0.75">
      <c r="E187">
        <v>181</v>
      </c>
      <c r="F187">
        <f t="shared" ca="1" si="8"/>
        <v>0.32240874444787904</v>
      </c>
      <c r="G187">
        <f t="shared" ca="1" si="9"/>
        <v>109.90891033533427</v>
      </c>
      <c r="H187">
        <f t="shared" ca="1" si="10"/>
        <v>9.9089103353342693</v>
      </c>
      <c r="I187">
        <f t="shared" ca="1" si="11"/>
        <v>9.425647075709195</v>
      </c>
    </row>
    <row r="188" spans="5:9" x14ac:dyDescent="0.75">
      <c r="E188">
        <v>182</v>
      </c>
      <c r="F188">
        <f t="shared" ca="1" si="8"/>
        <v>-1.1065265034654077</v>
      </c>
      <c r="G188">
        <f t="shared" ca="1" si="9"/>
        <v>82.588040779683126</v>
      </c>
      <c r="H188">
        <f t="shared" ca="1" si="10"/>
        <v>0</v>
      </c>
      <c r="I188">
        <f t="shared" ca="1" si="11"/>
        <v>0</v>
      </c>
    </row>
    <row r="189" spans="5:9" x14ac:dyDescent="0.75">
      <c r="E189">
        <v>183</v>
      </c>
      <c r="F189">
        <f t="shared" ca="1" si="8"/>
        <v>-0.10016728420234688</v>
      </c>
      <c r="G189">
        <f t="shared" ca="1" si="9"/>
        <v>101.00163745621605</v>
      </c>
      <c r="H189">
        <f t="shared" ca="1" si="10"/>
        <v>1.0016374562160451</v>
      </c>
      <c r="I189">
        <f t="shared" ca="1" si="11"/>
        <v>0.95278702103474766</v>
      </c>
    </row>
    <row r="190" spans="5:9" x14ac:dyDescent="0.75">
      <c r="E190">
        <v>184</v>
      </c>
      <c r="F190">
        <f t="shared" ca="1" si="8"/>
        <v>0.70852928538459059</v>
      </c>
      <c r="G190">
        <f t="shared" ca="1" si="9"/>
        <v>118.73285375583058</v>
      </c>
      <c r="H190">
        <f t="shared" ca="1" si="10"/>
        <v>18.732853755830575</v>
      </c>
      <c r="I190">
        <f t="shared" ca="1" si="11"/>
        <v>17.819241697414757</v>
      </c>
    </row>
    <row r="191" spans="5:9" x14ac:dyDescent="0.75">
      <c r="E191">
        <v>185</v>
      </c>
      <c r="F191">
        <f t="shared" ca="1" si="8"/>
        <v>-0.3608719645908004</v>
      </c>
      <c r="G191">
        <f t="shared" ca="1" si="9"/>
        <v>95.8702575053468</v>
      </c>
      <c r="H191">
        <f t="shared" ca="1" si="10"/>
        <v>0</v>
      </c>
      <c r="I191">
        <f t="shared" ca="1" si="11"/>
        <v>0</v>
      </c>
    </row>
    <row r="192" spans="5:9" x14ac:dyDescent="0.75">
      <c r="E192">
        <v>186</v>
      </c>
      <c r="F192">
        <f t="shared" ca="1" si="8"/>
        <v>-1.0100696012461206</v>
      </c>
      <c r="G192">
        <f t="shared" ca="1" si="9"/>
        <v>84.1967452690144</v>
      </c>
      <c r="H192">
        <f t="shared" ca="1" si="10"/>
        <v>0</v>
      </c>
      <c r="I192">
        <f t="shared" ca="1" si="11"/>
        <v>0</v>
      </c>
    </row>
    <row r="193" spans="5:9" x14ac:dyDescent="0.75">
      <c r="E193">
        <v>187</v>
      </c>
      <c r="F193">
        <f t="shared" ca="1" si="8"/>
        <v>-1.983858027836414</v>
      </c>
      <c r="G193">
        <f t="shared" ca="1" si="9"/>
        <v>69.296789698149539</v>
      </c>
      <c r="H193">
        <f t="shared" ca="1" si="10"/>
        <v>0</v>
      </c>
      <c r="I193">
        <f t="shared" ca="1" si="11"/>
        <v>0</v>
      </c>
    </row>
    <row r="194" spans="5:9" x14ac:dyDescent="0.75">
      <c r="E194">
        <v>188</v>
      </c>
      <c r="F194">
        <f t="shared" ca="1" si="8"/>
        <v>1.0408762975890267</v>
      </c>
      <c r="G194">
        <f t="shared" ca="1" si="9"/>
        <v>126.89315656721902</v>
      </c>
      <c r="H194">
        <f t="shared" ca="1" si="10"/>
        <v>26.893156567219023</v>
      </c>
      <c r="I194">
        <f t="shared" ca="1" si="11"/>
        <v>25.58156184444335</v>
      </c>
    </row>
    <row r="195" spans="5:9" x14ac:dyDescent="0.75">
      <c r="E195">
        <v>189</v>
      </c>
      <c r="F195">
        <f t="shared" ca="1" si="8"/>
        <v>-0.76185128981883077</v>
      </c>
      <c r="G195">
        <f t="shared" ca="1" si="9"/>
        <v>88.482069593550648</v>
      </c>
      <c r="H195">
        <f t="shared" ca="1" si="10"/>
        <v>0</v>
      </c>
      <c r="I195">
        <f t="shared" ca="1" si="11"/>
        <v>0</v>
      </c>
    </row>
    <row r="196" spans="5:9" x14ac:dyDescent="0.75">
      <c r="E196">
        <v>190</v>
      </c>
      <c r="F196">
        <f t="shared" ca="1" si="8"/>
        <v>-0.59991077484568256</v>
      </c>
      <c r="G196">
        <f t="shared" ca="1" si="9"/>
        <v>91.394749454695585</v>
      </c>
      <c r="H196">
        <f t="shared" ca="1" si="10"/>
        <v>0</v>
      </c>
      <c r="I196">
        <f t="shared" ca="1" si="11"/>
        <v>0</v>
      </c>
    </row>
    <row r="197" spans="5:9" x14ac:dyDescent="0.75">
      <c r="E197">
        <v>191</v>
      </c>
      <c r="F197">
        <f t="shared" ca="1" si="8"/>
        <v>-1.0770486117496199</v>
      </c>
      <c r="G197">
        <f t="shared" ca="1" si="9"/>
        <v>83.076383160212458</v>
      </c>
      <c r="H197">
        <f t="shared" ca="1" si="10"/>
        <v>0</v>
      </c>
      <c r="I197">
        <f t="shared" ca="1" si="11"/>
        <v>0</v>
      </c>
    </row>
    <row r="198" spans="5:9" x14ac:dyDescent="0.75">
      <c r="E198">
        <v>192</v>
      </c>
      <c r="F198">
        <f t="shared" ca="1" si="8"/>
        <v>-0.30757541189314247</v>
      </c>
      <c r="G198">
        <f t="shared" ca="1" si="9"/>
        <v>96.897634187545847</v>
      </c>
      <c r="H198">
        <f t="shared" ca="1" si="10"/>
        <v>0</v>
      </c>
      <c r="I198">
        <f t="shared" ca="1" si="11"/>
        <v>0</v>
      </c>
    </row>
    <row r="199" spans="5:9" x14ac:dyDescent="0.75">
      <c r="E199">
        <v>193</v>
      </c>
      <c r="F199">
        <f t="shared" ca="1" si="8"/>
        <v>1.2179272696509342</v>
      </c>
      <c r="G199">
        <f t="shared" ca="1" si="9"/>
        <v>131.4669698104691</v>
      </c>
      <c r="H199">
        <f t="shared" ca="1" si="10"/>
        <v>31.466969810469095</v>
      </c>
      <c r="I199">
        <f t="shared" ca="1" si="11"/>
        <v>29.932307583593861</v>
      </c>
    </row>
    <row r="200" spans="5:9" x14ac:dyDescent="0.75">
      <c r="E200">
        <v>194</v>
      </c>
      <c r="F200">
        <f t="shared" ref="F200:F263" ca="1" si="12">NORMINV(RAND(), 0,1)</f>
        <v>-0.25279523222991451</v>
      </c>
      <c r="G200">
        <f t="shared" ref="G200:G263" ca="1" si="13">$C$5*EXP(($C$6-0.5*$C$7^2)*$C$8+$C$7*SQRT($C$8)*F200)</f>
        <v>97.965084986572762</v>
      </c>
      <c r="H200">
        <f t="shared" ref="H200:H263" ca="1" si="14">MAX(G200-$C$9,0)</f>
        <v>0</v>
      </c>
      <c r="I200">
        <f t="shared" ref="I200:I263" ca="1" si="15">EXP(-$C$6*$C$8)*H200</f>
        <v>0</v>
      </c>
    </row>
    <row r="201" spans="5:9" x14ac:dyDescent="0.75">
      <c r="E201">
        <v>195</v>
      </c>
      <c r="F201">
        <f t="shared" ca="1" si="12"/>
        <v>0.75752683980917712</v>
      </c>
      <c r="G201">
        <f t="shared" ca="1" si="13"/>
        <v>119.90209729912618</v>
      </c>
      <c r="H201">
        <f t="shared" ca="1" si="14"/>
        <v>19.902097299126183</v>
      </c>
      <c r="I201">
        <f t="shared" ca="1" si="15"/>
        <v>18.931460560205014</v>
      </c>
    </row>
    <row r="202" spans="5:9" x14ac:dyDescent="0.75">
      <c r="E202">
        <v>196</v>
      </c>
      <c r="F202">
        <f t="shared" ca="1" si="12"/>
        <v>1.0372129123841956</v>
      </c>
      <c r="G202">
        <f t="shared" ca="1" si="13"/>
        <v>126.80021891554586</v>
      </c>
      <c r="H202">
        <f t="shared" ca="1" si="14"/>
        <v>26.800218915545855</v>
      </c>
      <c r="I202">
        <f t="shared" ca="1" si="15"/>
        <v>25.493156815527833</v>
      </c>
    </row>
    <row r="203" spans="5:9" x14ac:dyDescent="0.75">
      <c r="E203">
        <v>197</v>
      </c>
      <c r="F203">
        <f t="shared" ca="1" si="12"/>
        <v>1.2753761433019883</v>
      </c>
      <c r="G203">
        <f t="shared" ca="1" si="13"/>
        <v>132.98620681003868</v>
      </c>
      <c r="H203">
        <f t="shared" ca="1" si="14"/>
        <v>32.986206810038681</v>
      </c>
      <c r="I203">
        <f t="shared" ca="1" si="15"/>
        <v>31.377450520374627</v>
      </c>
    </row>
    <row r="204" spans="5:9" x14ac:dyDescent="0.75">
      <c r="E204">
        <v>198</v>
      </c>
      <c r="F204">
        <f t="shared" ca="1" si="12"/>
        <v>0.24407749670706949</v>
      </c>
      <c r="G204">
        <f t="shared" ca="1" si="13"/>
        <v>108.20046730784196</v>
      </c>
      <c r="H204">
        <f t="shared" ca="1" si="14"/>
        <v>8.2004673078419614</v>
      </c>
      <c r="I204">
        <f t="shared" ca="1" si="15"/>
        <v>7.8005257978754283</v>
      </c>
    </row>
    <row r="205" spans="5:9" x14ac:dyDescent="0.75">
      <c r="E205">
        <v>199</v>
      </c>
      <c r="F205">
        <f t="shared" ca="1" si="12"/>
        <v>-0.92987539590542523</v>
      </c>
      <c r="G205">
        <f t="shared" ca="1" si="13"/>
        <v>85.558051187234625</v>
      </c>
      <c r="H205">
        <f t="shared" ca="1" si="14"/>
        <v>0</v>
      </c>
      <c r="I205">
        <f t="shared" ca="1" si="15"/>
        <v>0</v>
      </c>
    </row>
    <row r="206" spans="5:9" x14ac:dyDescent="0.75">
      <c r="E206">
        <v>200</v>
      </c>
      <c r="F206">
        <f t="shared" ca="1" si="12"/>
        <v>-2.7538634274297535E-2</v>
      </c>
      <c r="G206">
        <f t="shared" ca="1" si="13"/>
        <v>102.47946726369099</v>
      </c>
      <c r="H206">
        <f t="shared" ca="1" si="14"/>
        <v>2.4794672636909922</v>
      </c>
      <c r="I206">
        <f t="shared" ca="1" si="15"/>
        <v>2.3585422183091427</v>
      </c>
    </row>
    <row r="207" spans="5:9" x14ac:dyDescent="0.75">
      <c r="E207">
        <v>201</v>
      </c>
      <c r="F207">
        <f t="shared" ca="1" si="12"/>
        <v>-0.13608275148965823</v>
      </c>
      <c r="G207">
        <f t="shared" ca="1" si="13"/>
        <v>100.2787327094865</v>
      </c>
      <c r="H207">
        <f t="shared" ca="1" si="14"/>
        <v>0.27873270948650486</v>
      </c>
      <c r="I207">
        <f t="shared" ca="1" si="15"/>
        <v>0.26513875483437271</v>
      </c>
    </row>
    <row r="208" spans="5:9" x14ac:dyDescent="0.75">
      <c r="E208">
        <v>202</v>
      </c>
      <c r="F208">
        <f t="shared" ca="1" si="12"/>
        <v>1.4518518431803897</v>
      </c>
      <c r="G208">
        <f t="shared" ca="1" si="13"/>
        <v>137.76379037317238</v>
      </c>
      <c r="H208">
        <f t="shared" ca="1" si="14"/>
        <v>37.763790373172384</v>
      </c>
      <c r="I208">
        <f t="shared" ca="1" si="15"/>
        <v>35.922028583638372</v>
      </c>
    </row>
    <row r="209" spans="5:9" x14ac:dyDescent="0.75">
      <c r="E209">
        <v>203</v>
      </c>
      <c r="F209">
        <f t="shared" ca="1" si="12"/>
        <v>-0.73063530136468802</v>
      </c>
      <c r="G209">
        <f t="shared" ca="1" si="13"/>
        <v>89.036208646030715</v>
      </c>
      <c r="H209">
        <f t="shared" ca="1" si="14"/>
        <v>0</v>
      </c>
      <c r="I209">
        <f t="shared" ca="1" si="15"/>
        <v>0</v>
      </c>
    </row>
    <row r="210" spans="5:9" x14ac:dyDescent="0.75">
      <c r="E210">
        <v>204</v>
      </c>
      <c r="F210">
        <f t="shared" ca="1" si="12"/>
        <v>0.30863669555074869</v>
      </c>
      <c r="G210">
        <f t="shared" ca="1" si="13"/>
        <v>109.60659270231758</v>
      </c>
      <c r="H210">
        <f t="shared" ca="1" si="14"/>
        <v>9.6065927023175846</v>
      </c>
      <c r="I210">
        <f t="shared" ca="1" si="15"/>
        <v>9.1380736476383149</v>
      </c>
    </row>
    <row r="211" spans="5:9" x14ac:dyDescent="0.75">
      <c r="E211">
        <v>205</v>
      </c>
      <c r="F211">
        <f t="shared" ca="1" si="12"/>
        <v>-1.8886408313789824</v>
      </c>
      <c r="G211">
        <f t="shared" ca="1" si="13"/>
        <v>70.629084379201032</v>
      </c>
      <c r="H211">
        <f t="shared" ca="1" si="14"/>
        <v>0</v>
      </c>
      <c r="I211">
        <f t="shared" ca="1" si="15"/>
        <v>0</v>
      </c>
    </row>
    <row r="212" spans="5:9" x14ac:dyDescent="0.75">
      <c r="E212">
        <v>206</v>
      </c>
      <c r="F212">
        <f t="shared" ca="1" si="12"/>
        <v>-0.27183954698918733</v>
      </c>
      <c r="G212">
        <f t="shared" ca="1" si="13"/>
        <v>97.592659113592376</v>
      </c>
      <c r="H212">
        <f t="shared" ca="1" si="14"/>
        <v>0</v>
      </c>
      <c r="I212">
        <f t="shared" ca="1" si="15"/>
        <v>0</v>
      </c>
    </row>
    <row r="213" spans="5:9" x14ac:dyDescent="0.75">
      <c r="E213">
        <v>207</v>
      </c>
      <c r="F213">
        <f t="shared" ca="1" si="12"/>
        <v>0.53096766420448083</v>
      </c>
      <c r="G213">
        <f t="shared" ca="1" si="13"/>
        <v>114.59036421236118</v>
      </c>
      <c r="H213">
        <f t="shared" ca="1" si="14"/>
        <v>14.59036421236118</v>
      </c>
      <c r="I213">
        <f t="shared" ca="1" si="15"/>
        <v>13.878783752980139</v>
      </c>
    </row>
    <row r="214" spans="5:9" x14ac:dyDescent="0.75">
      <c r="E214">
        <v>208</v>
      </c>
      <c r="F214">
        <f t="shared" ca="1" si="12"/>
        <v>-0.76634072024122424</v>
      </c>
      <c r="G214">
        <f t="shared" ca="1" si="13"/>
        <v>88.402658430960756</v>
      </c>
      <c r="H214">
        <f t="shared" ca="1" si="14"/>
        <v>0</v>
      </c>
      <c r="I214">
        <f t="shared" ca="1" si="15"/>
        <v>0</v>
      </c>
    </row>
    <row r="215" spans="5:9" x14ac:dyDescent="0.75">
      <c r="E215">
        <v>209</v>
      </c>
      <c r="F215">
        <f t="shared" ca="1" si="12"/>
        <v>0.66531138403456813</v>
      </c>
      <c r="G215">
        <f t="shared" ca="1" si="13"/>
        <v>117.71099940576784</v>
      </c>
      <c r="H215">
        <f t="shared" ca="1" si="14"/>
        <v>17.710999405767836</v>
      </c>
      <c r="I215">
        <f t="shared" ca="1" si="15"/>
        <v>16.847223772081026</v>
      </c>
    </row>
    <row r="216" spans="5:9" x14ac:dyDescent="0.75">
      <c r="E216">
        <v>210</v>
      </c>
      <c r="F216">
        <f t="shared" ca="1" si="12"/>
        <v>-0.36943333791460259</v>
      </c>
      <c r="G216">
        <f t="shared" ca="1" si="13"/>
        <v>95.706241752398469</v>
      </c>
      <c r="H216">
        <f t="shared" ca="1" si="14"/>
        <v>0</v>
      </c>
      <c r="I216">
        <f t="shared" ca="1" si="15"/>
        <v>0</v>
      </c>
    </row>
    <row r="217" spans="5:9" x14ac:dyDescent="0.75">
      <c r="E217">
        <v>211</v>
      </c>
      <c r="F217">
        <f t="shared" ca="1" si="12"/>
        <v>-0.65802397515081623</v>
      </c>
      <c r="G217">
        <f t="shared" ca="1" si="13"/>
        <v>90.338650396562073</v>
      </c>
      <c r="H217">
        <f t="shared" ca="1" si="14"/>
        <v>0</v>
      </c>
      <c r="I217">
        <f t="shared" ca="1" si="15"/>
        <v>0</v>
      </c>
    </row>
    <row r="218" spans="5:9" x14ac:dyDescent="0.75">
      <c r="E218">
        <v>212</v>
      </c>
      <c r="F218">
        <f t="shared" ca="1" si="12"/>
        <v>-0.88713265275597941</v>
      </c>
      <c r="G218">
        <f t="shared" ca="1" si="13"/>
        <v>86.292583467793179</v>
      </c>
      <c r="H218">
        <f t="shared" ca="1" si="14"/>
        <v>0</v>
      </c>
      <c r="I218">
        <f t="shared" ca="1" si="15"/>
        <v>0</v>
      </c>
    </row>
    <row r="219" spans="5:9" x14ac:dyDescent="0.75">
      <c r="E219">
        <v>213</v>
      </c>
      <c r="F219">
        <f t="shared" ca="1" si="12"/>
        <v>-0.77574909693403904</v>
      </c>
      <c r="G219">
        <f t="shared" ca="1" si="13"/>
        <v>88.236469734349171</v>
      </c>
      <c r="H219">
        <f t="shared" ca="1" si="14"/>
        <v>0</v>
      </c>
      <c r="I219">
        <f t="shared" ca="1" si="15"/>
        <v>0</v>
      </c>
    </row>
    <row r="220" spans="5:9" x14ac:dyDescent="0.75">
      <c r="E220">
        <v>214</v>
      </c>
      <c r="F220">
        <f t="shared" ca="1" si="12"/>
        <v>-1.2640665925744248</v>
      </c>
      <c r="G220">
        <f t="shared" ca="1" si="13"/>
        <v>80.026422986574261</v>
      </c>
      <c r="H220">
        <f t="shared" ca="1" si="14"/>
        <v>0</v>
      </c>
      <c r="I220">
        <f t="shared" ca="1" si="15"/>
        <v>0</v>
      </c>
    </row>
    <row r="221" spans="5:9" x14ac:dyDescent="0.75">
      <c r="E221">
        <v>215</v>
      </c>
      <c r="F221">
        <f t="shared" ca="1" si="12"/>
        <v>-0.71965863233159688</v>
      </c>
      <c r="G221">
        <f t="shared" ca="1" si="13"/>
        <v>89.231887556558846</v>
      </c>
      <c r="H221">
        <f t="shared" ca="1" si="14"/>
        <v>0</v>
      </c>
      <c r="I221">
        <f t="shared" ca="1" si="15"/>
        <v>0</v>
      </c>
    </row>
    <row r="222" spans="5:9" x14ac:dyDescent="0.75">
      <c r="E222">
        <v>216</v>
      </c>
      <c r="F222">
        <f t="shared" ca="1" si="12"/>
        <v>-0.20487773493863573</v>
      </c>
      <c r="G222">
        <f t="shared" ca="1" si="13"/>
        <v>98.908446457421078</v>
      </c>
      <c r="H222">
        <f t="shared" ca="1" si="14"/>
        <v>0</v>
      </c>
      <c r="I222">
        <f t="shared" ca="1" si="15"/>
        <v>0</v>
      </c>
    </row>
    <row r="223" spans="5:9" x14ac:dyDescent="0.75">
      <c r="E223">
        <v>217</v>
      </c>
      <c r="F223">
        <f t="shared" ca="1" si="12"/>
        <v>0.38433301316182089</v>
      </c>
      <c r="G223">
        <f t="shared" ca="1" si="13"/>
        <v>111.27858018812393</v>
      </c>
      <c r="H223">
        <f t="shared" ca="1" si="14"/>
        <v>11.278580188123925</v>
      </c>
      <c r="I223">
        <f t="shared" ca="1" si="15"/>
        <v>10.728517341534276</v>
      </c>
    </row>
    <row r="224" spans="5:9" x14ac:dyDescent="0.75">
      <c r="E224">
        <v>218</v>
      </c>
      <c r="F224">
        <f t="shared" ca="1" si="12"/>
        <v>0.21220203881865141</v>
      </c>
      <c r="G224">
        <f t="shared" ca="1" si="13"/>
        <v>107.51287348555121</v>
      </c>
      <c r="H224">
        <f t="shared" ca="1" si="14"/>
        <v>7.5128734855512107</v>
      </c>
      <c r="I224">
        <f t="shared" ca="1" si="15"/>
        <v>7.1464663220075515</v>
      </c>
    </row>
    <row r="225" spans="5:9" x14ac:dyDescent="0.75">
      <c r="E225">
        <v>219</v>
      </c>
      <c r="F225">
        <f t="shared" ca="1" si="12"/>
        <v>-1.204155049932661</v>
      </c>
      <c r="G225">
        <f t="shared" ca="1" si="13"/>
        <v>80.991092217500764</v>
      </c>
      <c r="H225">
        <f t="shared" ca="1" si="14"/>
        <v>0</v>
      </c>
      <c r="I225">
        <f t="shared" ca="1" si="15"/>
        <v>0</v>
      </c>
    </row>
    <row r="226" spans="5:9" x14ac:dyDescent="0.75">
      <c r="E226">
        <v>220</v>
      </c>
      <c r="F226">
        <f t="shared" ca="1" si="12"/>
        <v>-1.4892198739544482</v>
      </c>
      <c r="G226">
        <f t="shared" ca="1" si="13"/>
        <v>76.502713531025123</v>
      </c>
      <c r="H226">
        <f t="shared" ca="1" si="14"/>
        <v>0</v>
      </c>
      <c r="I226">
        <f t="shared" ca="1" si="15"/>
        <v>0</v>
      </c>
    </row>
    <row r="227" spans="5:9" x14ac:dyDescent="0.75">
      <c r="E227">
        <v>221</v>
      </c>
      <c r="F227">
        <f t="shared" ca="1" si="12"/>
        <v>-0.14590978867629714</v>
      </c>
      <c r="G227">
        <f t="shared" ca="1" si="13"/>
        <v>100.08183769525706</v>
      </c>
      <c r="H227">
        <f t="shared" ca="1" si="14"/>
        <v>8.1837695257064524E-2</v>
      </c>
      <c r="I227">
        <f t="shared" ca="1" si="15"/>
        <v>7.7846423761842296E-2</v>
      </c>
    </row>
    <row r="228" spans="5:9" x14ac:dyDescent="0.75">
      <c r="E228">
        <v>222</v>
      </c>
      <c r="F228">
        <f t="shared" ca="1" si="12"/>
        <v>-1.7025287875220343</v>
      </c>
      <c r="G228">
        <f t="shared" ca="1" si="13"/>
        <v>73.307610371072045</v>
      </c>
      <c r="H228">
        <f t="shared" ca="1" si="14"/>
        <v>0</v>
      </c>
      <c r="I228">
        <f t="shared" ca="1" si="15"/>
        <v>0</v>
      </c>
    </row>
    <row r="229" spans="5:9" x14ac:dyDescent="0.75">
      <c r="E229">
        <v>223</v>
      </c>
      <c r="F229">
        <f t="shared" ca="1" si="12"/>
        <v>-0.93850139186719617</v>
      </c>
      <c r="G229">
        <f t="shared" ca="1" si="13"/>
        <v>85.410573756977044</v>
      </c>
      <c r="H229">
        <f t="shared" ca="1" si="14"/>
        <v>0</v>
      </c>
      <c r="I229">
        <f t="shared" ca="1" si="15"/>
        <v>0</v>
      </c>
    </row>
    <row r="230" spans="5:9" x14ac:dyDescent="0.75">
      <c r="E230">
        <v>224</v>
      </c>
      <c r="F230">
        <f t="shared" ca="1" si="12"/>
        <v>1.0881135672172164</v>
      </c>
      <c r="G230">
        <f t="shared" ca="1" si="13"/>
        <v>128.09765457821698</v>
      </c>
      <c r="H230">
        <f t="shared" ca="1" si="14"/>
        <v>28.097654578216975</v>
      </c>
      <c r="I230">
        <f t="shared" ca="1" si="15"/>
        <v>26.727315794257187</v>
      </c>
    </row>
    <row r="231" spans="5:9" x14ac:dyDescent="0.75">
      <c r="E231">
        <v>225</v>
      </c>
      <c r="F231">
        <f t="shared" ca="1" si="12"/>
        <v>0.13908303671497424</v>
      </c>
      <c r="G231">
        <f t="shared" ca="1" si="13"/>
        <v>105.95206695810933</v>
      </c>
      <c r="H231">
        <f t="shared" ca="1" si="14"/>
        <v>5.9520669581093273</v>
      </c>
      <c r="I231">
        <f t="shared" ca="1" si="15"/>
        <v>5.6617812271520505</v>
      </c>
    </row>
    <row r="232" spans="5:9" x14ac:dyDescent="0.75">
      <c r="E232">
        <v>226</v>
      </c>
      <c r="F232">
        <f t="shared" ca="1" si="12"/>
        <v>-0.41388401480504167</v>
      </c>
      <c r="G232">
        <f t="shared" ca="1" si="13"/>
        <v>94.859171171736548</v>
      </c>
      <c r="H232">
        <f t="shared" ca="1" si="14"/>
        <v>0</v>
      </c>
      <c r="I232">
        <f t="shared" ca="1" si="15"/>
        <v>0</v>
      </c>
    </row>
    <row r="233" spans="5:9" x14ac:dyDescent="0.75">
      <c r="E233">
        <v>227</v>
      </c>
      <c r="F233">
        <f t="shared" ca="1" si="12"/>
        <v>-0.60963971668691719</v>
      </c>
      <c r="G233">
        <f t="shared" ca="1" si="13"/>
        <v>91.217087516607791</v>
      </c>
      <c r="H233">
        <f t="shared" ca="1" si="14"/>
        <v>0</v>
      </c>
      <c r="I233">
        <f t="shared" ca="1" si="15"/>
        <v>0</v>
      </c>
    </row>
    <row r="234" spans="5:9" x14ac:dyDescent="0.75">
      <c r="E234">
        <v>228</v>
      </c>
      <c r="F234">
        <f t="shared" ca="1" si="12"/>
        <v>-0.53915249073380345</v>
      </c>
      <c r="G234">
        <f t="shared" ca="1" si="13"/>
        <v>92.512122301628978</v>
      </c>
      <c r="H234">
        <f t="shared" ca="1" si="14"/>
        <v>0</v>
      </c>
      <c r="I234">
        <f t="shared" ca="1" si="15"/>
        <v>0</v>
      </c>
    </row>
    <row r="235" spans="5:9" x14ac:dyDescent="0.75">
      <c r="E235">
        <v>229</v>
      </c>
      <c r="F235">
        <f t="shared" ca="1" si="12"/>
        <v>0.95212121486342338</v>
      </c>
      <c r="G235">
        <f t="shared" ca="1" si="13"/>
        <v>124.66054820353709</v>
      </c>
      <c r="H235">
        <f t="shared" ca="1" si="14"/>
        <v>24.66054820353709</v>
      </c>
      <c r="I235">
        <f t="shared" ca="1" si="15"/>
        <v>23.457839075522703</v>
      </c>
    </row>
    <row r="236" spans="5:9" x14ac:dyDescent="0.75">
      <c r="E236">
        <v>230</v>
      </c>
      <c r="F236">
        <f t="shared" ca="1" si="12"/>
        <v>-0.2951776968069843</v>
      </c>
      <c r="G236">
        <f t="shared" ca="1" si="13"/>
        <v>97.138194155927195</v>
      </c>
      <c r="H236">
        <f t="shared" ca="1" si="14"/>
        <v>0</v>
      </c>
      <c r="I236">
        <f t="shared" ca="1" si="15"/>
        <v>0</v>
      </c>
    </row>
    <row r="237" spans="5:9" x14ac:dyDescent="0.75">
      <c r="E237">
        <v>231</v>
      </c>
      <c r="F237">
        <f t="shared" ca="1" si="12"/>
        <v>1.5683446600782442</v>
      </c>
      <c r="G237">
        <f t="shared" ca="1" si="13"/>
        <v>141.011171537747</v>
      </c>
      <c r="H237">
        <f t="shared" ca="1" si="14"/>
        <v>41.011171537747003</v>
      </c>
      <c r="I237">
        <f t="shared" ca="1" si="15"/>
        <v>39.011033099951142</v>
      </c>
    </row>
    <row r="238" spans="5:9" x14ac:dyDescent="0.75">
      <c r="E238">
        <v>232</v>
      </c>
      <c r="F238">
        <f t="shared" ca="1" si="12"/>
        <v>0.67617924465919665</v>
      </c>
      <c r="G238">
        <f t="shared" ca="1" si="13"/>
        <v>117.96713101229415</v>
      </c>
      <c r="H238">
        <f t="shared" ca="1" si="14"/>
        <v>17.967131012294146</v>
      </c>
      <c r="I238">
        <f t="shared" ca="1" si="15"/>
        <v>17.090863692753491</v>
      </c>
    </row>
    <row r="239" spans="5:9" x14ac:dyDescent="0.75">
      <c r="E239">
        <v>233</v>
      </c>
      <c r="F239">
        <f t="shared" ca="1" si="12"/>
        <v>-0.37221085428359008</v>
      </c>
      <c r="G239">
        <f t="shared" ca="1" si="13"/>
        <v>95.653091385750272</v>
      </c>
      <c r="H239">
        <f t="shared" ca="1" si="14"/>
        <v>0</v>
      </c>
      <c r="I239">
        <f t="shared" ca="1" si="15"/>
        <v>0</v>
      </c>
    </row>
    <row r="240" spans="5:9" x14ac:dyDescent="0.75">
      <c r="E240">
        <v>234</v>
      </c>
      <c r="F240">
        <f t="shared" ca="1" si="12"/>
        <v>0.37292713163535784</v>
      </c>
      <c r="G240">
        <f t="shared" ca="1" si="13"/>
        <v>111.02502344148758</v>
      </c>
      <c r="H240">
        <f t="shared" ca="1" si="14"/>
        <v>11.025023441487576</v>
      </c>
      <c r="I240">
        <f t="shared" ca="1" si="15"/>
        <v>10.487326703353109</v>
      </c>
    </row>
    <row r="241" spans="5:9" x14ac:dyDescent="0.75">
      <c r="E241">
        <v>235</v>
      </c>
      <c r="F241">
        <f t="shared" ca="1" si="12"/>
        <v>0.37088641403309097</v>
      </c>
      <c r="G241">
        <f t="shared" ca="1" si="13"/>
        <v>110.9797185436409</v>
      </c>
      <c r="H241">
        <f t="shared" ca="1" si="14"/>
        <v>10.979718543640899</v>
      </c>
      <c r="I241">
        <f t="shared" ca="1" si="15"/>
        <v>10.444231351447351</v>
      </c>
    </row>
    <row r="242" spans="5:9" x14ac:dyDescent="0.75">
      <c r="E242">
        <v>236</v>
      </c>
      <c r="F242">
        <f t="shared" ca="1" si="12"/>
        <v>-0.26680356002964328</v>
      </c>
      <c r="G242">
        <f t="shared" ca="1" si="13"/>
        <v>97.691003703214335</v>
      </c>
      <c r="H242">
        <f t="shared" ca="1" si="14"/>
        <v>0</v>
      </c>
      <c r="I242">
        <f t="shared" ca="1" si="15"/>
        <v>0</v>
      </c>
    </row>
    <row r="243" spans="5:9" x14ac:dyDescent="0.75">
      <c r="E243">
        <v>237</v>
      </c>
      <c r="F243">
        <f t="shared" ca="1" si="12"/>
        <v>-1.5189291343007136</v>
      </c>
      <c r="G243">
        <f t="shared" ca="1" si="13"/>
        <v>76.049493540828692</v>
      </c>
      <c r="H243">
        <f t="shared" ca="1" si="14"/>
        <v>0</v>
      </c>
      <c r="I243">
        <f t="shared" ca="1" si="15"/>
        <v>0</v>
      </c>
    </row>
    <row r="244" spans="5:9" x14ac:dyDescent="0.75">
      <c r="E244">
        <v>238</v>
      </c>
      <c r="F244">
        <f t="shared" ca="1" si="12"/>
        <v>-0.34230713644280347</v>
      </c>
      <c r="G244">
        <f t="shared" ca="1" si="13"/>
        <v>96.226882134154152</v>
      </c>
      <c r="H244">
        <f t="shared" ca="1" si="14"/>
        <v>0</v>
      </c>
      <c r="I244">
        <f t="shared" ca="1" si="15"/>
        <v>0</v>
      </c>
    </row>
    <row r="245" spans="5:9" x14ac:dyDescent="0.75">
      <c r="E245">
        <v>239</v>
      </c>
      <c r="F245">
        <f t="shared" ca="1" si="12"/>
        <v>-0.81261096328507232</v>
      </c>
      <c r="G245">
        <f t="shared" ca="1" si="13"/>
        <v>87.588349570850426</v>
      </c>
      <c r="H245">
        <f t="shared" ca="1" si="14"/>
        <v>0</v>
      </c>
      <c r="I245">
        <f t="shared" ca="1" si="15"/>
        <v>0</v>
      </c>
    </row>
    <row r="246" spans="5:9" x14ac:dyDescent="0.75">
      <c r="E246">
        <v>240</v>
      </c>
      <c r="F246">
        <f t="shared" ca="1" si="12"/>
        <v>1.8537642991852821</v>
      </c>
      <c r="G246">
        <f t="shared" ca="1" si="13"/>
        <v>149.29482554277502</v>
      </c>
      <c r="H246">
        <f t="shared" ca="1" si="14"/>
        <v>49.294825542775015</v>
      </c>
      <c r="I246">
        <f t="shared" ca="1" si="15"/>
        <v>46.890688531916979</v>
      </c>
    </row>
    <row r="247" spans="5:9" x14ac:dyDescent="0.75">
      <c r="E247">
        <v>241</v>
      </c>
      <c r="F247">
        <f t="shared" ca="1" si="12"/>
        <v>-0.22090905537195973</v>
      </c>
      <c r="G247">
        <f t="shared" ca="1" si="13"/>
        <v>98.591827710575515</v>
      </c>
      <c r="H247">
        <f t="shared" ca="1" si="14"/>
        <v>0</v>
      </c>
      <c r="I247">
        <f t="shared" ca="1" si="15"/>
        <v>0</v>
      </c>
    </row>
    <row r="248" spans="5:9" x14ac:dyDescent="0.75">
      <c r="E248">
        <v>242</v>
      </c>
      <c r="F248">
        <f t="shared" ca="1" si="12"/>
        <v>0.79933674745693628</v>
      </c>
      <c r="G248">
        <f t="shared" ca="1" si="13"/>
        <v>120.90892007216851</v>
      </c>
      <c r="H248">
        <f t="shared" ca="1" si="14"/>
        <v>20.908920072168513</v>
      </c>
      <c r="I248">
        <f t="shared" ca="1" si="15"/>
        <v>19.889180007180283</v>
      </c>
    </row>
    <row r="249" spans="5:9" x14ac:dyDescent="0.75">
      <c r="E249">
        <v>243</v>
      </c>
      <c r="F249">
        <f t="shared" ca="1" si="12"/>
        <v>1.1160926860006324</v>
      </c>
      <c r="G249">
        <f t="shared" ca="1" si="13"/>
        <v>128.81647579959716</v>
      </c>
      <c r="H249">
        <f t="shared" ca="1" si="14"/>
        <v>28.816475799597157</v>
      </c>
      <c r="I249">
        <f t="shared" ca="1" si="15"/>
        <v>27.411079690989556</v>
      </c>
    </row>
    <row r="250" spans="5:9" x14ac:dyDescent="0.75">
      <c r="E250">
        <v>244</v>
      </c>
      <c r="F250">
        <f t="shared" ca="1" si="12"/>
        <v>-1.2440593548934933</v>
      </c>
      <c r="G250">
        <f t="shared" ca="1" si="13"/>
        <v>80.347286049893782</v>
      </c>
      <c r="H250">
        <f t="shared" ca="1" si="14"/>
        <v>0</v>
      </c>
      <c r="I250">
        <f t="shared" ca="1" si="15"/>
        <v>0</v>
      </c>
    </row>
    <row r="251" spans="5:9" x14ac:dyDescent="0.75">
      <c r="E251">
        <v>245</v>
      </c>
      <c r="F251">
        <f t="shared" ca="1" si="12"/>
        <v>2.3054610794697692</v>
      </c>
      <c r="G251">
        <f t="shared" ca="1" si="13"/>
        <v>163.41000356533701</v>
      </c>
      <c r="H251">
        <f t="shared" ca="1" si="14"/>
        <v>63.410003565337007</v>
      </c>
      <c r="I251">
        <f t="shared" ca="1" si="15"/>
        <v>60.317461199043748</v>
      </c>
    </row>
    <row r="252" spans="5:9" x14ac:dyDescent="0.75">
      <c r="E252">
        <v>246</v>
      </c>
      <c r="F252">
        <f t="shared" ca="1" si="12"/>
        <v>-1.8606443700601758</v>
      </c>
      <c r="G252">
        <f t="shared" ca="1" si="13"/>
        <v>71.02566651847539</v>
      </c>
      <c r="H252">
        <f t="shared" ca="1" si="14"/>
        <v>0</v>
      </c>
      <c r="I252">
        <f t="shared" ca="1" si="15"/>
        <v>0</v>
      </c>
    </row>
    <row r="253" spans="5:9" x14ac:dyDescent="0.75">
      <c r="E253">
        <v>247</v>
      </c>
      <c r="F253">
        <f t="shared" ca="1" si="12"/>
        <v>1.4046030312215332</v>
      </c>
      <c r="G253">
        <f t="shared" ca="1" si="13"/>
        <v>136.46808697454324</v>
      </c>
      <c r="H253">
        <f t="shared" ca="1" si="14"/>
        <v>36.46808697454324</v>
      </c>
      <c r="I253">
        <f t="shared" ca="1" si="15"/>
        <v>34.689517385436751</v>
      </c>
    </row>
    <row r="254" spans="5:9" x14ac:dyDescent="0.75">
      <c r="E254">
        <v>248</v>
      </c>
      <c r="F254">
        <f t="shared" ca="1" si="12"/>
        <v>2.7119461305589629</v>
      </c>
      <c r="G254">
        <f t="shared" ca="1" si="13"/>
        <v>177.2496892256579</v>
      </c>
      <c r="H254">
        <f t="shared" ca="1" si="14"/>
        <v>77.249689225657903</v>
      </c>
      <c r="I254">
        <f t="shared" ca="1" si="15"/>
        <v>73.482177424981572</v>
      </c>
    </row>
    <row r="255" spans="5:9" x14ac:dyDescent="0.75">
      <c r="E255">
        <v>249</v>
      </c>
      <c r="F255">
        <f t="shared" ca="1" si="12"/>
        <v>0.77959534369666572</v>
      </c>
      <c r="G255">
        <f t="shared" ca="1" si="13"/>
        <v>120.43247889100198</v>
      </c>
      <c r="H255">
        <f t="shared" ca="1" si="14"/>
        <v>20.432478891001978</v>
      </c>
      <c r="I255">
        <f t="shared" ca="1" si="15"/>
        <v>19.4359751366108</v>
      </c>
    </row>
    <row r="256" spans="5:9" x14ac:dyDescent="0.75">
      <c r="E256">
        <v>250</v>
      </c>
      <c r="F256">
        <f t="shared" ca="1" si="12"/>
        <v>-0.26786367044988407</v>
      </c>
      <c r="G256">
        <f t="shared" ca="1" si="13"/>
        <v>97.670293248630884</v>
      </c>
      <c r="H256">
        <f t="shared" ca="1" si="14"/>
        <v>0</v>
      </c>
      <c r="I256">
        <f t="shared" ca="1" si="15"/>
        <v>0</v>
      </c>
    </row>
    <row r="257" spans="5:9" x14ac:dyDescent="0.75">
      <c r="E257">
        <v>251</v>
      </c>
      <c r="F257">
        <f t="shared" ca="1" si="12"/>
        <v>0.77025815273988218</v>
      </c>
      <c r="G257">
        <f t="shared" ca="1" si="13"/>
        <v>120.20778854340668</v>
      </c>
      <c r="H257">
        <f t="shared" ca="1" si="14"/>
        <v>20.207788543406679</v>
      </c>
      <c r="I257">
        <f t="shared" ca="1" si="15"/>
        <v>19.222243066576858</v>
      </c>
    </row>
    <row r="258" spans="5:9" x14ac:dyDescent="0.75">
      <c r="E258">
        <v>252</v>
      </c>
      <c r="F258">
        <f t="shared" ca="1" si="12"/>
        <v>-0.98558888189909044</v>
      </c>
      <c r="G258">
        <f t="shared" ca="1" si="13"/>
        <v>84.609995487906502</v>
      </c>
      <c r="H258">
        <f t="shared" ca="1" si="14"/>
        <v>0</v>
      </c>
      <c r="I258">
        <f t="shared" ca="1" si="15"/>
        <v>0</v>
      </c>
    </row>
    <row r="259" spans="5:9" x14ac:dyDescent="0.75">
      <c r="E259">
        <v>253</v>
      </c>
      <c r="F259">
        <f t="shared" ca="1" si="12"/>
        <v>0.1271400992467136</v>
      </c>
      <c r="G259">
        <f t="shared" ca="1" si="13"/>
        <v>105.69929318236655</v>
      </c>
      <c r="H259">
        <f t="shared" ca="1" si="14"/>
        <v>5.6992931823665458</v>
      </c>
      <c r="I259">
        <f t="shared" ca="1" si="15"/>
        <v>5.4213353739233723</v>
      </c>
    </row>
    <row r="260" spans="5:9" x14ac:dyDescent="0.75">
      <c r="E260">
        <v>254</v>
      </c>
      <c r="F260">
        <f t="shared" ca="1" si="12"/>
        <v>-1.5425293570753804</v>
      </c>
      <c r="G260">
        <f t="shared" ca="1" si="13"/>
        <v>75.691382358162414</v>
      </c>
      <c r="H260">
        <f t="shared" ca="1" si="14"/>
        <v>0</v>
      </c>
      <c r="I260">
        <f t="shared" ca="1" si="15"/>
        <v>0</v>
      </c>
    </row>
    <row r="261" spans="5:9" x14ac:dyDescent="0.75">
      <c r="E261">
        <v>255</v>
      </c>
      <c r="F261">
        <f t="shared" ca="1" si="12"/>
        <v>-0.13090351827889485</v>
      </c>
      <c r="G261">
        <f t="shared" ca="1" si="13"/>
        <v>100.38265991507377</v>
      </c>
      <c r="H261">
        <f t="shared" ca="1" si="14"/>
        <v>0.3826599150737735</v>
      </c>
      <c r="I261">
        <f t="shared" ca="1" si="15"/>
        <v>0.36399737079511768</v>
      </c>
    </row>
    <row r="262" spans="5:9" x14ac:dyDescent="0.75">
      <c r="E262">
        <v>256</v>
      </c>
      <c r="F262">
        <f t="shared" ca="1" si="12"/>
        <v>0.46535681003140711</v>
      </c>
      <c r="G262">
        <f t="shared" ca="1" si="13"/>
        <v>113.09651260082438</v>
      </c>
      <c r="H262">
        <f t="shared" ca="1" si="14"/>
        <v>13.096512600824383</v>
      </c>
      <c r="I262">
        <f t="shared" ca="1" si="15"/>
        <v>12.457788144248527</v>
      </c>
    </row>
    <row r="263" spans="5:9" x14ac:dyDescent="0.75">
      <c r="E263">
        <v>257</v>
      </c>
      <c r="F263">
        <f t="shared" ca="1" si="12"/>
        <v>-3.4578197172880576E-2</v>
      </c>
      <c r="G263">
        <f t="shared" ca="1" si="13"/>
        <v>102.33528665323183</v>
      </c>
      <c r="H263">
        <f t="shared" ca="1" si="14"/>
        <v>2.335286653231833</v>
      </c>
      <c r="I263">
        <f t="shared" ca="1" si="15"/>
        <v>2.2213933791979152</v>
      </c>
    </row>
    <row r="264" spans="5:9" x14ac:dyDescent="0.75">
      <c r="E264">
        <v>258</v>
      </c>
      <c r="F264">
        <f t="shared" ref="F264:F327" ca="1" si="16">NORMINV(RAND(), 0,1)</f>
        <v>-1.2152094635012385</v>
      </c>
      <c r="G264">
        <f t="shared" ref="G264:G327" ca="1" si="17">$C$5*EXP(($C$6-0.5*$C$7^2)*$C$8+$C$7*SQRT($C$8)*F264)</f>
        <v>80.812228208282505</v>
      </c>
      <c r="H264">
        <f t="shared" ref="H264:H327" ca="1" si="18">MAX(G264-$C$9,0)</f>
        <v>0</v>
      </c>
      <c r="I264">
        <f t="shared" ref="I264:I327" ca="1" si="19">EXP(-$C$6*$C$8)*H264</f>
        <v>0</v>
      </c>
    </row>
    <row r="265" spans="5:9" x14ac:dyDescent="0.75">
      <c r="E265">
        <v>259</v>
      </c>
      <c r="F265">
        <f t="shared" ca="1" si="16"/>
        <v>-0.819012178599135</v>
      </c>
      <c r="G265">
        <f t="shared" ca="1" si="17"/>
        <v>87.476286942936227</v>
      </c>
      <c r="H265">
        <f t="shared" ca="1" si="18"/>
        <v>0</v>
      </c>
      <c r="I265">
        <f t="shared" ca="1" si="19"/>
        <v>0</v>
      </c>
    </row>
    <row r="266" spans="5:9" x14ac:dyDescent="0.75">
      <c r="E266">
        <v>260</v>
      </c>
      <c r="F266">
        <f t="shared" ca="1" si="16"/>
        <v>-0.82288583442240892</v>
      </c>
      <c r="G266">
        <f t="shared" ca="1" si="17"/>
        <v>87.408542582495286</v>
      </c>
      <c r="H266">
        <f t="shared" ca="1" si="18"/>
        <v>0</v>
      </c>
      <c r="I266">
        <f t="shared" ca="1" si="19"/>
        <v>0</v>
      </c>
    </row>
    <row r="267" spans="5:9" x14ac:dyDescent="0.75">
      <c r="E267">
        <v>261</v>
      </c>
      <c r="F267">
        <f t="shared" ca="1" si="16"/>
        <v>-0.98772195282041364</v>
      </c>
      <c r="G267">
        <f t="shared" ca="1" si="17"/>
        <v>84.573907362101323</v>
      </c>
      <c r="H267">
        <f t="shared" ca="1" si="18"/>
        <v>0</v>
      </c>
      <c r="I267">
        <f t="shared" ca="1" si="19"/>
        <v>0</v>
      </c>
    </row>
    <row r="268" spans="5:9" x14ac:dyDescent="0.75">
      <c r="E268">
        <v>262</v>
      </c>
      <c r="F268">
        <f t="shared" ca="1" si="16"/>
        <v>1.1895335915102703</v>
      </c>
      <c r="G268">
        <f t="shared" ca="1" si="17"/>
        <v>130.72251941416582</v>
      </c>
      <c r="H268">
        <f t="shared" ca="1" si="18"/>
        <v>30.722519414165816</v>
      </c>
      <c r="I268">
        <f t="shared" ca="1" si="19"/>
        <v>29.224164461548963</v>
      </c>
    </row>
    <row r="269" spans="5:9" x14ac:dyDescent="0.75">
      <c r="E269">
        <v>263</v>
      </c>
      <c r="F269">
        <f t="shared" ca="1" si="16"/>
        <v>1.2659467073224622</v>
      </c>
      <c r="G269">
        <f t="shared" ca="1" si="17"/>
        <v>132.73564616420188</v>
      </c>
      <c r="H269">
        <f t="shared" ca="1" si="18"/>
        <v>32.735646164201881</v>
      </c>
      <c r="I269">
        <f t="shared" ca="1" si="19"/>
        <v>31.139109861432761</v>
      </c>
    </row>
    <row r="270" spans="5:9" x14ac:dyDescent="0.75">
      <c r="E270">
        <v>264</v>
      </c>
      <c r="F270">
        <f t="shared" ca="1" si="16"/>
        <v>-4.2474437878211042E-2</v>
      </c>
      <c r="G270">
        <f t="shared" ca="1" si="17"/>
        <v>102.17380138823388</v>
      </c>
      <c r="H270">
        <f t="shared" ca="1" si="18"/>
        <v>2.1738013882338834</v>
      </c>
      <c r="I270">
        <f t="shared" ca="1" si="19"/>
        <v>2.06778384350857</v>
      </c>
    </row>
    <row r="271" spans="5:9" x14ac:dyDescent="0.75">
      <c r="E271">
        <v>265</v>
      </c>
      <c r="F271">
        <f t="shared" ca="1" si="16"/>
        <v>2.0457960199901257</v>
      </c>
      <c r="G271">
        <f t="shared" ca="1" si="17"/>
        <v>155.1402257169791</v>
      </c>
      <c r="H271">
        <f t="shared" ca="1" si="18"/>
        <v>55.140225716979103</v>
      </c>
      <c r="I271">
        <f t="shared" ca="1" si="19"/>
        <v>52.451005175601502</v>
      </c>
    </row>
    <row r="272" spans="5:9" x14ac:dyDescent="0.75">
      <c r="E272">
        <v>266</v>
      </c>
      <c r="F272">
        <f t="shared" ca="1" si="16"/>
        <v>0.86435658528842585</v>
      </c>
      <c r="G272">
        <f t="shared" ca="1" si="17"/>
        <v>122.49148324604721</v>
      </c>
      <c r="H272">
        <f t="shared" ca="1" si="18"/>
        <v>22.49148324604721</v>
      </c>
      <c r="I272">
        <f t="shared" ca="1" si="19"/>
        <v>21.39456066430494</v>
      </c>
    </row>
    <row r="273" spans="5:9" x14ac:dyDescent="0.75">
      <c r="E273">
        <v>267</v>
      </c>
      <c r="F273">
        <f t="shared" ca="1" si="16"/>
        <v>2.733691787169827</v>
      </c>
      <c r="G273">
        <f t="shared" ca="1" si="17"/>
        <v>178.02225016766502</v>
      </c>
      <c r="H273">
        <f t="shared" ca="1" si="18"/>
        <v>78.022250167665021</v>
      </c>
      <c r="I273">
        <f t="shared" ca="1" si="19"/>
        <v>74.217060125238731</v>
      </c>
    </row>
    <row r="274" spans="5:9" x14ac:dyDescent="0.75">
      <c r="E274">
        <v>268</v>
      </c>
      <c r="F274">
        <f t="shared" ca="1" si="16"/>
        <v>0.51218414727575601</v>
      </c>
      <c r="G274">
        <f t="shared" ca="1" si="17"/>
        <v>114.16068978815932</v>
      </c>
      <c r="H274">
        <f t="shared" ca="1" si="18"/>
        <v>14.160689788159317</v>
      </c>
      <c r="I274">
        <f t="shared" ca="1" si="19"/>
        <v>13.470064797723925</v>
      </c>
    </row>
    <row r="275" spans="5:9" x14ac:dyDescent="0.75">
      <c r="E275">
        <v>269</v>
      </c>
      <c r="F275">
        <f t="shared" ca="1" si="16"/>
        <v>-1.6093243924659681</v>
      </c>
      <c r="G275">
        <f t="shared" ca="1" si="17"/>
        <v>74.686944728066379</v>
      </c>
      <c r="H275">
        <f t="shared" ca="1" si="18"/>
        <v>0</v>
      </c>
      <c r="I275">
        <f t="shared" ca="1" si="19"/>
        <v>0</v>
      </c>
    </row>
    <row r="276" spans="5:9" x14ac:dyDescent="0.75">
      <c r="E276">
        <v>270</v>
      </c>
      <c r="F276">
        <f t="shared" ca="1" si="16"/>
        <v>0.89504503705079252</v>
      </c>
      <c r="G276">
        <f t="shared" ca="1" si="17"/>
        <v>123.24560997178509</v>
      </c>
      <c r="H276">
        <f t="shared" ca="1" si="18"/>
        <v>23.245609971785086</v>
      </c>
      <c r="I276">
        <f t="shared" ca="1" si="19"/>
        <v>22.111908195629187</v>
      </c>
    </row>
    <row r="277" spans="5:9" x14ac:dyDescent="0.75">
      <c r="E277">
        <v>271</v>
      </c>
      <c r="F277">
        <f t="shared" ca="1" si="16"/>
        <v>0.47298606439482188</v>
      </c>
      <c r="G277">
        <f t="shared" ca="1" si="17"/>
        <v>113.26921273709357</v>
      </c>
      <c r="H277">
        <f t="shared" ca="1" si="18"/>
        <v>13.269212737093568</v>
      </c>
      <c r="I277">
        <f t="shared" ca="1" si="19"/>
        <v>12.622065595483059</v>
      </c>
    </row>
    <row r="278" spans="5:9" x14ac:dyDescent="0.75">
      <c r="E278">
        <v>272</v>
      </c>
      <c r="F278">
        <f t="shared" ca="1" si="16"/>
        <v>0.20997028910572932</v>
      </c>
      <c r="G278">
        <f t="shared" ca="1" si="17"/>
        <v>107.46489582885255</v>
      </c>
      <c r="H278">
        <f t="shared" ca="1" si="18"/>
        <v>7.4648958288525478</v>
      </c>
      <c r="I278">
        <f t="shared" ca="1" si="19"/>
        <v>7.1008285632371893</v>
      </c>
    </row>
    <row r="279" spans="5:9" x14ac:dyDescent="0.75">
      <c r="E279">
        <v>273</v>
      </c>
      <c r="F279">
        <f t="shared" ca="1" si="16"/>
        <v>1.758662982393751</v>
      </c>
      <c r="G279">
        <f t="shared" ca="1" si="17"/>
        <v>146.48203346420823</v>
      </c>
      <c r="H279">
        <f t="shared" ca="1" si="18"/>
        <v>46.482033464208229</v>
      </c>
      <c r="I279">
        <f t="shared" ca="1" si="19"/>
        <v>44.215077941781722</v>
      </c>
    </row>
    <row r="280" spans="5:9" x14ac:dyDescent="0.75">
      <c r="E280">
        <v>274</v>
      </c>
      <c r="F280">
        <f t="shared" ca="1" si="16"/>
        <v>7.9355883815664718E-2</v>
      </c>
      <c r="G280">
        <f t="shared" ca="1" si="17"/>
        <v>104.69395321300271</v>
      </c>
      <c r="H280">
        <f t="shared" ca="1" si="18"/>
        <v>4.6939532130027146</v>
      </c>
      <c r="I280">
        <f t="shared" ca="1" si="19"/>
        <v>4.4650264134378501</v>
      </c>
    </row>
    <row r="281" spans="5:9" x14ac:dyDescent="0.75">
      <c r="E281">
        <v>275</v>
      </c>
      <c r="F281">
        <f t="shared" ca="1" si="16"/>
        <v>0.27799491652925318</v>
      </c>
      <c r="G281">
        <f t="shared" ca="1" si="17"/>
        <v>108.93693853906458</v>
      </c>
      <c r="H281">
        <f t="shared" ca="1" si="18"/>
        <v>8.9369385390645846</v>
      </c>
      <c r="I281">
        <f t="shared" ca="1" si="19"/>
        <v>8.5010789033126564</v>
      </c>
    </row>
    <row r="282" spans="5:9" x14ac:dyDescent="0.75">
      <c r="E282">
        <v>276</v>
      </c>
      <c r="F282">
        <f t="shared" ca="1" si="16"/>
        <v>-1.0438218326746904</v>
      </c>
      <c r="G282">
        <f t="shared" ca="1" si="17"/>
        <v>83.630293714070064</v>
      </c>
      <c r="H282">
        <f t="shared" ca="1" si="18"/>
        <v>0</v>
      </c>
      <c r="I282">
        <f t="shared" ca="1" si="19"/>
        <v>0</v>
      </c>
    </row>
    <row r="283" spans="5:9" x14ac:dyDescent="0.75">
      <c r="E283">
        <v>277</v>
      </c>
      <c r="F283">
        <f t="shared" ca="1" si="16"/>
        <v>0.22590831009863577</v>
      </c>
      <c r="G283">
        <f t="shared" ca="1" si="17"/>
        <v>107.80799792832659</v>
      </c>
      <c r="H283">
        <f t="shared" ca="1" si="18"/>
        <v>7.8079979283265857</v>
      </c>
      <c r="I283">
        <f t="shared" ca="1" si="19"/>
        <v>7.4271973758648651</v>
      </c>
    </row>
    <row r="284" spans="5:9" x14ac:dyDescent="0.75">
      <c r="E284">
        <v>278</v>
      </c>
      <c r="F284">
        <f t="shared" ca="1" si="16"/>
        <v>5.3298510833439436E-2</v>
      </c>
      <c r="G284">
        <f t="shared" ca="1" si="17"/>
        <v>104.14976258490879</v>
      </c>
      <c r="H284">
        <f t="shared" ca="1" si="18"/>
        <v>4.1497625849087854</v>
      </c>
      <c r="I284">
        <f t="shared" ca="1" si="19"/>
        <v>3.9473762754573793</v>
      </c>
    </row>
    <row r="285" spans="5:9" x14ac:dyDescent="0.75">
      <c r="E285">
        <v>279</v>
      </c>
      <c r="F285">
        <f t="shared" ca="1" si="16"/>
        <v>-1.5335048211197579</v>
      </c>
      <c r="G285">
        <f t="shared" ca="1" si="17"/>
        <v>75.82812164222419</v>
      </c>
      <c r="H285">
        <f t="shared" ca="1" si="18"/>
        <v>0</v>
      </c>
      <c r="I285">
        <f t="shared" ca="1" si="19"/>
        <v>0</v>
      </c>
    </row>
    <row r="286" spans="5:9" x14ac:dyDescent="0.75">
      <c r="E286">
        <v>280</v>
      </c>
      <c r="F286">
        <f t="shared" ca="1" si="16"/>
        <v>-1.3095466382640624</v>
      </c>
      <c r="G286">
        <f t="shared" ca="1" si="17"/>
        <v>79.301802485256886</v>
      </c>
      <c r="H286">
        <f t="shared" ca="1" si="18"/>
        <v>0</v>
      </c>
      <c r="I286">
        <f t="shared" ca="1" si="19"/>
        <v>0</v>
      </c>
    </row>
    <row r="287" spans="5:9" x14ac:dyDescent="0.75">
      <c r="E287">
        <v>281</v>
      </c>
      <c r="F287">
        <f t="shared" ca="1" si="16"/>
        <v>-1.0799166233176598</v>
      </c>
      <c r="G287">
        <f t="shared" ca="1" si="17"/>
        <v>83.028744018892596</v>
      </c>
      <c r="H287">
        <f t="shared" ca="1" si="18"/>
        <v>0</v>
      </c>
      <c r="I287">
        <f t="shared" ca="1" si="19"/>
        <v>0</v>
      </c>
    </row>
    <row r="288" spans="5:9" x14ac:dyDescent="0.75">
      <c r="E288">
        <v>282</v>
      </c>
      <c r="F288">
        <f t="shared" ca="1" si="16"/>
        <v>2.1537001765857786</v>
      </c>
      <c r="G288">
        <f t="shared" ca="1" si="17"/>
        <v>158.52466895562421</v>
      </c>
      <c r="H288">
        <f t="shared" ca="1" si="18"/>
        <v>58.524668955624207</v>
      </c>
      <c r="I288">
        <f t="shared" ca="1" si="19"/>
        <v>55.670387169753219</v>
      </c>
    </row>
    <row r="289" spans="5:9" x14ac:dyDescent="0.75">
      <c r="E289">
        <v>283</v>
      </c>
      <c r="F289">
        <f t="shared" ca="1" si="16"/>
        <v>1.4051473013869324</v>
      </c>
      <c r="G289">
        <f t="shared" ca="1" si="17"/>
        <v>136.48294288474531</v>
      </c>
      <c r="H289">
        <f t="shared" ca="1" si="18"/>
        <v>36.482942884745313</v>
      </c>
      <c r="I289">
        <f t="shared" ca="1" si="19"/>
        <v>34.703648764348706</v>
      </c>
    </row>
    <row r="290" spans="5:9" x14ac:dyDescent="0.75">
      <c r="E290">
        <v>284</v>
      </c>
      <c r="F290">
        <f t="shared" ca="1" si="16"/>
        <v>-1.5926230754024677</v>
      </c>
      <c r="G290">
        <f t="shared" ca="1" si="17"/>
        <v>74.93683591579989</v>
      </c>
      <c r="H290">
        <f t="shared" ca="1" si="18"/>
        <v>0</v>
      </c>
      <c r="I290">
        <f t="shared" ca="1" si="19"/>
        <v>0</v>
      </c>
    </row>
    <row r="291" spans="5:9" x14ac:dyDescent="0.75">
      <c r="E291">
        <v>285</v>
      </c>
      <c r="F291">
        <f t="shared" ca="1" si="16"/>
        <v>-1.9780064271046798</v>
      </c>
      <c r="G291">
        <f t="shared" ca="1" si="17"/>
        <v>69.377936601876669</v>
      </c>
      <c r="H291">
        <f t="shared" ca="1" si="18"/>
        <v>0</v>
      </c>
      <c r="I291">
        <f t="shared" ca="1" si="19"/>
        <v>0</v>
      </c>
    </row>
    <row r="292" spans="5:9" x14ac:dyDescent="0.75">
      <c r="E292">
        <v>286</v>
      </c>
      <c r="F292">
        <f t="shared" ca="1" si="16"/>
        <v>-1.622291234638902</v>
      </c>
      <c r="G292">
        <f t="shared" ca="1" si="17"/>
        <v>74.493504901918357</v>
      </c>
      <c r="H292">
        <f t="shared" ca="1" si="18"/>
        <v>0</v>
      </c>
      <c r="I292">
        <f t="shared" ca="1" si="19"/>
        <v>0</v>
      </c>
    </row>
    <row r="293" spans="5:9" x14ac:dyDescent="0.75">
      <c r="E293">
        <v>287</v>
      </c>
      <c r="F293">
        <f t="shared" ca="1" si="16"/>
        <v>0.71975792441733799</v>
      </c>
      <c r="G293">
        <f t="shared" ca="1" si="17"/>
        <v>118.99979505361999</v>
      </c>
      <c r="H293">
        <f t="shared" ca="1" si="18"/>
        <v>18.999795053619991</v>
      </c>
      <c r="I293">
        <f t="shared" ca="1" si="19"/>
        <v>18.073164114486456</v>
      </c>
    </row>
    <row r="294" spans="5:9" x14ac:dyDescent="0.75">
      <c r="E294">
        <v>288</v>
      </c>
      <c r="F294">
        <f t="shared" ca="1" si="16"/>
        <v>-0.28397653177051313</v>
      </c>
      <c r="G294">
        <f t="shared" ca="1" si="17"/>
        <v>97.356050277870025</v>
      </c>
      <c r="H294">
        <f t="shared" ca="1" si="18"/>
        <v>0</v>
      </c>
      <c r="I294">
        <f t="shared" ca="1" si="19"/>
        <v>0</v>
      </c>
    </row>
    <row r="295" spans="5:9" x14ac:dyDescent="0.75">
      <c r="E295">
        <v>289</v>
      </c>
      <c r="F295">
        <f t="shared" ca="1" si="16"/>
        <v>-1.0006798530889529E-2</v>
      </c>
      <c r="G295">
        <f t="shared" ca="1" si="17"/>
        <v>102.83942861064102</v>
      </c>
      <c r="H295">
        <f t="shared" ca="1" si="18"/>
        <v>2.839428610641022</v>
      </c>
      <c r="I295">
        <f t="shared" ca="1" si="19"/>
        <v>2.7009480432109214</v>
      </c>
    </row>
    <row r="296" spans="5:9" x14ac:dyDescent="0.75">
      <c r="E296">
        <v>290</v>
      </c>
      <c r="F296">
        <f t="shared" ca="1" si="16"/>
        <v>-0.14734964336985354</v>
      </c>
      <c r="G296">
        <f t="shared" ca="1" si="17"/>
        <v>100.05302118386608</v>
      </c>
      <c r="H296">
        <f t="shared" ca="1" si="18"/>
        <v>5.3021183866079014E-2</v>
      </c>
      <c r="I296">
        <f t="shared" ca="1" si="19"/>
        <v>5.0435310215276884E-2</v>
      </c>
    </row>
    <row r="297" spans="5:9" x14ac:dyDescent="0.75">
      <c r="E297">
        <v>291</v>
      </c>
      <c r="F297">
        <f t="shared" ca="1" si="16"/>
        <v>-0.62327326541186989</v>
      </c>
      <c r="G297">
        <f t="shared" ca="1" si="17"/>
        <v>90.968703784231678</v>
      </c>
      <c r="H297">
        <f t="shared" ca="1" si="18"/>
        <v>0</v>
      </c>
      <c r="I297">
        <f t="shared" ca="1" si="19"/>
        <v>0</v>
      </c>
    </row>
    <row r="298" spans="5:9" x14ac:dyDescent="0.75">
      <c r="E298">
        <v>292</v>
      </c>
      <c r="F298">
        <f t="shared" ca="1" si="16"/>
        <v>-1.718651450033996</v>
      </c>
      <c r="G298">
        <f t="shared" ca="1" si="17"/>
        <v>73.071608301417996</v>
      </c>
      <c r="H298">
        <f t="shared" ca="1" si="18"/>
        <v>0</v>
      </c>
      <c r="I298">
        <f t="shared" ca="1" si="19"/>
        <v>0</v>
      </c>
    </row>
    <row r="299" spans="5:9" x14ac:dyDescent="0.75">
      <c r="E299">
        <v>293</v>
      </c>
      <c r="F299">
        <f t="shared" ca="1" si="16"/>
        <v>5.6113892478436518E-2</v>
      </c>
      <c r="G299">
        <f t="shared" ca="1" si="17"/>
        <v>104.20842336458959</v>
      </c>
      <c r="H299">
        <f t="shared" ca="1" si="18"/>
        <v>4.2084233645895921</v>
      </c>
      <c r="I299">
        <f t="shared" ca="1" si="19"/>
        <v>4.0031761351539163</v>
      </c>
    </row>
    <row r="300" spans="5:9" x14ac:dyDescent="0.75">
      <c r="E300">
        <v>294</v>
      </c>
      <c r="F300">
        <f t="shared" ca="1" si="16"/>
        <v>0.8762787354097471</v>
      </c>
      <c r="G300">
        <f t="shared" ca="1" si="17"/>
        <v>122.78390410640863</v>
      </c>
      <c r="H300">
        <f t="shared" ca="1" si="18"/>
        <v>22.783904106408627</v>
      </c>
      <c r="I300">
        <f t="shared" ca="1" si="19"/>
        <v>21.672719991018532</v>
      </c>
    </row>
    <row r="301" spans="5:9" x14ac:dyDescent="0.75">
      <c r="E301">
        <v>295</v>
      </c>
      <c r="F301">
        <f t="shared" ca="1" si="16"/>
        <v>1.3814363189086791</v>
      </c>
      <c r="G301">
        <f t="shared" ca="1" si="17"/>
        <v>135.83724617168434</v>
      </c>
      <c r="H301">
        <f t="shared" ca="1" si="18"/>
        <v>35.837246171684342</v>
      </c>
      <c r="I301">
        <f t="shared" ca="1" si="19"/>
        <v>34.089443051581711</v>
      </c>
    </row>
    <row r="302" spans="5:9" x14ac:dyDescent="0.75">
      <c r="E302">
        <v>296</v>
      </c>
      <c r="F302">
        <f t="shared" ca="1" si="16"/>
        <v>0.92144928281033855</v>
      </c>
      <c r="G302">
        <f t="shared" ca="1" si="17"/>
        <v>123.89817297354699</v>
      </c>
      <c r="H302">
        <f t="shared" ca="1" si="18"/>
        <v>23.898172973546991</v>
      </c>
      <c r="I302">
        <f t="shared" ca="1" si="19"/>
        <v>22.73264532424562</v>
      </c>
    </row>
    <row r="303" spans="5:9" x14ac:dyDescent="0.75">
      <c r="E303">
        <v>297</v>
      </c>
      <c r="F303">
        <f t="shared" ca="1" si="16"/>
        <v>-0.30718006562471456</v>
      </c>
      <c r="G303">
        <f t="shared" ca="1" si="17"/>
        <v>96.905296114072371</v>
      </c>
      <c r="H303">
        <f t="shared" ca="1" si="18"/>
        <v>0</v>
      </c>
      <c r="I303">
        <f t="shared" ca="1" si="19"/>
        <v>0</v>
      </c>
    </row>
    <row r="304" spans="5:9" x14ac:dyDescent="0.75">
      <c r="E304">
        <v>298</v>
      </c>
      <c r="F304">
        <f t="shared" ca="1" si="16"/>
        <v>-5.1850110179320424E-2</v>
      </c>
      <c r="G304">
        <f t="shared" ca="1" si="17"/>
        <v>101.98239128824143</v>
      </c>
      <c r="H304">
        <f t="shared" ca="1" si="18"/>
        <v>1.9823912882414305</v>
      </c>
      <c r="I304">
        <f t="shared" ca="1" si="19"/>
        <v>1.885708924249125</v>
      </c>
    </row>
    <row r="305" spans="5:9" x14ac:dyDescent="0.75">
      <c r="E305">
        <v>299</v>
      </c>
      <c r="F305">
        <f t="shared" ca="1" si="16"/>
        <v>1.0443650812707963</v>
      </c>
      <c r="G305">
        <f t="shared" ca="1" si="17"/>
        <v>126.9817280190811</v>
      </c>
      <c r="H305">
        <f t="shared" ca="1" si="18"/>
        <v>26.981728019081103</v>
      </c>
      <c r="I305">
        <f t="shared" ca="1" si="19"/>
        <v>25.665813615625307</v>
      </c>
    </row>
    <row r="306" spans="5:9" x14ac:dyDescent="0.75">
      <c r="E306">
        <v>300</v>
      </c>
      <c r="F306">
        <f t="shared" ca="1" si="16"/>
        <v>0.58569948332917754</v>
      </c>
      <c r="G306">
        <f t="shared" ca="1" si="17"/>
        <v>115.85160242227866</v>
      </c>
      <c r="H306">
        <f t="shared" ca="1" si="18"/>
        <v>15.85160242227866</v>
      </c>
      <c r="I306">
        <f t="shared" ca="1" si="19"/>
        <v>15.078510649558254</v>
      </c>
    </row>
    <row r="307" spans="5:9" x14ac:dyDescent="0.75">
      <c r="E307">
        <v>301</v>
      </c>
      <c r="F307">
        <f t="shared" ca="1" si="16"/>
        <v>-1.3167048360929701</v>
      </c>
      <c r="G307">
        <f t="shared" ca="1" si="17"/>
        <v>79.188352116576723</v>
      </c>
      <c r="H307">
        <f t="shared" ca="1" si="18"/>
        <v>0</v>
      </c>
      <c r="I307">
        <f t="shared" ca="1" si="19"/>
        <v>0</v>
      </c>
    </row>
    <row r="308" spans="5:9" x14ac:dyDescent="0.75">
      <c r="E308">
        <v>302</v>
      </c>
      <c r="F308">
        <f t="shared" ca="1" si="16"/>
        <v>0.92143146929220365</v>
      </c>
      <c r="G308">
        <f t="shared" ca="1" si="17"/>
        <v>123.89773156186308</v>
      </c>
      <c r="H308">
        <f t="shared" ca="1" si="18"/>
        <v>23.897731561863083</v>
      </c>
      <c r="I308">
        <f t="shared" ca="1" si="19"/>
        <v>22.732225440463569</v>
      </c>
    </row>
    <row r="309" spans="5:9" x14ac:dyDescent="0.75">
      <c r="E309">
        <v>303</v>
      </c>
      <c r="F309">
        <f t="shared" ca="1" si="16"/>
        <v>-0.71664141997172148</v>
      </c>
      <c r="G309">
        <f t="shared" ca="1" si="17"/>
        <v>89.285750117208877</v>
      </c>
      <c r="H309">
        <f t="shared" ca="1" si="18"/>
        <v>0</v>
      </c>
      <c r="I309">
        <f t="shared" ca="1" si="19"/>
        <v>0</v>
      </c>
    </row>
    <row r="310" spans="5:9" x14ac:dyDescent="0.75">
      <c r="E310">
        <v>304</v>
      </c>
      <c r="F310">
        <f t="shared" ca="1" si="16"/>
        <v>0.31814297501428768</v>
      </c>
      <c r="G310">
        <f t="shared" ca="1" si="17"/>
        <v>109.81518110970852</v>
      </c>
      <c r="H310">
        <f t="shared" ca="1" si="18"/>
        <v>9.8151811097085186</v>
      </c>
      <c r="I310">
        <f t="shared" ca="1" si="19"/>
        <v>9.3364890783583139</v>
      </c>
    </row>
    <row r="311" spans="5:9" x14ac:dyDescent="0.75">
      <c r="E311">
        <v>305</v>
      </c>
      <c r="F311">
        <f t="shared" ca="1" si="16"/>
        <v>0.15124406090705927</v>
      </c>
      <c r="G311">
        <f t="shared" ca="1" si="17"/>
        <v>106.21007772833583</v>
      </c>
      <c r="H311">
        <f t="shared" ca="1" si="18"/>
        <v>6.2100777283358326</v>
      </c>
      <c r="I311">
        <f t="shared" ca="1" si="19"/>
        <v>5.9072086636295955</v>
      </c>
    </row>
    <row r="312" spans="5:9" x14ac:dyDescent="0.75">
      <c r="E312">
        <v>306</v>
      </c>
      <c r="F312">
        <f t="shared" ca="1" si="16"/>
        <v>1.3790992627466676</v>
      </c>
      <c r="G312">
        <f t="shared" ca="1" si="17"/>
        <v>135.7737691531365</v>
      </c>
      <c r="H312">
        <f t="shared" ca="1" si="18"/>
        <v>35.773769153136499</v>
      </c>
      <c r="I312">
        <f t="shared" ca="1" si="19"/>
        <v>34.029061843759429</v>
      </c>
    </row>
    <row r="313" spans="5:9" x14ac:dyDescent="0.75">
      <c r="E313">
        <v>307</v>
      </c>
      <c r="F313">
        <f t="shared" ca="1" si="16"/>
        <v>-1.4137789959351175</v>
      </c>
      <c r="G313">
        <f t="shared" ca="1" si="17"/>
        <v>77.665751906557119</v>
      </c>
      <c r="H313">
        <f t="shared" ca="1" si="18"/>
        <v>0</v>
      </c>
      <c r="I313">
        <f t="shared" ca="1" si="19"/>
        <v>0</v>
      </c>
    </row>
    <row r="314" spans="5:9" x14ac:dyDescent="0.75">
      <c r="E314">
        <v>308</v>
      </c>
      <c r="F314">
        <f t="shared" ca="1" si="16"/>
        <v>1.6260289797701923</v>
      </c>
      <c r="G314">
        <f t="shared" ca="1" si="17"/>
        <v>142.64741866927145</v>
      </c>
      <c r="H314">
        <f t="shared" ca="1" si="18"/>
        <v>42.647418669271445</v>
      </c>
      <c r="I314">
        <f t="shared" ca="1" si="19"/>
        <v>40.567479517212085</v>
      </c>
    </row>
    <row r="315" spans="5:9" x14ac:dyDescent="0.75">
      <c r="E315">
        <v>309</v>
      </c>
      <c r="F315">
        <f t="shared" ca="1" si="16"/>
        <v>1.8410854785818034</v>
      </c>
      <c r="G315">
        <f t="shared" ca="1" si="17"/>
        <v>148.91672866560577</v>
      </c>
      <c r="H315">
        <f t="shared" ca="1" si="18"/>
        <v>48.916728665605774</v>
      </c>
      <c r="I315">
        <f t="shared" ca="1" si="19"/>
        <v>46.531031657041758</v>
      </c>
    </row>
    <row r="316" spans="5:9" x14ac:dyDescent="0.75">
      <c r="E316">
        <v>310</v>
      </c>
      <c r="F316">
        <f t="shared" ca="1" si="16"/>
        <v>-0.30327044558151661</v>
      </c>
      <c r="G316">
        <f t="shared" ca="1" si="17"/>
        <v>96.981098323589904</v>
      </c>
      <c r="H316">
        <f t="shared" ca="1" si="18"/>
        <v>0</v>
      </c>
      <c r="I316">
        <f t="shared" ca="1" si="19"/>
        <v>0</v>
      </c>
    </row>
    <row r="317" spans="5:9" x14ac:dyDescent="0.75">
      <c r="E317">
        <v>311</v>
      </c>
      <c r="F317">
        <f t="shared" ca="1" si="16"/>
        <v>1.416226715699701</v>
      </c>
      <c r="G317">
        <f t="shared" ca="1" si="17"/>
        <v>136.78570842151166</v>
      </c>
      <c r="H317">
        <f t="shared" ca="1" si="18"/>
        <v>36.785708421511657</v>
      </c>
      <c r="I317">
        <f t="shared" ca="1" si="19"/>
        <v>34.9916482516456</v>
      </c>
    </row>
    <row r="318" spans="5:9" x14ac:dyDescent="0.75">
      <c r="E318">
        <v>312</v>
      </c>
      <c r="F318">
        <f t="shared" ca="1" si="16"/>
        <v>-0.36700724291210818</v>
      </c>
      <c r="G318">
        <f t="shared" ca="1" si="17"/>
        <v>95.752691507603629</v>
      </c>
      <c r="H318">
        <f t="shared" ca="1" si="18"/>
        <v>0</v>
      </c>
      <c r="I318">
        <f t="shared" ca="1" si="19"/>
        <v>0</v>
      </c>
    </row>
    <row r="319" spans="5:9" x14ac:dyDescent="0.75">
      <c r="E319">
        <v>313</v>
      </c>
      <c r="F319">
        <f t="shared" ca="1" si="16"/>
        <v>-0.35760855504555733</v>
      </c>
      <c r="G319">
        <f t="shared" ca="1" si="17"/>
        <v>95.932850712541324</v>
      </c>
      <c r="H319">
        <f t="shared" ca="1" si="18"/>
        <v>0</v>
      </c>
      <c r="I319">
        <f t="shared" ca="1" si="19"/>
        <v>0</v>
      </c>
    </row>
    <row r="320" spans="5:9" x14ac:dyDescent="0.75">
      <c r="E320">
        <v>314</v>
      </c>
      <c r="F320">
        <f t="shared" ca="1" si="16"/>
        <v>-0.48345052052695642</v>
      </c>
      <c r="G320">
        <f t="shared" ca="1" si="17"/>
        <v>93.548505940092099</v>
      </c>
      <c r="H320">
        <f t="shared" ca="1" si="18"/>
        <v>0</v>
      </c>
      <c r="I320">
        <f t="shared" ca="1" si="19"/>
        <v>0</v>
      </c>
    </row>
    <row r="321" spans="5:9" x14ac:dyDescent="0.75">
      <c r="E321">
        <v>315</v>
      </c>
      <c r="F321">
        <f t="shared" ca="1" si="16"/>
        <v>0.58485977689775648</v>
      </c>
      <c r="G321">
        <f t="shared" ca="1" si="17"/>
        <v>115.83214778881357</v>
      </c>
      <c r="H321">
        <f t="shared" ca="1" si="18"/>
        <v>15.832147788813572</v>
      </c>
      <c r="I321">
        <f t="shared" ca="1" si="19"/>
        <v>15.060004829763386</v>
      </c>
    </row>
    <row r="322" spans="5:9" x14ac:dyDescent="0.75">
      <c r="E322">
        <v>316</v>
      </c>
      <c r="F322">
        <f t="shared" ca="1" si="16"/>
        <v>0.88010406801424912</v>
      </c>
      <c r="G322">
        <f t="shared" ca="1" si="17"/>
        <v>122.87787790426539</v>
      </c>
      <c r="H322">
        <f t="shared" ca="1" si="18"/>
        <v>22.877877904265389</v>
      </c>
      <c r="I322">
        <f t="shared" ca="1" si="19"/>
        <v>21.762110632671966</v>
      </c>
    </row>
    <row r="323" spans="5:9" x14ac:dyDescent="0.75">
      <c r="E323">
        <v>317</v>
      </c>
      <c r="F323">
        <f t="shared" ca="1" si="16"/>
        <v>0.29472953685130376</v>
      </c>
      <c r="G323">
        <f t="shared" ca="1" si="17"/>
        <v>109.30215303182675</v>
      </c>
      <c r="H323">
        <f t="shared" ca="1" si="18"/>
        <v>9.302153031826748</v>
      </c>
      <c r="I323">
        <f t="shared" ca="1" si="19"/>
        <v>8.8484816750821302</v>
      </c>
    </row>
    <row r="324" spans="5:9" x14ac:dyDescent="0.75">
      <c r="E324">
        <v>318</v>
      </c>
      <c r="F324">
        <f t="shared" ca="1" si="16"/>
        <v>0.61677742302681327</v>
      </c>
      <c r="G324">
        <f t="shared" ca="1" si="17"/>
        <v>116.57393076723758</v>
      </c>
      <c r="H324">
        <f t="shared" ca="1" si="18"/>
        <v>16.573930767237584</v>
      </c>
      <c r="I324">
        <f t="shared" ca="1" si="19"/>
        <v>15.765610625434086</v>
      </c>
    </row>
    <row r="325" spans="5:9" x14ac:dyDescent="0.75">
      <c r="E325">
        <v>319</v>
      </c>
      <c r="F325">
        <f t="shared" ca="1" si="16"/>
        <v>0.7051556449121289</v>
      </c>
      <c r="G325">
        <f t="shared" ca="1" si="17"/>
        <v>118.6527683846255</v>
      </c>
      <c r="H325">
        <f t="shared" ca="1" si="18"/>
        <v>18.652768384625503</v>
      </c>
      <c r="I325">
        <f t="shared" ca="1" si="19"/>
        <v>17.74306213585243</v>
      </c>
    </row>
    <row r="326" spans="5:9" x14ac:dyDescent="0.75">
      <c r="E326">
        <v>320</v>
      </c>
      <c r="F326">
        <f t="shared" ca="1" si="16"/>
        <v>-0.59731318633611019</v>
      </c>
      <c r="G326">
        <f t="shared" ca="1" si="17"/>
        <v>91.442242980694871</v>
      </c>
      <c r="H326">
        <f t="shared" ca="1" si="18"/>
        <v>0</v>
      </c>
      <c r="I326">
        <f t="shared" ca="1" si="19"/>
        <v>0</v>
      </c>
    </row>
    <row r="327" spans="5:9" x14ac:dyDescent="0.75">
      <c r="E327">
        <v>321</v>
      </c>
      <c r="F327">
        <f t="shared" ca="1" si="16"/>
        <v>-0.69587628193253592</v>
      </c>
      <c r="G327">
        <f t="shared" ca="1" si="17"/>
        <v>89.657327353623728</v>
      </c>
      <c r="H327">
        <f t="shared" ca="1" si="18"/>
        <v>0</v>
      </c>
      <c r="I327">
        <f t="shared" ca="1" si="19"/>
        <v>0</v>
      </c>
    </row>
    <row r="328" spans="5:9" x14ac:dyDescent="0.75">
      <c r="E328">
        <v>322</v>
      </c>
      <c r="F328">
        <f t="shared" ref="F328:F391" ca="1" si="20">NORMINV(RAND(), 0,1)</f>
        <v>-0.99034381698743357</v>
      </c>
      <c r="G328">
        <f t="shared" ref="G328:G391" ca="1" si="21">$C$5*EXP(($C$6-0.5*$C$7^2)*$C$8+$C$7*SQRT($C$8)*F328)</f>
        <v>84.529570728144918</v>
      </c>
      <c r="H328">
        <f t="shared" ref="H328:H391" ca="1" si="22">MAX(G328-$C$9,0)</f>
        <v>0</v>
      </c>
      <c r="I328">
        <f t="shared" ref="I328:I391" ca="1" si="23">EXP(-$C$6*$C$8)*H328</f>
        <v>0</v>
      </c>
    </row>
    <row r="329" spans="5:9" x14ac:dyDescent="0.75">
      <c r="E329">
        <v>323</v>
      </c>
      <c r="F329">
        <f t="shared" ca="1" si="20"/>
        <v>-0.36320868790485045</v>
      </c>
      <c r="G329">
        <f t="shared" ca="1" si="21"/>
        <v>95.825463520109707</v>
      </c>
      <c r="H329">
        <f t="shared" ca="1" si="22"/>
        <v>0</v>
      </c>
      <c r="I329">
        <f t="shared" ca="1" si="23"/>
        <v>0</v>
      </c>
    </row>
    <row r="330" spans="5:9" x14ac:dyDescent="0.75">
      <c r="E330">
        <v>324</v>
      </c>
      <c r="F330">
        <f t="shared" ca="1" si="20"/>
        <v>0.71413744411352142</v>
      </c>
      <c r="G330">
        <f t="shared" ca="1" si="21"/>
        <v>118.86610300819709</v>
      </c>
      <c r="H330">
        <f t="shared" ca="1" si="22"/>
        <v>18.866103008197086</v>
      </c>
      <c r="I330">
        <f t="shared" ca="1" si="23"/>
        <v>17.945992307058503</v>
      </c>
    </row>
    <row r="331" spans="5:9" x14ac:dyDescent="0.75">
      <c r="E331">
        <v>325</v>
      </c>
      <c r="F331">
        <f t="shared" ca="1" si="20"/>
        <v>0.30760623959037109</v>
      </c>
      <c r="G331">
        <f t="shared" ca="1" si="21"/>
        <v>109.5840060765005</v>
      </c>
      <c r="H331">
        <f t="shared" ca="1" si="22"/>
        <v>9.5840060765005006</v>
      </c>
      <c r="I331">
        <f t="shared" ca="1" si="23"/>
        <v>9.1165885845609171</v>
      </c>
    </row>
    <row r="332" spans="5:9" x14ac:dyDescent="0.75">
      <c r="E332">
        <v>326</v>
      </c>
      <c r="F332">
        <f t="shared" ca="1" si="20"/>
        <v>-0.14711126203212765</v>
      </c>
      <c r="G332">
        <f t="shared" ca="1" si="21"/>
        <v>100.05779145218614</v>
      </c>
      <c r="H332">
        <f t="shared" ca="1" si="22"/>
        <v>5.7791452186137349E-2</v>
      </c>
      <c r="I332">
        <f t="shared" ca="1" si="23"/>
        <v>5.4972929804079959E-2</v>
      </c>
    </row>
    <row r="333" spans="5:9" x14ac:dyDescent="0.75">
      <c r="E333">
        <v>327</v>
      </c>
      <c r="F333">
        <f t="shared" ca="1" si="20"/>
        <v>-0.3761776297598064</v>
      </c>
      <c r="G333">
        <f t="shared" ca="1" si="21"/>
        <v>95.577234612980973</v>
      </c>
      <c r="H333">
        <f t="shared" ca="1" si="22"/>
        <v>0</v>
      </c>
      <c r="I333">
        <f t="shared" ca="1" si="23"/>
        <v>0</v>
      </c>
    </row>
    <row r="334" spans="5:9" x14ac:dyDescent="0.75">
      <c r="E334">
        <v>328</v>
      </c>
      <c r="F334">
        <f t="shared" ca="1" si="20"/>
        <v>-0.62048234451259399</v>
      </c>
      <c r="G334">
        <f t="shared" ca="1" si="21"/>
        <v>91.019495249723477</v>
      </c>
      <c r="H334">
        <f t="shared" ca="1" si="22"/>
        <v>0</v>
      </c>
      <c r="I334">
        <f t="shared" ca="1" si="23"/>
        <v>0</v>
      </c>
    </row>
    <row r="335" spans="5:9" x14ac:dyDescent="0.75">
      <c r="E335">
        <v>329</v>
      </c>
      <c r="F335">
        <f t="shared" ca="1" si="20"/>
        <v>5.8389926088116925E-2</v>
      </c>
      <c r="G335">
        <f t="shared" ca="1" si="21"/>
        <v>104.25587053770428</v>
      </c>
      <c r="H335">
        <f t="shared" ca="1" si="22"/>
        <v>4.2558705377042827</v>
      </c>
      <c r="I335">
        <f t="shared" ca="1" si="23"/>
        <v>4.0483092823299893</v>
      </c>
    </row>
    <row r="336" spans="5:9" x14ac:dyDescent="0.75">
      <c r="E336">
        <v>330</v>
      </c>
      <c r="F336">
        <f t="shared" ca="1" si="20"/>
        <v>0.74059289018459384</v>
      </c>
      <c r="G336">
        <f t="shared" ca="1" si="21"/>
        <v>119.49670096762563</v>
      </c>
      <c r="H336">
        <f t="shared" ca="1" si="22"/>
        <v>19.496700967625628</v>
      </c>
      <c r="I336">
        <f t="shared" ca="1" si="23"/>
        <v>18.545835641097039</v>
      </c>
    </row>
    <row r="337" spans="5:9" x14ac:dyDescent="0.75">
      <c r="E337">
        <v>331</v>
      </c>
      <c r="F337">
        <f t="shared" ca="1" si="20"/>
        <v>1.598548477067119</v>
      </c>
      <c r="G337">
        <f t="shared" ca="1" si="21"/>
        <v>141.86556465666558</v>
      </c>
      <c r="H337">
        <f t="shared" ca="1" si="22"/>
        <v>41.865564656665583</v>
      </c>
      <c r="I337">
        <f t="shared" ca="1" si="23"/>
        <v>39.823756974757437</v>
      </c>
    </row>
    <row r="338" spans="5:9" x14ac:dyDescent="0.75">
      <c r="E338">
        <v>332</v>
      </c>
      <c r="F338">
        <f t="shared" ca="1" si="20"/>
        <v>-0.5897077249424465</v>
      </c>
      <c r="G338">
        <f t="shared" ca="1" si="21"/>
        <v>91.581440910051811</v>
      </c>
      <c r="H338">
        <f t="shared" ca="1" si="22"/>
        <v>0</v>
      </c>
      <c r="I338">
        <f t="shared" ca="1" si="23"/>
        <v>0</v>
      </c>
    </row>
    <row r="339" spans="5:9" x14ac:dyDescent="0.75">
      <c r="E339">
        <v>333</v>
      </c>
      <c r="F339">
        <f t="shared" ca="1" si="20"/>
        <v>0.7528400784306305</v>
      </c>
      <c r="G339">
        <f t="shared" ca="1" si="21"/>
        <v>119.78975945365336</v>
      </c>
      <c r="H339">
        <f t="shared" ca="1" si="22"/>
        <v>19.78975945365336</v>
      </c>
      <c r="I339">
        <f t="shared" ca="1" si="23"/>
        <v>18.824601496106251</v>
      </c>
    </row>
    <row r="340" spans="5:9" x14ac:dyDescent="0.75">
      <c r="E340">
        <v>334</v>
      </c>
      <c r="F340">
        <f t="shared" ca="1" si="20"/>
        <v>-0.33042664959683593</v>
      </c>
      <c r="G340">
        <f t="shared" ca="1" si="21"/>
        <v>96.455798431642904</v>
      </c>
      <c r="H340">
        <f t="shared" ca="1" si="22"/>
        <v>0</v>
      </c>
      <c r="I340">
        <f t="shared" ca="1" si="23"/>
        <v>0</v>
      </c>
    </row>
    <row r="341" spans="5:9" x14ac:dyDescent="0.75">
      <c r="E341">
        <v>335</v>
      </c>
      <c r="F341">
        <f t="shared" ca="1" si="20"/>
        <v>0.74305508595629866</v>
      </c>
      <c r="G341">
        <f t="shared" ca="1" si="21"/>
        <v>119.5555603131304</v>
      </c>
      <c r="H341">
        <f t="shared" ca="1" si="22"/>
        <v>19.5555603131304</v>
      </c>
      <c r="I341">
        <f t="shared" ca="1" si="23"/>
        <v>18.601824382448033</v>
      </c>
    </row>
    <row r="342" spans="5:9" x14ac:dyDescent="0.75">
      <c r="E342">
        <v>336</v>
      </c>
      <c r="F342">
        <f t="shared" ca="1" si="20"/>
        <v>0.19186383957708289</v>
      </c>
      <c r="G342">
        <f t="shared" ca="1" si="21"/>
        <v>107.0764380699589</v>
      </c>
      <c r="H342">
        <f t="shared" ca="1" si="22"/>
        <v>7.0764380699588969</v>
      </c>
      <c r="I342">
        <f t="shared" ca="1" si="23"/>
        <v>6.7313161128019452</v>
      </c>
    </row>
    <row r="343" spans="5:9" x14ac:dyDescent="0.75">
      <c r="E343">
        <v>337</v>
      </c>
      <c r="F343">
        <f t="shared" ca="1" si="20"/>
        <v>-1.1266363988750254</v>
      </c>
      <c r="G343">
        <f t="shared" ca="1" si="21"/>
        <v>82.256540497721033</v>
      </c>
      <c r="H343">
        <f t="shared" ca="1" si="22"/>
        <v>0</v>
      </c>
      <c r="I343">
        <f t="shared" ca="1" si="23"/>
        <v>0</v>
      </c>
    </row>
    <row r="344" spans="5:9" x14ac:dyDescent="0.75">
      <c r="E344">
        <v>338</v>
      </c>
      <c r="F344">
        <f t="shared" ca="1" si="20"/>
        <v>-0.34261878159335002</v>
      </c>
      <c r="G344">
        <f t="shared" ca="1" si="21"/>
        <v>96.220884592832704</v>
      </c>
      <c r="H344">
        <f t="shared" ca="1" si="22"/>
        <v>0</v>
      </c>
      <c r="I344">
        <f t="shared" ca="1" si="23"/>
        <v>0</v>
      </c>
    </row>
    <row r="345" spans="5:9" x14ac:dyDescent="0.75">
      <c r="E345">
        <v>339</v>
      </c>
      <c r="F345">
        <f t="shared" ca="1" si="20"/>
        <v>-0.27979673441555453</v>
      </c>
      <c r="G345">
        <f t="shared" ca="1" si="21"/>
        <v>97.437470017217734</v>
      </c>
      <c r="H345">
        <f t="shared" ca="1" si="22"/>
        <v>0</v>
      </c>
      <c r="I345">
        <f t="shared" ca="1" si="23"/>
        <v>0</v>
      </c>
    </row>
    <row r="346" spans="5:9" x14ac:dyDescent="0.75">
      <c r="E346">
        <v>340</v>
      </c>
      <c r="F346">
        <f t="shared" ca="1" si="20"/>
        <v>-6.8387959429648287E-2</v>
      </c>
      <c r="G346">
        <f t="shared" ca="1" si="21"/>
        <v>101.64563463566456</v>
      </c>
      <c r="H346">
        <f t="shared" ca="1" si="22"/>
        <v>1.6456346356645639</v>
      </c>
      <c r="I346">
        <f t="shared" ca="1" si="23"/>
        <v>1.5653760874216454</v>
      </c>
    </row>
    <row r="347" spans="5:9" x14ac:dyDescent="0.75">
      <c r="E347">
        <v>341</v>
      </c>
      <c r="F347">
        <f t="shared" ca="1" si="20"/>
        <v>-1.8971219022382941</v>
      </c>
      <c r="G347">
        <f t="shared" ca="1" si="21"/>
        <v>70.509383872878587</v>
      </c>
      <c r="H347">
        <f t="shared" ca="1" si="22"/>
        <v>0</v>
      </c>
      <c r="I347">
        <f t="shared" ca="1" si="23"/>
        <v>0</v>
      </c>
    </row>
    <row r="348" spans="5:9" x14ac:dyDescent="0.75">
      <c r="E348">
        <v>342</v>
      </c>
      <c r="F348">
        <f t="shared" ca="1" si="20"/>
        <v>-0.89962392199293606</v>
      </c>
      <c r="G348">
        <f t="shared" ca="1" si="21"/>
        <v>86.077271752788533</v>
      </c>
      <c r="H348">
        <f t="shared" ca="1" si="22"/>
        <v>0</v>
      </c>
      <c r="I348">
        <f t="shared" ca="1" si="23"/>
        <v>0</v>
      </c>
    </row>
    <row r="349" spans="5:9" x14ac:dyDescent="0.75">
      <c r="E349">
        <v>343</v>
      </c>
      <c r="F349">
        <f t="shared" ca="1" si="20"/>
        <v>-1.5242417969091266</v>
      </c>
      <c r="G349">
        <f t="shared" ca="1" si="21"/>
        <v>75.968731394485772</v>
      </c>
      <c r="H349">
        <f t="shared" ca="1" si="22"/>
        <v>0</v>
      </c>
      <c r="I349">
        <f t="shared" ca="1" si="23"/>
        <v>0</v>
      </c>
    </row>
    <row r="350" spans="5:9" x14ac:dyDescent="0.75">
      <c r="E350">
        <v>344</v>
      </c>
      <c r="F350">
        <f t="shared" ca="1" si="20"/>
        <v>1.1788529611336021</v>
      </c>
      <c r="G350">
        <f t="shared" ca="1" si="21"/>
        <v>130.44357766525198</v>
      </c>
      <c r="H350">
        <f t="shared" ca="1" si="22"/>
        <v>30.443577665251979</v>
      </c>
      <c r="I350">
        <f t="shared" ca="1" si="23"/>
        <v>28.95882686226043</v>
      </c>
    </row>
    <row r="351" spans="5:9" x14ac:dyDescent="0.75">
      <c r="E351">
        <v>345</v>
      </c>
      <c r="F351">
        <f t="shared" ca="1" si="20"/>
        <v>1.2037717592960269</v>
      </c>
      <c r="G351">
        <f t="shared" ca="1" si="21"/>
        <v>131.095299766138</v>
      </c>
      <c r="H351">
        <f t="shared" ca="1" si="22"/>
        <v>31.095299766137998</v>
      </c>
      <c r="I351">
        <f t="shared" ca="1" si="23"/>
        <v>29.578764101220635</v>
      </c>
    </row>
    <row r="352" spans="5:9" x14ac:dyDescent="0.75">
      <c r="E352">
        <v>346</v>
      </c>
      <c r="F352">
        <f t="shared" ca="1" si="20"/>
        <v>-1.1983004064982794</v>
      </c>
      <c r="G352">
        <f t="shared" ca="1" si="21"/>
        <v>81.085982554826913</v>
      </c>
      <c r="H352">
        <f t="shared" ca="1" si="22"/>
        <v>0</v>
      </c>
      <c r="I352">
        <f t="shared" ca="1" si="23"/>
        <v>0</v>
      </c>
    </row>
    <row r="353" spans="5:9" x14ac:dyDescent="0.75">
      <c r="E353">
        <v>347</v>
      </c>
      <c r="F353">
        <f t="shared" ca="1" si="20"/>
        <v>-0.45323019217439842</v>
      </c>
      <c r="G353">
        <f t="shared" ca="1" si="21"/>
        <v>94.115631398671923</v>
      </c>
      <c r="H353">
        <f t="shared" ca="1" si="22"/>
        <v>0</v>
      </c>
      <c r="I353">
        <f t="shared" ca="1" si="23"/>
        <v>0</v>
      </c>
    </row>
    <row r="354" spans="5:9" x14ac:dyDescent="0.75">
      <c r="E354">
        <v>348</v>
      </c>
      <c r="F354">
        <f t="shared" ca="1" si="20"/>
        <v>0.49752317923712297</v>
      </c>
      <c r="G354">
        <f t="shared" ca="1" si="21"/>
        <v>113.82643882705865</v>
      </c>
      <c r="H354">
        <f t="shared" ca="1" si="22"/>
        <v>13.826438827058652</v>
      </c>
      <c r="I354">
        <f t="shared" ca="1" si="23"/>
        <v>13.152115448357328</v>
      </c>
    </row>
    <row r="355" spans="5:9" x14ac:dyDescent="0.75">
      <c r="E355">
        <v>349</v>
      </c>
      <c r="F355">
        <f t="shared" ca="1" si="20"/>
        <v>0.50235835555891517</v>
      </c>
      <c r="G355">
        <f t="shared" ca="1" si="21"/>
        <v>113.93656624738806</v>
      </c>
      <c r="H355">
        <f t="shared" ca="1" si="22"/>
        <v>13.936566247388058</v>
      </c>
      <c r="I355">
        <f t="shared" ca="1" si="23"/>
        <v>13.256871891019017</v>
      </c>
    </row>
    <row r="356" spans="5:9" x14ac:dyDescent="0.75">
      <c r="E356">
        <v>350</v>
      </c>
      <c r="F356">
        <f t="shared" ca="1" si="20"/>
        <v>-0.24471278792886822</v>
      </c>
      <c r="G356">
        <f t="shared" ca="1" si="21"/>
        <v>98.123572517295827</v>
      </c>
      <c r="H356">
        <f t="shared" ca="1" si="22"/>
        <v>0</v>
      </c>
      <c r="I356">
        <f t="shared" ca="1" si="23"/>
        <v>0</v>
      </c>
    </row>
    <row r="357" spans="5:9" x14ac:dyDescent="0.75">
      <c r="E357">
        <v>351</v>
      </c>
      <c r="F357">
        <f t="shared" ca="1" si="20"/>
        <v>1.0127761309988452</v>
      </c>
      <c r="G357">
        <f t="shared" ca="1" si="21"/>
        <v>126.18201299653585</v>
      </c>
      <c r="H357">
        <f t="shared" ca="1" si="22"/>
        <v>26.182012996535846</v>
      </c>
      <c r="I357">
        <f t="shared" ca="1" si="23"/>
        <v>24.905101154965006</v>
      </c>
    </row>
    <row r="358" spans="5:9" x14ac:dyDescent="0.75">
      <c r="E358">
        <v>352</v>
      </c>
      <c r="F358">
        <f t="shared" ca="1" si="20"/>
        <v>1.3479196438050882</v>
      </c>
      <c r="G358">
        <f t="shared" ca="1" si="21"/>
        <v>134.92972869738708</v>
      </c>
      <c r="H358">
        <f t="shared" ca="1" si="22"/>
        <v>34.929728697387077</v>
      </c>
      <c r="I358">
        <f t="shared" ca="1" si="23"/>
        <v>33.226185726781587</v>
      </c>
    </row>
    <row r="359" spans="5:9" x14ac:dyDescent="0.75">
      <c r="E359">
        <v>353</v>
      </c>
      <c r="F359">
        <f t="shared" ca="1" si="20"/>
        <v>0.60607774374335388</v>
      </c>
      <c r="G359">
        <f t="shared" ca="1" si="21"/>
        <v>116.32473675752661</v>
      </c>
      <c r="H359">
        <f t="shared" ca="1" si="22"/>
        <v>16.324736757526608</v>
      </c>
      <c r="I359">
        <f t="shared" ca="1" si="23"/>
        <v>15.528569950987688</v>
      </c>
    </row>
    <row r="360" spans="5:9" x14ac:dyDescent="0.75">
      <c r="E360">
        <v>354</v>
      </c>
      <c r="F360">
        <f t="shared" ca="1" si="20"/>
        <v>-1.3945072687072564</v>
      </c>
      <c r="G360">
        <f t="shared" ca="1" si="21"/>
        <v>77.965680185983416</v>
      </c>
      <c r="H360">
        <f t="shared" ca="1" si="22"/>
        <v>0</v>
      </c>
      <c r="I360">
        <f t="shared" ca="1" si="23"/>
        <v>0</v>
      </c>
    </row>
    <row r="361" spans="5:9" x14ac:dyDescent="0.75">
      <c r="E361">
        <v>355</v>
      </c>
      <c r="F361">
        <f t="shared" ca="1" si="20"/>
        <v>0.87929450707863865</v>
      </c>
      <c r="G361">
        <f t="shared" ca="1" si="21"/>
        <v>122.85798408887403</v>
      </c>
      <c r="H361">
        <f t="shared" ca="1" si="22"/>
        <v>22.857984088874034</v>
      </c>
      <c r="I361">
        <f t="shared" ca="1" si="23"/>
        <v>21.743187050106126</v>
      </c>
    </row>
    <row r="362" spans="5:9" x14ac:dyDescent="0.75">
      <c r="E362">
        <v>356</v>
      </c>
      <c r="F362">
        <f t="shared" ca="1" si="20"/>
        <v>-1.2177497282930707</v>
      </c>
      <c r="G362">
        <f t="shared" ca="1" si="21"/>
        <v>80.771181744440696</v>
      </c>
      <c r="H362">
        <f t="shared" ca="1" si="22"/>
        <v>0</v>
      </c>
      <c r="I362">
        <f t="shared" ca="1" si="23"/>
        <v>0</v>
      </c>
    </row>
    <row r="363" spans="5:9" x14ac:dyDescent="0.75">
      <c r="E363">
        <v>357</v>
      </c>
      <c r="F363">
        <f t="shared" ca="1" si="20"/>
        <v>-1.8157684123589974</v>
      </c>
      <c r="G363">
        <f t="shared" ca="1" si="21"/>
        <v>71.666004760456275</v>
      </c>
      <c r="H363">
        <f t="shared" ca="1" si="22"/>
        <v>0</v>
      </c>
      <c r="I363">
        <f t="shared" ca="1" si="23"/>
        <v>0</v>
      </c>
    </row>
    <row r="364" spans="5:9" x14ac:dyDescent="0.75">
      <c r="E364">
        <v>358</v>
      </c>
      <c r="F364">
        <f t="shared" ca="1" si="20"/>
        <v>6.6274055221956896E-2</v>
      </c>
      <c r="G364">
        <f t="shared" ca="1" si="21"/>
        <v>104.42039356495066</v>
      </c>
      <c r="H364">
        <f t="shared" ca="1" si="22"/>
        <v>4.4203935649506576</v>
      </c>
      <c r="I364">
        <f t="shared" ca="1" si="23"/>
        <v>4.2048084268546733</v>
      </c>
    </row>
    <row r="365" spans="5:9" x14ac:dyDescent="0.75">
      <c r="E365">
        <v>359</v>
      </c>
      <c r="F365">
        <f t="shared" ca="1" si="20"/>
        <v>1.275853712712651</v>
      </c>
      <c r="G365">
        <f t="shared" ca="1" si="21"/>
        <v>132.99890944555054</v>
      </c>
      <c r="H365">
        <f t="shared" ca="1" si="22"/>
        <v>32.998909445550538</v>
      </c>
      <c r="I365">
        <f t="shared" ca="1" si="23"/>
        <v>31.389533641042213</v>
      </c>
    </row>
    <row r="366" spans="5:9" x14ac:dyDescent="0.75">
      <c r="E366">
        <v>360</v>
      </c>
      <c r="F366">
        <f t="shared" ca="1" si="20"/>
        <v>0.6670754996750754</v>
      </c>
      <c r="G366">
        <f t="shared" ca="1" si="21"/>
        <v>117.75253789622928</v>
      </c>
      <c r="H366">
        <f t="shared" ca="1" si="22"/>
        <v>17.752537896229285</v>
      </c>
      <c r="I366">
        <f t="shared" ca="1" si="23"/>
        <v>16.886736406457299</v>
      </c>
    </row>
    <row r="367" spans="5:9" x14ac:dyDescent="0.75">
      <c r="E367">
        <v>361</v>
      </c>
      <c r="F367">
        <f t="shared" ca="1" si="20"/>
        <v>1.5544953378219168</v>
      </c>
      <c r="G367">
        <f t="shared" ca="1" si="21"/>
        <v>140.62113013675014</v>
      </c>
      <c r="H367">
        <f t="shared" ca="1" si="22"/>
        <v>40.621130136750139</v>
      </c>
      <c r="I367">
        <f t="shared" ca="1" si="23"/>
        <v>38.640014242549448</v>
      </c>
    </row>
    <row r="368" spans="5:9" x14ac:dyDescent="0.75">
      <c r="E368">
        <v>362</v>
      </c>
      <c r="F368">
        <f t="shared" ca="1" si="20"/>
        <v>-0.1485812124710337</v>
      </c>
      <c r="G368">
        <f t="shared" ca="1" si="21"/>
        <v>100.02837977687624</v>
      </c>
      <c r="H368">
        <f t="shared" ca="1" si="22"/>
        <v>2.8379776876235496E-2</v>
      </c>
      <c r="I368">
        <f t="shared" ca="1" si="23"/>
        <v>2.6995678825440163E-2</v>
      </c>
    </row>
    <row r="369" spans="5:9" x14ac:dyDescent="0.75">
      <c r="E369">
        <v>363</v>
      </c>
      <c r="F369">
        <f t="shared" ca="1" si="20"/>
        <v>-0.21521267908956052</v>
      </c>
      <c r="G369">
        <f t="shared" ca="1" si="21"/>
        <v>98.704214948220738</v>
      </c>
      <c r="H369">
        <f t="shared" ca="1" si="22"/>
        <v>0</v>
      </c>
      <c r="I369">
        <f t="shared" ca="1" si="23"/>
        <v>0</v>
      </c>
    </row>
    <row r="370" spans="5:9" x14ac:dyDescent="0.75">
      <c r="E370">
        <v>364</v>
      </c>
      <c r="F370">
        <f t="shared" ca="1" si="20"/>
        <v>1.053279397438887</v>
      </c>
      <c r="G370">
        <f t="shared" ca="1" si="21"/>
        <v>127.20832100543906</v>
      </c>
      <c r="H370">
        <f t="shared" ca="1" si="22"/>
        <v>27.208321005439061</v>
      </c>
      <c r="I370">
        <f t="shared" ca="1" si="23"/>
        <v>25.881355531634487</v>
      </c>
    </row>
    <row r="371" spans="5:9" x14ac:dyDescent="0.75">
      <c r="E371">
        <v>365</v>
      </c>
      <c r="F371">
        <f t="shared" ca="1" si="20"/>
        <v>-1.8710715815141539</v>
      </c>
      <c r="G371">
        <f t="shared" ca="1" si="21"/>
        <v>70.877700930259493</v>
      </c>
      <c r="H371">
        <f t="shared" ca="1" si="22"/>
        <v>0</v>
      </c>
      <c r="I371">
        <f t="shared" ca="1" si="23"/>
        <v>0</v>
      </c>
    </row>
    <row r="372" spans="5:9" x14ac:dyDescent="0.75">
      <c r="E372">
        <v>366</v>
      </c>
      <c r="F372">
        <f t="shared" ca="1" si="20"/>
        <v>-1.099397848143417</v>
      </c>
      <c r="G372">
        <f t="shared" ca="1" si="21"/>
        <v>82.705873093605774</v>
      </c>
      <c r="H372">
        <f t="shared" ca="1" si="22"/>
        <v>0</v>
      </c>
      <c r="I372">
        <f t="shared" ca="1" si="23"/>
        <v>0</v>
      </c>
    </row>
    <row r="373" spans="5:9" x14ac:dyDescent="0.75">
      <c r="E373">
        <v>367</v>
      </c>
      <c r="F373">
        <f t="shared" ca="1" si="20"/>
        <v>0.67767559801224231</v>
      </c>
      <c r="G373">
        <f t="shared" ca="1" si="21"/>
        <v>118.00244039797025</v>
      </c>
      <c r="H373">
        <f t="shared" ca="1" si="22"/>
        <v>18.002440397970247</v>
      </c>
      <c r="I373">
        <f t="shared" ca="1" si="23"/>
        <v>17.124451019369644</v>
      </c>
    </row>
    <row r="374" spans="5:9" x14ac:dyDescent="0.75">
      <c r="E374">
        <v>368</v>
      </c>
      <c r="F374">
        <f t="shared" ca="1" si="20"/>
        <v>1.3569978539380028</v>
      </c>
      <c r="G374">
        <f t="shared" ca="1" si="21"/>
        <v>135.17493531980847</v>
      </c>
      <c r="H374">
        <f t="shared" ca="1" si="22"/>
        <v>35.174935319808469</v>
      </c>
      <c r="I374">
        <f t="shared" ca="1" si="23"/>
        <v>33.459433481111247</v>
      </c>
    </row>
    <row r="375" spans="5:9" x14ac:dyDescent="0.75">
      <c r="E375">
        <v>369</v>
      </c>
      <c r="F375">
        <f t="shared" ca="1" si="20"/>
        <v>-0.55171304295614798</v>
      </c>
      <c r="G375">
        <f t="shared" ca="1" si="21"/>
        <v>92.280013296746944</v>
      </c>
      <c r="H375">
        <f t="shared" ca="1" si="22"/>
        <v>0</v>
      </c>
      <c r="I375">
        <f t="shared" ca="1" si="23"/>
        <v>0</v>
      </c>
    </row>
    <row r="376" spans="5:9" x14ac:dyDescent="0.75">
      <c r="E376">
        <v>370</v>
      </c>
      <c r="F376">
        <f t="shared" ca="1" si="20"/>
        <v>1.9496208998982218</v>
      </c>
      <c r="G376">
        <f t="shared" ca="1" si="21"/>
        <v>152.18461648370274</v>
      </c>
      <c r="H376">
        <f t="shared" ca="1" si="22"/>
        <v>52.18461648370274</v>
      </c>
      <c r="I376">
        <f t="shared" ca="1" si="23"/>
        <v>49.639542705583033</v>
      </c>
    </row>
    <row r="377" spans="5:9" x14ac:dyDescent="0.75">
      <c r="E377">
        <v>371</v>
      </c>
      <c r="F377">
        <f t="shared" ca="1" si="20"/>
        <v>-0.50490928078748776</v>
      </c>
      <c r="G377">
        <f t="shared" ca="1" si="21"/>
        <v>93.147879257877904</v>
      </c>
      <c r="H377">
        <f t="shared" ca="1" si="22"/>
        <v>0</v>
      </c>
      <c r="I377">
        <f t="shared" ca="1" si="23"/>
        <v>0</v>
      </c>
    </row>
    <row r="378" spans="5:9" x14ac:dyDescent="0.75">
      <c r="E378">
        <v>372</v>
      </c>
      <c r="F378">
        <f t="shared" ca="1" si="20"/>
        <v>0.85874263100577808</v>
      </c>
      <c r="G378">
        <f t="shared" ca="1" si="21"/>
        <v>122.35402810978124</v>
      </c>
      <c r="H378">
        <f t="shared" ca="1" si="22"/>
        <v>22.35402810978124</v>
      </c>
      <c r="I378">
        <f t="shared" ca="1" si="23"/>
        <v>21.263809294139993</v>
      </c>
    </row>
    <row r="379" spans="5:9" x14ac:dyDescent="0.75">
      <c r="E379">
        <v>373</v>
      </c>
      <c r="F379">
        <f t="shared" ca="1" si="20"/>
        <v>0.42651721980677793</v>
      </c>
      <c r="G379">
        <f t="shared" ca="1" si="21"/>
        <v>112.2213914947264</v>
      </c>
      <c r="H379">
        <f t="shared" ca="1" si="22"/>
        <v>12.221391494726404</v>
      </c>
      <c r="I379">
        <f t="shared" ca="1" si="23"/>
        <v>11.625347198126519</v>
      </c>
    </row>
    <row r="380" spans="5:9" x14ac:dyDescent="0.75">
      <c r="E380">
        <v>374</v>
      </c>
      <c r="F380">
        <f t="shared" ca="1" si="20"/>
        <v>0.68934162335183025</v>
      </c>
      <c r="G380">
        <f t="shared" ca="1" si="21"/>
        <v>118.27808573343273</v>
      </c>
      <c r="H380">
        <f t="shared" ca="1" si="22"/>
        <v>18.278085733432732</v>
      </c>
      <c r="I380">
        <f t="shared" ca="1" si="23"/>
        <v>17.386652973187928</v>
      </c>
    </row>
    <row r="381" spans="5:9" x14ac:dyDescent="0.75">
      <c r="E381">
        <v>375</v>
      </c>
      <c r="F381">
        <f t="shared" ca="1" si="20"/>
        <v>0.40639593089634746</v>
      </c>
      <c r="G381">
        <f t="shared" ca="1" si="21"/>
        <v>111.77069116209208</v>
      </c>
      <c r="H381">
        <f t="shared" ca="1" si="22"/>
        <v>11.770691162092078</v>
      </c>
      <c r="I381">
        <f t="shared" ca="1" si="23"/>
        <v>11.196627780092488</v>
      </c>
    </row>
    <row r="382" spans="5:9" x14ac:dyDescent="0.75">
      <c r="E382">
        <v>376</v>
      </c>
      <c r="F382">
        <f t="shared" ca="1" si="20"/>
        <v>0.53232173371371094</v>
      </c>
      <c r="G382">
        <f t="shared" ca="1" si="21"/>
        <v>114.62140107842519</v>
      </c>
      <c r="H382">
        <f t="shared" ca="1" si="22"/>
        <v>14.621401078425194</v>
      </c>
      <c r="I382">
        <f t="shared" ca="1" si="23"/>
        <v>13.908306933224516</v>
      </c>
    </row>
    <row r="383" spans="5:9" x14ac:dyDescent="0.75">
      <c r="E383">
        <v>377</v>
      </c>
      <c r="F383">
        <f t="shared" ca="1" si="20"/>
        <v>-1.3296217509266506</v>
      </c>
      <c r="G383">
        <f t="shared" ca="1" si="21"/>
        <v>78.98404229543884</v>
      </c>
      <c r="H383">
        <f t="shared" ca="1" si="22"/>
        <v>0</v>
      </c>
      <c r="I383">
        <f t="shared" ca="1" si="23"/>
        <v>0</v>
      </c>
    </row>
    <row r="384" spans="5:9" x14ac:dyDescent="0.75">
      <c r="E384">
        <v>378</v>
      </c>
      <c r="F384">
        <f t="shared" ca="1" si="20"/>
        <v>0.71410467092041485</v>
      </c>
      <c r="G384">
        <f t="shared" ca="1" si="21"/>
        <v>118.86532388640096</v>
      </c>
      <c r="H384">
        <f t="shared" ca="1" si="22"/>
        <v>18.865323886400958</v>
      </c>
      <c r="I384">
        <f t="shared" ca="1" si="23"/>
        <v>17.945251183480757</v>
      </c>
    </row>
    <row r="385" spans="5:9" x14ac:dyDescent="0.75">
      <c r="E385">
        <v>379</v>
      </c>
      <c r="F385">
        <f t="shared" ca="1" si="20"/>
        <v>0.18890751665132263</v>
      </c>
      <c r="G385">
        <f t="shared" ca="1" si="21"/>
        <v>107.01314627716559</v>
      </c>
      <c r="H385">
        <f t="shared" ca="1" si="22"/>
        <v>7.013146277165589</v>
      </c>
      <c r="I385">
        <f t="shared" ca="1" si="23"/>
        <v>6.6711110971675485</v>
      </c>
    </row>
    <row r="386" spans="5:9" x14ac:dyDescent="0.75">
      <c r="E386">
        <v>380</v>
      </c>
      <c r="F386">
        <f t="shared" ca="1" si="20"/>
        <v>-0.11438477187397826</v>
      </c>
      <c r="G386">
        <f t="shared" ca="1" si="21"/>
        <v>100.71484748566959</v>
      </c>
      <c r="H386">
        <f t="shared" ca="1" si="22"/>
        <v>0.71484748566959411</v>
      </c>
      <c r="I386">
        <f t="shared" ca="1" si="23"/>
        <v>0.67998396239927039</v>
      </c>
    </row>
    <row r="387" spans="5:9" x14ac:dyDescent="0.75">
      <c r="E387">
        <v>381</v>
      </c>
      <c r="F387">
        <f t="shared" ca="1" si="20"/>
        <v>0.67955343146420977</v>
      </c>
      <c r="G387">
        <f t="shared" ca="1" si="21"/>
        <v>118.04676650715294</v>
      </c>
      <c r="H387">
        <f t="shared" ca="1" si="22"/>
        <v>18.046766507152938</v>
      </c>
      <c r="I387">
        <f t="shared" ca="1" si="23"/>
        <v>17.166615318697851</v>
      </c>
    </row>
    <row r="388" spans="5:9" x14ac:dyDescent="0.75">
      <c r="E388">
        <v>382</v>
      </c>
      <c r="F388">
        <f t="shared" ca="1" si="20"/>
        <v>-0.98176431336920333</v>
      </c>
      <c r="G388">
        <f t="shared" ca="1" si="21"/>
        <v>84.674739591787343</v>
      </c>
      <c r="H388">
        <f t="shared" ca="1" si="22"/>
        <v>0</v>
      </c>
      <c r="I388">
        <f t="shared" ca="1" si="23"/>
        <v>0</v>
      </c>
    </row>
    <row r="389" spans="5:9" x14ac:dyDescent="0.75">
      <c r="E389">
        <v>383</v>
      </c>
      <c r="F389">
        <f t="shared" ca="1" si="20"/>
        <v>-0.43891795442848125</v>
      </c>
      <c r="G389">
        <f t="shared" ca="1" si="21"/>
        <v>94.385418398466427</v>
      </c>
      <c r="H389">
        <f t="shared" ca="1" si="22"/>
        <v>0</v>
      </c>
      <c r="I389">
        <f t="shared" ca="1" si="23"/>
        <v>0</v>
      </c>
    </row>
    <row r="390" spans="5:9" x14ac:dyDescent="0.75">
      <c r="E390">
        <v>384</v>
      </c>
      <c r="F390">
        <f t="shared" ca="1" si="20"/>
        <v>0.73051866712455438</v>
      </c>
      <c r="G390">
        <f t="shared" ca="1" si="21"/>
        <v>119.25617607503978</v>
      </c>
      <c r="H390">
        <f t="shared" ca="1" si="22"/>
        <v>19.256176075039775</v>
      </c>
      <c r="I390">
        <f t="shared" ca="1" si="23"/>
        <v>18.317041285944505</v>
      </c>
    </row>
    <row r="391" spans="5:9" x14ac:dyDescent="0.75">
      <c r="E391">
        <v>385</v>
      </c>
      <c r="F391">
        <f t="shared" ca="1" si="20"/>
        <v>-1.3239061402090631</v>
      </c>
      <c r="G391">
        <f t="shared" ca="1" si="21"/>
        <v>79.074382328179709</v>
      </c>
      <c r="H391">
        <f t="shared" ca="1" si="22"/>
        <v>0</v>
      </c>
      <c r="I391">
        <f t="shared" ca="1" si="23"/>
        <v>0</v>
      </c>
    </row>
    <row r="392" spans="5:9" x14ac:dyDescent="0.75">
      <c r="E392">
        <v>386</v>
      </c>
      <c r="F392">
        <f t="shared" ref="F392:F455" ca="1" si="24">NORMINV(RAND(), 0,1)</f>
        <v>0.59348116512508309</v>
      </c>
      <c r="G392">
        <f t="shared" ref="G392:G455" ca="1" si="25">$C$5*EXP(($C$6-0.5*$C$7^2)*$C$8+$C$7*SQRT($C$8)*F392)</f>
        <v>116.03204686309741</v>
      </c>
      <c r="H392">
        <f t="shared" ref="H392:H455" ca="1" si="26">MAX(G392-$C$9,0)</f>
        <v>16.032046863097406</v>
      </c>
      <c r="I392">
        <f t="shared" ref="I392:I455" ca="1" si="27">EXP(-$C$6*$C$8)*H392</f>
        <v>15.250154711152623</v>
      </c>
    </row>
    <row r="393" spans="5:9" x14ac:dyDescent="0.75">
      <c r="E393">
        <v>387</v>
      </c>
      <c r="F393">
        <f t="shared" ca="1" si="24"/>
        <v>-0.27330299203843411</v>
      </c>
      <c r="G393">
        <f t="shared" ca="1" si="25"/>
        <v>97.564098994648205</v>
      </c>
      <c r="H393">
        <f t="shared" ca="1" si="26"/>
        <v>0</v>
      </c>
      <c r="I393">
        <f t="shared" ca="1" si="27"/>
        <v>0</v>
      </c>
    </row>
    <row r="394" spans="5:9" x14ac:dyDescent="0.75">
      <c r="E394">
        <v>388</v>
      </c>
      <c r="F394">
        <f t="shared" ca="1" si="24"/>
        <v>1.7736279207145567</v>
      </c>
      <c r="G394">
        <f t="shared" ca="1" si="25"/>
        <v>146.92110912964395</v>
      </c>
      <c r="H394">
        <f t="shared" ca="1" si="26"/>
        <v>46.921109129643952</v>
      </c>
      <c r="I394">
        <f t="shared" ca="1" si="27"/>
        <v>44.632739634326413</v>
      </c>
    </row>
    <row r="395" spans="5:9" x14ac:dyDescent="0.75">
      <c r="E395">
        <v>389</v>
      </c>
      <c r="F395">
        <f t="shared" ca="1" si="24"/>
        <v>0.89897548436671104</v>
      </c>
      <c r="G395">
        <f t="shared" ca="1" si="25"/>
        <v>123.34253013613665</v>
      </c>
      <c r="H395">
        <f t="shared" ca="1" si="26"/>
        <v>23.342530136136645</v>
      </c>
      <c r="I395">
        <f t="shared" ca="1" si="27"/>
        <v>22.204101507787833</v>
      </c>
    </row>
    <row r="396" spans="5:9" x14ac:dyDescent="0.75">
      <c r="E396">
        <v>390</v>
      </c>
      <c r="F396">
        <f t="shared" ca="1" si="24"/>
        <v>8.4057464474389762E-2</v>
      </c>
      <c r="G396">
        <f t="shared" ca="1" si="25"/>
        <v>104.79244492552095</v>
      </c>
      <c r="H396">
        <f t="shared" ca="1" si="26"/>
        <v>4.7924449255209538</v>
      </c>
      <c r="I396">
        <f t="shared" ca="1" si="27"/>
        <v>4.5587146284546645</v>
      </c>
    </row>
    <row r="397" spans="5:9" x14ac:dyDescent="0.75">
      <c r="E397">
        <v>391</v>
      </c>
      <c r="F397">
        <f t="shared" ca="1" si="24"/>
        <v>0.13906468616230183</v>
      </c>
      <c r="G397">
        <f t="shared" ca="1" si="25"/>
        <v>105.9516781030258</v>
      </c>
      <c r="H397">
        <f t="shared" ca="1" si="26"/>
        <v>5.9516781030257988</v>
      </c>
      <c r="I397">
        <f t="shared" ca="1" si="27"/>
        <v>5.6614113367547318</v>
      </c>
    </row>
    <row r="398" spans="5:9" x14ac:dyDescent="0.75">
      <c r="E398">
        <v>392</v>
      </c>
      <c r="F398">
        <f t="shared" ca="1" si="24"/>
        <v>1.7533203320572448</v>
      </c>
      <c r="G398">
        <f t="shared" ca="1" si="25"/>
        <v>146.32559660076282</v>
      </c>
      <c r="H398">
        <f t="shared" ca="1" si="26"/>
        <v>46.325596600762822</v>
      </c>
      <c r="I398">
        <f t="shared" ca="1" si="27"/>
        <v>44.066270594195849</v>
      </c>
    </row>
    <row r="399" spans="5:9" x14ac:dyDescent="0.75">
      <c r="E399">
        <v>393</v>
      </c>
      <c r="F399">
        <f t="shared" ca="1" si="24"/>
        <v>-1.6404240999889212</v>
      </c>
      <c r="G399">
        <f t="shared" ca="1" si="25"/>
        <v>74.223838041992451</v>
      </c>
      <c r="H399">
        <f t="shared" ca="1" si="26"/>
        <v>0</v>
      </c>
      <c r="I399">
        <f t="shared" ca="1" si="27"/>
        <v>0</v>
      </c>
    </row>
    <row r="400" spans="5:9" x14ac:dyDescent="0.75">
      <c r="E400">
        <v>394</v>
      </c>
      <c r="F400">
        <f t="shared" ca="1" si="24"/>
        <v>-0.81127003776369611</v>
      </c>
      <c r="G400">
        <f t="shared" ca="1" si="25"/>
        <v>87.611842611614364</v>
      </c>
      <c r="H400">
        <f t="shared" ca="1" si="26"/>
        <v>0</v>
      </c>
      <c r="I400">
        <f t="shared" ca="1" si="27"/>
        <v>0</v>
      </c>
    </row>
    <row r="401" spans="5:9" x14ac:dyDescent="0.75">
      <c r="E401">
        <v>395</v>
      </c>
      <c r="F401">
        <f t="shared" ca="1" si="24"/>
        <v>-0.18889634562467911</v>
      </c>
      <c r="G401">
        <f t="shared" ca="1" si="25"/>
        <v>99.225091107844094</v>
      </c>
      <c r="H401">
        <f t="shared" ca="1" si="26"/>
        <v>0</v>
      </c>
      <c r="I401">
        <f t="shared" ca="1" si="27"/>
        <v>0</v>
      </c>
    </row>
    <row r="402" spans="5:9" x14ac:dyDescent="0.75">
      <c r="E402">
        <v>396</v>
      </c>
      <c r="F402">
        <f t="shared" ca="1" si="24"/>
        <v>-1.1339289241555253</v>
      </c>
      <c r="G402">
        <f t="shared" ca="1" si="25"/>
        <v>82.136656364566818</v>
      </c>
      <c r="H402">
        <f t="shared" ca="1" si="26"/>
        <v>0</v>
      </c>
      <c r="I402">
        <f t="shared" ca="1" si="27"/>
        <v>0</v>
      </c>
    </row>
    <row r="403" spans="5:9" x14ac:dyDescent="0.75">
      <c r="E403">
        <v>397</v>
      </c>
      <c r="F403">
        <f t="shared" ca="1" si="24"/>
        <v>0.44549705953331736</v>
      </c>
      <c r="G403">
        <f t="shared" ca="1" si="25"/>
        <v>112.6481898435526</v>
      </c>
      <c r="H403">
        <f t="shared" ca="1" si="26"/>
        <v>12.648189843552601</v>
      </c>
      <c r="I403">
        <f t="shared" ca="1" si="27"/>
        <v>12.031330345858317</v>
      </c>
    </row>
    <row r="404" spans="5:9" x14ac:dyDescent="0.75">
      <c r="E404">
        <v>398</v>
      </c>
      <c r="F404">
        <f t="shared" ca="1" si="24"/>
        <v>0.31657442483360565</v>
      </c>
      <c r="G404">
        <f t="shared" ca="1" si="25"/>
        <v>109.78073638838413</v>
      </c>
      <c r="H404">
        <f t="shared" ca="1" si="26"/>
        <v>9.7807363883841276</v>
      </c>
      <c r="I404">
        <f t="shared" ca="1" si="27"/>
        <v>9.3037242459158254</v>
      </c>
    </row>
    <row r="405" spans="5:9" x14ac:dyDescent="0.75">
      <c r="E405">
        <v>399</v>
      </c>
      <c r="F405">
        <f t="shared" ca="1" si="24"/>
        <v>-0.72968532433617062</v>
      </c>
      <c r="G405">
        <f t="shared" ca="1" si="25"/>
        <v>89.053126723742352</v>
      </c>
      <c r="H405">
        <f t="shared" ca="1" si="26"/>
        <v>0</v>
      </c>
      <c r="I405">
        <f t="shared" ca="1" si="27"/>
        <v>0</v>
      </c>
    </row>
    <row r="406" spans="5:9" x14ac:dyDescent="0.75">
      <c r="E406">
        <v>400</v>
      </c>
      <c r="F406">
        <f t="shared" ca="1" si="24"/>
        <v>-0.53825099261712395</v>
      </c>
      <c r="G406">
        <f t="shared" ca="1" si="25"/>
        <v>92.528803706214262</v>
      </c>
      <c r="H406">
        <f t="shared" ca="1" si="26"/>
        <v>0</v>
      </c>
      <c r="I406">
        <f t="shared" ca="1" si="27"/>
        <v>0</v>
      </c>
    </row>
    <row r="407" spans="5:9" x14ac:dyDescent="0.75">
      <c r="E407">
        <v>401</v>
      </c>
      <c r="F407">
        <f t="shared" ca="1" si="24"/>
        <v>-0.97950737609187388</v>
      </c>
      <c r="G407">
        <f t="shared" ca="1" si="25"/>
        <v>84.712969334597972</v>
      </c>
      <c r="H407">
        <f t="shared" ca="1" si="26"/>
        <v>0</v>
      </c>
      <c r="I407">
        <f t="shared" ca="1" si="27"/>
        <v>0</v>
      </c>
    </row>
    <row r="408" spans="5:9" x14ac:dyDescent="0.75">
      <c r="E408">
        <v>402</v>
      </c>
      <c r="F408">
        <f t="shared" ca="1" si="24"/>
        <v>0.2936817215796414</v>
      </c>
      <c r="G408">
        <f t="shared" ca="1" si="25"/>
        <v>109.27924973871812</v>
      </c>
      <c r="H408">
        <f t="shared" ca="1" si="26"/>
        <v>9.2792497387181214</v>
      </c>
      <c r="I408">
        <f t="shared" ca="1" si="27"/>
        <v>8.826695388759239</v>
      </c>
    </row>
    <row r="409" spans="5:9" x14ac:dyDescent="0.75">
      <c r="E409">
        <v>403</v>
      </c>
      <c r="F409">
        <f t="shared" ca="1" si="24"/>
        <v>-0.80014360995470835</v>
      </c>
      <c r="G409">
        <f t="shared" ca="1" si="25"/>
        <v>87.807021063373867</v>
      </c>
      <c r="H409">
        <f t="shared" ca="1" si="26"/>
        <v>0</v>
      </c>
      <c r="I409">
        <f t="shared" ca="1" si="27"/>
        <v>0</v>
      </c>
    </row>
    <row r="410" spans="5:9" x14ac:dyDescent="0.75">
      <c r="E410">
        <v>404</v>
      </c>
      <c r="F410">
        <f t="shared" ca="1" si="24"/>
        <v>1.4086033696201798</v>
      </c>
      <c r="G410">
        <f t="shared" ca="1" si="25"/>
        <v>136.57731436907369</v>
      </c>
      <c r="H410">
        <f t="shared" ca="1" si="26"/>
        <v>36.57731436907369</v>
      </c>
      <c r="I410">
        <f t="shared" ca="1" si="27"/>
        <v>34.793417697075661</v>
      </c>
    </row>
    <row r="411" spans="5:9" x14ac:dyDescent="0.75">
      <c r="E411">
        <v>405</v>
      </c>
      <c r="F411">
        <f t="shared" ca="1" si="24"/>
        <v>0.97097117246697562</v>
      </c>
      <c r="G411">
        <f t="shared" ca="1" si="25"/>
        <v>125.13140441751524</v>
      </c>
      <c r="H411">
        <f t="shared" ca="1" si="26"/>
        <v>25.131404417515242</v>
      </c>
      <c r="I411">
        <f t="shared" ca="1" si="27"/>
        <v>23.905731360967724</v>
      </c>
    </row>
    <row r="412" spans="5:9" x14ac:dyDescent="0.75">
      <c r="E412">
        <v>406</v>
      </c>
      <c r="F412">
        <f t="shared" ca="1" si="24"/>
        <v>0.82099947354968705</v>
      </c>
      <c r="G412">
        <f t="shared" ca="1" si="25"/>
        <v>121.43389986385328</v>
      </c>
      <c r="H412">
        <f t="shared" ca="1" si="26"/>
        <v>21.433899863853284</v>
      </c>
      <c r="I412">
        <f t="shared" ca="1" si="27"/>
        <v>20.388556232299091</v>
      </c>
    </row>
    <row r="413" spans="5:9" x14ac:dyDescent="0.75">
      <c r="E413">
        <v>407</v>
      </c>
      <c r="F413">
        <f t="shared" ca="1" si="24"/>
        <v>-0.21429064774344123</v>
      </c>
      <c r="G413">
        <f t="shared" ca="1" si="25"/>
        <v>98.722418302610762</v>
      </c>
      <c r="H413">
        <f t="shared" ca="1" si="26"/>
        <v>0</v>
      </c>
      <c r="I413">
        <f t="shared" ca="1" si="27"/>
        <v>0</v>
      </c>
    </row>
    <row r="414" spans="5:9" x14ac:dyDescent="0.75">
      <c r="E414">
        <v>408</v>
      </c>
      <c r="F414">
        <f t="shared" ca="1" si="24"/>
        <v>1.0005998076676024</v>
      </c>
      <c r="G414">
        <f t="shared" ca="1" si="25"/>
        <v>125.87510025732314</v>
      </c>
      <c r="H414">
        <f t="shared" ca="1" si="26"/>
        <v>25.87510025732314</v>
      </c>
      <c r="I414">
        <f t="shared" ca="1" si="27"/>
        <v>24.613156726671768</v>
      </c>
    </row>
    <row r="415" spans="5:9" x14ac:dyDescent="0.75">
      <c r="E415">
        <v>409</v>
      </c>
      <c r="F415">
        <f t="shared" ca="1" si="24"/>
        <v>-1.4786503264287618</v>
      </c>
      <c r="G415">
        <f t="shared" ca="1" si="25"/>
        <v>76.664604395359973</v>
      </c>
      <c r="H415">
        <f t="shared" ca="1" si="26"/>
        <v>0</v>
      </c>
      <c r="I415">
        <f t="shared" ca="1" si="27"/>
        <v>0</v>
      </c>
    </row>
    <row r="416" spans="5:9" x14ac:dyDescent="0.75">
      <c r="E416">
        <v>410</v>
      </c>
      <c r="F416">
        <f t="shared" ca="1" si="24"/>
        <v>-0.30683485778154246</v>
      </c>
      <c r="G416">
        <f t="shared" ca="1" si="25"/>
        <v>96.911986838691462</v>
      </c>
      <c r="H416">
        <f t="shared" ca="1" si="26"/>
        <v>0</v>
      </c>
      <c r="I416">
        <f t="shared" ca="1" si="27"/>
        <v>0</v>
      </c>
    </row>
    <row r="417" spans="5:9" x14ac:dyDescent="0.75">
      <c r="E417">
        <v>411</v>
      </c>
      <c r="F417">
        <f t="shared" ca="1" si="24"/>
        <v>-0.89141163908671195</v>
      </c>
      <c r="G417">
        <f t="shared" ca="1" si="25"/>
        <v>86.218766101628049</v>
      </c>
      <c r="H417">
        <f t="shared" ca="1" si="26"/>
        <v>0</v>
      </c>
      <c r="I417">
        <f t="shared" ca="1" si="27"/>
        <v>0</v>
      </c>
    </row>
    <row r="418" spans="5:9" x14ac:dyDescent="0.75">
      <c r="E418">
        <v>412</v>
      </c>
      <c r="F418">
        <f t="shared" ca="1" si="24"/>
        <v>-8.4656639396625016E-2</v>
      </c>
      <c r="G418">
        <f t="shared" ca="1" si="25"/>
        <v>101.31544404349124</v>
      </c>
      <c r="H418">
        <f t="shared" ca="1" si="26"/>
        <v>1.3154440434912402</v>
      </c>
      <c r="I418">
        <f t="shared" ca="1" si="27"/>
        <v>1.2512890804530648</v>
      </c>
    </row>
    <row r="419" spans="5:9" x14ac:dyDescent="0.75">
      <c r="E419">
        <v>413</v>
      </c>
      <c r="F419">
        <f t="shared" ca="1" si="24"/>
        <v>0.48243014497273257</v>
      </c>
      <c r="G419">
        <f t="shared" ca="1" si="25"/>
        <v>113.48335962989546</v>
      </c>
      <c r="H419">
        <f t="shared" ca="1" si="26"/>
        <v>13.48335962989546</v>
      </c>
      <c r="I419">
        <f t="shared" ca="1" si="27"/>
        <v>12.825768421081619</v>
      </c>
    </row>
    <row r="420" spans="5:9" x14ac:dyDescent="0.75">
      <c r="E420">
        <v>414</v>
      </c>
      <c r="F420">
        <f t="shared" ca="1" si="24"/>
        <v>-1.6203048993616953</v>
      </c>
      <c r="G420">
        <f t="shared" ca="1" si="25"/>
        <v>74.5231045963627</v>
      </c>
      <c r="H420">
        <f t="shared" ca="1" si="26"/>
        <v>0</v>
      </c>
      <c r="I420">
        <f t="shared" ca="1" si="27"/>
        <v>0</v>
      </c>
    </row>
    <row r="421" spans="5:9" x14ac:dyDescent="0.75">
      <c r="E421">
        <v>415</v>
      </c>
      <c r="F421">
        <f t="shared" ca="1" si="24"/>
        <v>1.6735397530678915</v>
      </c>
      <c r="G421">
        <f t="shared" ca="1" si="25"/>
        <v>144.00933683437935</v>
      </c>
      <c r="H421">
        <f t="shared" ca="1" si="26"/>
        <v>44.009336834379354</v>
      </c>
      <c r="I421">
        <f t="shared" ca="1" si="27"/>
        <v>41.86297614962475</v>
      </c>
    </row>
    <row r="422" spans="5:9" x14ac:dyDescent="0.75">
      <c r="E422">
        <v>416</v>
      </c>
      <c r="F422">
        <f t="shared" ca="1" si="24"/>
        <v>-0.65627692338518229</v>
      </c>
      <c r="G422">
        <f t="shared" ca="1" si="25"/>
        <v>90.370221171554761</v>
      </c>
      <c r="H422">
        <f t="shared" ca="1" si="26"/>
        <v>0</v>
      </c>
      <c r="I422">
        <f t="shared" ca="1" si="27"/>
        <v>0</v>
      </c>
    </row>
    <row r="423" spans="5:9" x14ac:dyDescent="0.75">
      <c r="E423">
        <v>417</v>
      </c>
      <c r="F423">
        <f t="shared" ca="1" si="24"/>
        <v>-0.41867560061488995</v>
      </c>
      <c r="G423">
        <f t="shared" ca="1" si="25"/>
        <v>94.768309544114743</v>
      </c>
      <c r="H423">
        <f t="shared" ca="1" si="26"/>
        <v>0</v>
      </c>
      <c r="I423">
        <f t="shared" ca="1" si="27"/>
        <v>0</v>
      </c>
    </row>
    <row r="424" spans="5:9" x14ac:dyDescent="0.75">
      <c r="E424">
        <v>418</v>
      </c>
      <c r="F424">
        <f t="shared" ca="1" si="24"/>
        <v>-1.1498349562064811</v>
      </c>
      <c r="G424">
        <f t="shared" ca="1" si="25"/>
        <v>81.875777880989403</v>
      </c>
      <c r="H424">
        <f t="shared" ca="1" si="26"/>
        <v>0</v>
      </c>
      <c r="I424">
        <f t="shared" ca="1" si="27"/>
        <v>0</v>
      </c>
    </row>
    <row r="425" spans="5:9" x14ac:dyDescent="0.75">
      <c r="E425">
        <v>419</v>
      </c>
      <c r="F425">
        <f t="shared" ca="1" si="24"/>
        <v>1.4524214496449845</v>
      </c>
      <c r="G425">
        <f t="shared" ca="1" si="25"/>
        <v>137.77948549627649</v>
      </c>
      <c r="H425">
        <f t="shared" ca="1" si="26"/>
        <v>37.779485496276493</v>
      </c>
      <c r="I425">
        <f t="shared" ca="1" si="27"/>
        <v>35.936958246556159</v>
      </c>
    </row>
    <row r="426" spans="5:9" x14ac:dyDescent="0.75">
      <c r="E426">
        <v>420</v>
      </c>
      <c r="F426">
        <f t="shared" ca="1" si="24"/>
        <v>-1.2121178519409828</v>
      </c>
      <c r="G426">
        <f t="shared" ca="1" si="25"/>
        <v>80.862211663420553</v>
      </c>
      <c r="H426">
        <f t="shared" ca="1" si="26"/>
        <v>0</v>
      </c>
      <c r="I426">
        <f t="shared" ca="1" si="27"/>
        <v>0</v>
      </c>
    </row>
    <row r="427" spans="5:9" x14ac:dyDescent="0.75">
      <c r="E427">
        <v>421</v>
      </c>
      <c r="F427">
        <f t="shared" ca="1" si="24"/>
        <v>-1.570924671441623</v>
      </c>
      <c r="G427">
        <f t="shared" ca="1" si="25"/>
        <v>75.262744521425915</v>
      </c>
      <c r="H427">
        <f t="shared" ca="1" si="26"/>
        <v>0</v>
      </c>
      <c r="I427">
        <f t="shared" ca="1" si="27"/>
        <v>0</v>
      </c>
    </row>
    <row r="428" spans="5:9" x14ac:dyDescent="0.75">
      <c r="E428">
        <v>422</v>
      </c>
      <c r="F428">
        <f t="shared" ca="1" si="24"/>
        <v>0.67007643873517631</v>
      </c>
      <c r="G428">
        <f t="shared" ca="1" si="25"/>
        <v>117.82323274728085</v>
      </c>
      <c r="H428">
        <f t="shared" ca="1" si="26"/>
        <v>17.823232747280855</v>
      </c>
      <c r="I428">
        <f t="shared" ca="1" si="27"/>
        <v>16.953983428938248</v>
      </c>
    </row>
    <row r="429" spans="5:9" x14ac:dyDescent="0.75">
      <c r="E429">
        <v>423</v>
      </c>
      <c r="F429">
        <f t="shared" ca="1" si="24"/>
        <v>-1.7530441087627675</v>
      </c>
      <c r="G429">
        <f t="shared" ca="1" si="25"/>
        <v>72.570707629564396</v>
      </c>
      <c r="H429">
        <f t="shared" ca="1" si="26"/>
        <v>0</v>
      </c>
      <c r="I429">
        <f t="shared" ca="1" si="27"/>
        <v>0</v>
      </c>
    </row>
    <row r="430" spans="5:9" x14ac:dyDescent="0.75">
      <c r="E430">
        <v>424</v>
      </c>
      <c r="F430">
        <f t="shared" ca="1" si="24"/>
        <v>-0.64903451726695049</v>
      </c>
      <c r="G430">
        <f t="shared" ca="1" si="25"/>
        <v>90.501215588672054</v>
      </c>
      <c r="H430">
        <f t="shared" ca="1" si="26"/>
        <v>0</v>
      </c>
      <c r="I430">
        <f t="shared" ca="1" si="27"/>
        <v>0</v>
      </c>
    </row>
    <row r="431" spans="5:9" x14ac:dyDescent="0.75">
      <c r="E431">
        <v>425</v>
      </c>
      <c r="F431">
        <f t="shared" ca="1" si="24"/>
        <v>-1.0053386779977873</v>
      </c>
      <c r="G431">
        <f t="shared" ca="1" si="25"/>
        <v>84.276448638045693</v>
      </c>
      <c r="H431">
        <f t="shared" ca="1" si="26"/>
        <v>0</v>
      </c>
      <c r="I431">
        <f t="shared" ca="1" si="27"/>
        <v>0</v>
      </c>
    </row>
    <row r="432" spans="5:9" x14ac:dyDescent="0.75">
      <c r="E432">
        <v>426</v>
      </c>
      <c r="F432">
        <f t="shared" ca="1" si="24"/>
        <v>0.15359011009286086</v>
      </c>
      <c r="G432">
        <f t="shared" ca="1" si="25"/>
        <v>106.25992423493264</v>
      </c>
      <c r="H432">
        <f t="shared" ca="1" si="26"/>
        <v>6.2599242349326403</v>
      </c>
      <c r="I432">
        <f t="shared" ca="1" si="27"/>
        <v>5.954624127413048</v>
      </c>
    </row>
    <row r="433" spans="5:9" x14ac:dyDescent="0.75">
      <c r="E433">
        <v>427</v>
      </c>
      <c r="F433">
        <f t="shared" ca="1" si="24"/>
        <v>-0.41460412287314857</v>
      </c>
      <c r="G433">
        <f t="shared" ca="1" si="25"/>
        <v>94.845510384585523</v>
      </c>
      <c r="H433">
        <f t="shared" ca="1" si="26"/>
        <v>0</v>
      </c>
      <c r="I433">
        <f t="shared" ca="1" si="27"/>
        <v>0</v>
      </c>
    </row>
    <row r="434" spans="5:9" x14ac:dyDescent="0.75">
      <c r="E434">
        <v>428</v>
      </c>
      <c r="F434">
        <f t="shared" ca="1" si="24"/>
        <v>2.97132960876068</v>
      </c>
      <c r="G434">
        <f t="shared" ca="1" si="25"/>
        <v>186.68750219617289</v>
      </c>
      <c r="H434">
        <f t="shared" ca="1" si="26"/>
        <v>86.687502196172886</v>
      </c>
      <c r="I434">
        <f t="shared" ca="1" si="27"/>
        <v>82.459702825469918</v>
      </c>
    </row>
    <row r="435" spans="5:9" x14ac:dyDescent="0.75">
      <c r="E435">
        <v>429</v>
      </c>
      <c r="F435">
        <f t="shared" ca="1" si="24"/>
        <v>-1.5045740656595492</v>
      </c>
      <c r="G435">
        <f t="shared" ca="1" si="25"/>
        <v>76.268146408310528</v>
      </c>
      <c r="H435">
        <f t="shared" ca="1" si="26"/>
        <v>0</v>
      </c>
      <c r="I435">
        <f t="shared" ca="1" si="27"/>
        <v>0</v>
      </c>
    </row>
    <row r="436" spans="5:9" x14ac:dyDescent="0.75">
      <c r="E436">
        <v>430</v>
      </c>
      <c r="F436">
        <f t="shared" ca="1" si="24"/>
        <v>0.70183604957339218</v>
      </c>
      <c r="G436">
        <f t="shared" ca="1" si="25"/>
        <v>118.57401869385727</v>
      </c>
      <c r="H436">
        <f t="shared" ca="1" si="26"/>
        <v>18.574018693857269</v>
      </c>
      <c r="I436">
        <f t="shared" ca="1" si="27"/>
        <v>17.668153112823354</v>
      </c>
    </row>
    <row r="437" spans="5:9" x14ac:dyDescent="0.75">
      <c r="E437">
        <v>431</v>
      </c>
      <c r="F437">
        <f t="shared" ca="1" si="24"/>
        <v>2.3590911953563913</v>
      </c>
      <c r="G437">
        <f t="shared" ca="1" si="25"/>
        <v>165.17217671154353</v>
      </c>
      <c r="H437">
        <f t="shared" ca="1" si="26"/>
        <v>65.172176711543528</v>
      </c>
      <c r="I437">
        <f t="shared" ca="1" si="27"/>
        <v>61.99369214678039</v>
      </c>
    </row>
    <row r="438" spans="5:9" x14ac:dyDescent="0.75">
      <c r="E438">
        <v>432</v>
      </c>
      <c r="F438">
        <f t="shared" ca="1" si="24"/>
        <v>0.30571421598854731</v>
      </c>
      <c r="G438">
        <f t="shared" ca="1" si="25"/>
        <v>109.54254681600932</v>
      </c>
      <c r="H438">
        <f t="shared" ca="1" si="26"/>
        <v>9.5425468160093203</v>
      </c>
      <c r="I438">
        <f t="shared" ca="1" si="27"/>
        <v>9.0771513160636665</v>
      </c>
    </row>
    <row r="439" spans="5:9" x14ac:dyDescent="0.75">
      <c r="E439">
        <v>433</v>
      </c>
      <c r="F439">
        <f t="shared" ca="1" si="24"/>
        <v>0.64962776791496168</v>
      </c>
      <c r="G439">
        <f t="shared" ca="1" si="25"/>
        <v>117.34235105640212</v>
      </c>
      <c r="H439">
        <f t="shared" ca="1" si="26"/>
        <v>17.342351056402123</v>
      </c>
      <c r="I439">
        <f t="shared" ca="1" si="27"/>
        <v>16.496554614870742</v>
      </c>
    </row>
    <row r="440" spans="5:9" x14ac:dyDescent="0.75">
      <c r="E440">
        <v>434</v>
      </c>
      <c r="F440">
        <f t="shared" ca="1" si="24"/>
        <v>0.3008841182402146</v>
      </c>
      <c r="G440">
        <f t="shared" ca="1" si="25"/>
        <v>109.43677767002143</v>
      </c>
      <c r="H440">
        <f t="shared" ca="1" si="26"/>
        <v>9.4367776700214279</v>
      </c>
      <c r="I440">
        <f t="shared" ca="1" si="27"/>
        <v>8.976540592195672</v>
      </c>
    </row>
    <row r="441" spans="5:9" x14ac:dyDescent="0.75">
      <c r="E441">
        <v>435</v>
      </c>
      <c r="F441">
        <f t="shared" ca="1" si="24"/>
        <v>-0.36336820966331651</v>
      </c>
      <c r="G441">
        <f t="shared" ca="1" si="25"/>
        <v>95.82240631958966</v>
      </c>
      <c r="H441">
        <f t="shared" ca="1" si="26"/>
        <v>0</v>
      </c>
      <c r="I441">
        <f t="shared" ca="1" si="27"/>
        <v>0</v>
      </c>
    </row>
    <row r="442" spans="5:9" x14ac:dyDescent="0.75">
      <c r="E442">
        <v>436</v>
      </c>
      <c r="F442">
        <f t="shared" ca="1" si="24"/>
        <v>5.9780699803166727E-2</v>
      </c>
      <c r="G442">
        <f t="shared" ca="1" si="25"/>
        <v>104.28487383609651</v>
      </c>
      <c r="H442">
        <f t="shared" ca="1" si="26"/>
        <v>4.2848738360965086</v>
      </c>
      <c r="I442">
        <f t="shared" ca="1" si="27"/>
        <v>4.0758980731682488</v>
      </c>
    </row>
    <row r="443" spans="5:9" x14ac:dyDescent="0.75">
      <c r="E443">
        <v>437</v>
      </c>
      <c r="F443">
        <f t="shared" ca="1" si="24"/>
        <v>0.63897762514176759</v>
      </c>
      <c r="G443">
        <f t="shared" ca="1" si="25"/>
        <v>117.09267450147823</v>
      </c>
      <c r="H443">
        <f t="shared" ca="1" si="26"/>
        <v>17.092674501478228</v>
      </c>
      <c r="I443">
        <f t="shared" ca="1" si="27"/>
        <v>16.259054929219165</v>
      </c>
    </row>
    <row r="444" spans="5:9" x14ac:dyDescent="0.75">
      <c r="E444">
        <v>438</v>
      </c>
      <c r="F444">
        <f t="shared" ca="1" si="24"/>
        <v>0.39131660923260164</v>
      </c>
      <c r="G444">
        <f t="shared" ca="1" si="25"/>
        <v>111.43411371224261</v>
      </c>
      <c r="H444">
        <f t="shared" ca="1" si="26"/>
        <v>11.434113712242606</v>
      </c>
      <c r="I444">
        <f t="shared" ca="1" si="27"/>
        <v>10.876465406172256</v>
      </c>
    </row>
    <row r="445" spans="5:9" x14ac:dyDescent="0.75">
      <c r="E445">
        <v>439</v>
      </c>
      <c r="F445">
        <f t="shared" ca="1" si="24"/>
        <v>-0.49252188923925649</v>
      </c>
      <c r="G445">
        <f t="shared" ca="1" si="25"/>
        <v>93.378937210677833</v>
      </c>
      <c r="H445">
        <f t="shared" ca="1" si="26"/>
        <v>0</v>
      </c>
      <c r="I445">
        <f t="shared" ca="1" si="27"/>
        <v>0</v>
      </c>
    </row>
    <row r="446" spans="5:9" x14ac:dyDescent="0.75">
      <c r="E446">
        <v>440</v>
      </c>
      <c r="F446">
        <f t="shared" ca="1" si="24"/>
        <v>1.1887885736186983</v>
      </c>
      <c r="G446">
        <f t="shared" ca="1" si="25"/>
        <v>130.70304274208979</v>
      </c>
      <c r="H446">
        <f t="shared" ca="1" si="26"/>
        <v>30.703042742089792</v>
      </c>
      <c r="I446">
        <f t="shared" ca="1" si="27"/>
        <v>29.205637677978899</v>
      </c>
    </row>
    <row r="447" spans="5:9" x14ac:dyDescent="0.75">
      <c r="E447">
        <v>441</v>
      </c>
      <c r="F447">
        <f t="shared" ca="1" si="24"/>
        <v>1.3711459345372088</v>
      </c>
      <c r="G447">
        <f t="shared" ca="1" si="25"/>
        <v>135.55797016099714</v>
      </c>
      <c r="H447">
        <f t="shared" ca="1" si="26"/>
        <v>35.557970160997144</v>
      </c>
      <c r="I447">
        <f t="shared" ca="1" si="27"/>
        <v>33.823787492658873</v>
      </c>
    </row>
    <row r="448" spans="5:9" x14ac:dyDescent="0.75">
      <c r="E448">
        <v>442</v>
      </c>
      <c r="F448">
        <f t="shared" ca="1" si="24"/>
        <v>5.724973217612167E-2</v>
      </c>
      <c r="G448">
        <f t="shared" ca="1" si="25"/>
        <v>104.2320988664634</v>
      </c>
      <c r="H448">
        <f t="shared" ca="1" si="26"/>
        <v>4.2320988664634029</v>
      </c>
      <c r="I448">
        <f t="shared" ca="1" si="27"/>
        <v>4.0256969691761073</v>
      </c>
    </row>
    <row r="449" spans="5:9" x14ac:dyDescent="0.75">
      <c r="E449">
        <v>443</v>
      </c>
      <c r="F449">
        <f t="shared" ca="1" si="24"/>
        <v>0.29692878160490593</v>
      </c>
      <c r="G449">
        <f t="shared" ca="1" si="25"/>
        <v>109.35024004388492</v>
      </c>
      <c r="H449">
        <f t="shared" ca="1" si="26"/>
        <v>9.3502400438849236</v>
      </c>
      <c r="I449">
        <f t="shared" ca="1" si="27"/>
        <v>8.8942234558881861</v>
      </c>
    </row>
    <row r="450" spans="5:9" x14ac:dyDescent="0.75">
      <c r="E450">
        <v>444</v>
      </c>
      <c r="F450">
        <f t="shared" ca="1" si="24"/>
        <v>-2.0814196698263983</v>
      </c>
      <c r="G450">
        <f t="shared" ca="1" si="25"/>
        <v>67.957754313793004</v>
      </c>
      <c r="H450">
        <f t="shared" ca="1" si="26"/>
        <v>0</v>
      </c>
      <c r="I450">
        <f t="shared" ca="1" si="27"/>
        <v>0</v>
      </c>
    </row>
    <row r="451" spans="5:9" x14ac:dyDescent="0.75">
      <c r="E451">
        <v>445</v>
      </c>
      <c r="F451">
        <f t="shared" ca="1" si="24"/>
        <v>0.70256004893811042</v>
      </c>
      <c r="G451">
        <f t="shared" ca="1" si="25"/>
        <v>118.59118943982946</v>
      </c>
      <c r="H451">
        <f t="shared" ca="1" si="26"/>
        <v>18.591189439829463</v>
      </c>
      <c r="I451">
        <f t="shared" ca="1" si="27"/>
        <v>17.684486431632731</v>
      </c>
    </row>
    <row r="452" spans="5:9" x14ac:dyDescent="0.75">
      <c r="E452">
        <v>446</v>
      </c>
      <c r="F452">
        <f t="shared" ca="1" si="24"/>
        <v>-1.200389079363994</v>
      </c>
      <c r="G452">
        <f t="shared" ca="1" si="25"/>
        <v>81.052117210371577</v>
      </c>
      <c r="H452">
        <f t="shared" ca="1" si="26"/>
        <v>0</v>
      </c>
      <c r="I452">
        <f t="shared" ca="1" si="27"/>
        <v>0</v>
      </c>
    </row>
    <row r="453" spans="5:9" x14ac:dyDescent="0.75">
      <c r="E453">
        <v>447</v>
      </c>
      <c r="F453">
        <f t="shared" ca="1" si="24"/>
        <v>0.31704811126301902</v>
      </c>
      <c r="G453">
        <f t="shared" ca="1" si="25"/>
        <v>109.7911372100568</v>
      </c>
      <c r="H453">
        <f t="shared" ca="1" si="26"/>
        <v>9.791137210056803</v>
      </c>
      <c r="I453">
        <f t="shared" ca="1" si="27"/>
        <v>9.3136178135298593</v>
      </c>
    </row>
    <row r="454" spans="5:9" x14ac:dyDescent="0.75">
      <c r="E454">
        <v>448</v>
      </c>
      <c r="F454">
        <f t="shared" ca="1" si="24"/>
        <v>4.0637022956597484E-2</v>
      </c>
      <c r="G454">
        <f t="shared" ca="1" si="25"/>
        <v>103.88635804373779</v>
      </c>
      <c r="H454">
        <f t="shared" ca="1" si="26"/>
        <v>3.8863580437377863</v>
      </c>
      <c r="I454">
        <f t="shared" ca="1" si="27"/>
        <v>3.6968181253484151</v>
      </c>
    </row>
    <row r="455" spans="5:9" x14ac:dyDescent="0.75">
      <c r="E455">
        <v>449</v>
      </c>
      <c r="F455">
        <f t="shared" ca="1" si="24"/>
        <v>-1.0949466403739803</v>
      </c>
      <c r="G455">
        <f t="shared" ca="1" si="25"/>
        <v>82.779534081755628</v>
      </c>
      <c r="H455">
        <f t="shared" ca="1" si="26"/>
        <v>0</v>
      </c>
      <c r="I455">
        <f t="shared" ca="1" si="27"/>
        <v>0</v>
      </c>
    </row>
    <row r="456" spans="5:9" x14ac:dyDescent="0.75">
      <c r="E456">
        <v>450</v>
      </c>
      <c r="F456">
        <f t="shared" ref="F456:F519" ca="1" si="28">NORMINV(RAND(), 0,1)</f>
        <v>-0.67826708326231366</v>
      </c>
      <c r="G456">
        <f t="shared" ref="G456:G519" ca="1" si="29">$C$5*EXP(($C$6-0.5*$C$7^2)*$C$8+$C$7*SQRT($C$8)*F456)</f>
        <v>89.973642770700494</v>
      </c>
      <c r="H456">
        <f t="shared" ref="H456:H519" ca="1" si="30">MAX(G456-$C$9,0)</f>
        <v>0</v>
      </c>
      <c r="I456">
        <f t="shared" ref="I456:I519" ca="1" si="31">EXP(-$C$6*$C$8)*H456</f>
        <v>0</v>
      </c>
    </row>
    <row r="457" spans="5:9" x14ac:dyDescent="0.75">
      <c r="E457">
        <v>451</v>
      </c>
      <c r="F457">
        <f t="shared" ca="1" si="28"/>
        <v>-1.1200335621146786</v>
      </c>
      <c r="G457">
        <f t="shared" ca="1" si="29"/>
        <v>82.365237554692456</v>
      </c>
      <c r="H457">
        <f t="shared" ca="1" si="30"/>
        <v>0</v>
      </c>
      <c r="I457">
        <f t="shared" ca="1" si="31"/>
        <v>0</v>
      </c>
    </row>
    <row r="458" spans="5:9" x14ac:dyDescent="0.75">
      <c r="E458">
        <v>452</v>
      </c>
      <c r="F458">
        <f t="shared" ca="1" si="28"/>
        <v>0.16861844373522636</v>
      </c>
      <c r="G458">
        <f t="shared" ca="1" si="29"/>
        <v>106.57978661282523</v>
      </c>
      <c r="H458">
        <f t="shared" ca="1" si="30"/>
        <v>6.5797866128252309</v>
      </c>
      <c r="I458">
        <f t="shared" ca="1" si="31"/>
        <v>6.2588866330552468</v>
      </c>
    </row>
    <row r="459" spans="5:9" x14ac:dyDescent="0.75">
      <c r="E459">
        <v>453</v>
      </c>
      <c r="F459">
        <f t="shared" ca="1" si="28"/>
        <v>2.7020605852672692E-2</v>
      </c>
      <c r="G459">
        <f t="shared" ca="1" si="29"/>
        <v>103.60383092255221</v>
      </c>
      <c r="H459">
        <f t="shared" ca="1" si="30"/>
        <v>3.6038309225522056</v>
      </c>
      <c r="I459">
        <f t="shared" ca="1" si="31"/>
        <v>3.4280700144572118</v>
      </c>
    </row>
    <row r="460" spans="5:9" x14ac:dyDescent="0.75">
      <c r="E460">
        <v>454</v>
      </c>
      <c r="F460">
        <f t="shared" ca="1" si="28"/>
        <v>-1.3029968326699983</v>
      </c>
      <c r="G460">
        <f t="shared" ca="1" si="29"/>
        <v>79.405752833756864</v>
      </c>
      <c r="H460">
        <f t="shared" ca="1" si="30"/>
        <v>0</v>
      </c>
      <c r="I460">
        <f t="shared" ca="1" si="31"/>
        <v>0</v>
      </c>
    </row>
    <row r="461" spans="5:9" x14ac:dyDescent="0.75">
      <c r="E461">
        <v>455</v>
      </c>
      <c r="F461">
        <f t="shared" ca="1" si="28"/>
        <v>-0.30818061545243902</v>
      </c>
      <c r="G461">
        <f t="shared" ca="1" si="29"/>
        <v>96.885906338714207</v>
      </c>
      <c r="H461">
        <f t="shared" ca="1" si="30"/>
        <v>0</v>
      </c>
      <c r="I461">
        <f t="shared" ca="1" si="31"/>
        <v>0</v>
      </c>
    </row>
    <row r="462" spans="5:9" x14ac:dyDescent="0.75">
      <c r="E462">
        <v>456</v>
      </c>
      <c r="F462">
        <f t="shared" ca="1" si="28"/>
        <v>8.7684395814024551E-3</v>
      </c>
      <c r="G462">
        <f t="shared" ca="1" si="29"/>
        <v>103.22632150855723</v>
      </c>
      <c r="H462">
        <f t="shared" ca="1" si="30"/>
        <v>3.2263215085572341</v>
      </c>
      <c r="I462">
        <f t="shared" ca="1" si="31"/>
        <v>3.0689719518391732</v>
      </c>
    </row>
    <row r="463" spans="5:9" x14ac:dyDescent="0.75">
      <c r="E463">
        <v>457</v>
      </c>
      <c r="F463">
        <f t="shared" ca="1" si="28"/>
        <v>-0.86222736718563397</v>
      </c>
      <c r="G463">
        <f t="shared" ca="1" si="29"/>
        <v>86.7234840338118</v>
      </c>
      <c r="H463">
        <f t="shared" ca="1" si="30"/>
        <v>0</v>
      </c>
      <c r="I463">
        <f t="shared" ca="1" si="31"/>
        <v>0</v>
      </c>
    </row>
    <row r="464" spans="5:9" x14ac:dyDescent="0.75">
      <c r="E464">
        <v>458</v>
      </c>
      <c r="F464">
        <f t="shared" ca="1" si="28"/>
        <v>1.3232414575650087</v>
      </c>
      <c r="G464">
        <f t="shared" ca="1" si="29"/>
        <v>134.26540528086772</v>
      </c>
      <c r="H464">
        <f t="shared" ca="1" si="30"/>
        <v>34.265405280867725</v>
      </c>
      <c r="I464">
        <f t="shared" ca="1" si="31"/>
        <v>32.594261745603532</v>
      </c>
    </row>
    <row r="465" spans="5:9" x14ac:dyDescent="0.75">
      <c r="E465">
        <v>459</v>
      </c>
      <c r="F465">
        <f t="shared" ca="1" si="28"/>
        <v>0.19969123883200385</v>
      </c>
      <c r="G465">
        <f t="shared" ca="1" si="29"/>
        <v>107.24419535233467</v>
      </c>
      <c r="H465">
        <f t="shared" ca="1" si="30"/>
        <v>7.2441953523346712</v>
      </c>
      <c r="I465">
        <f t="shared" ca="1" si="31"/>
        <v>6.8908917759720563</v>
      </c>
    </row>
    <row r="466" spans="5:9" x14ac:dyDescent="0.75">
      <c r="E466">
        <v>460</v>
      </c>
      <c r="F466">
        <f t="shared" ca="1" si="28"/>
        <v>0.9195282061658332</v>
      </c>
      <c r="G466">
        <f t="shared" ca="1" si="29"/>
        <v>123.85057854010869</v>
      </c>
      <c r="H466">
        <f t="shared" ca="1" si="30"/>
        <v>23.850578540108685</v>
      </c>
      <c r="I466">
        <f t="shared" ca="1" si="31"/>
        <v>22.687372098716665</v>
      </c>
    </row>
    <row r="467" spans="5:9" x14ac:dyDescent="0.75">
      <c r="E467">
        <v>461</v>
      </c>
      <c r="F467">
        <f t="shared" ca="1" si="28"/>
        <v>-0.54197166317218826</v>
      </c>
      <c r="G467">
        <f t="shared" ca="1" si="29"/>
        <v>92.459975479017132</v>
      </c>
      <c r="H467">
        <f t="shared" ca="1" si="30"/>
        <v>0</v>
      </c>
      <c r="I467">
        <f t="shared" ca="1" si="31"/>
        <v>0</v>
      </c>
    </row>
    <row r="468" spans="5:9" x14ac:dyDescent="0.75">
      <c r="E468">
        <v>462</v>
      </c>
      <c r="F468">
        <f t="shared" ca="1" si="28"/>
        <v>1.2603307389780891</v>
      </c>
      <c r="G468">
        <f t="shared" ca="1" si="29"/>
        <v>132.5866420227153</v>
      </c>
      <c r="H468">
        <f t="shared" ca="1" si="30"/>
        <v>32.586642022715296</v>
      </c>
      <c r="I468">
        <f t="shared" ca="1" si="31"/>
        <v>30.997372737678255</v>
      </c>
    </row>
    <row r="469" spans="5:9" x14ac:dyDescent="0.75">
      <c r="E469">
        <v>463</v>
      </c>
      <c r="F469">
        <f t="shared" ca="1" si="28"/>
        <v>0.28511936313513686</v>
      </c>
      <c r="G469">
        <f t="shared" ca="1" si="29"/>
        <v>109.09227225986928</v>
      </c>
      <c r="H469">
        <f t="shared" ca="1" si="30"/>
        <v>9.0922722598692758</v>
      </c>
      <c r="I469">
        <f t="shared" ca="1" si="31"/>
        <v>8.6488369091592574</v>
      </c>
    </row>
    <row r="470" spans="5:9" x14ac:dyDescent="0.75">
      <c r="E470">
        <v>464</v>
      </c>
      <c r="F470">
        <f t="shared" ca="1" si="28"/>
        <v>-0.22788852800651538</v>
      </c>
      <c r="G470">
        <f t="shared" ca="1" si="29"/>
        <v>98.454299927347449</v>
      </c>
      <c r="H470">
        <f t="shared" ca="1" si="30"/>
        <v>0</v>
      </c>
      <c r="I470">
        <f t="shared" ca="1" si="31"/>
        <v>0</v>
      </c>
    </row>
    <row r="471" spans="5:9" x14ac:dyDescent="0.75">
      <c r="E471">
        <v>465</v>
      </c>
      <c r="F471">
        <f t="shared" ca="1" si="28"/>
        <v>0.53521204759060181</v>
      </c>
      <c r="G471">
        <f t="shared" ca="1" si="29"/>
        <v>114.68767859808821</v>
      </c>
      <c r="H471">
        <f t="shared" ca="1" si="30"/>
        <v>14.687678598088212</v>
      </c>
      <c r="I471">
        <f t="shared" ca="1" si="31"/>
        <v>13.971352060110904</v>
      </c>
    </row>
    <row r="472" spans="5:9" x14ac:dyDescent="0.75">
      <c r="E472">
        <v>466</v>
      </c>
      <c r="F472">
        <f t="shared" ca="1" si="28"/>
        <v>-0.96379958443469083</v>
      </c>
      <c r="G472">
        <f t="shared" ca="1" si="29"/>
        <v>84.979518539907033</v>
      </c>
      <c r="H472">
        <f t="shared" ca="1" si="30"/>
        <v>0</v>
      </c>
      <c r="I472">
        <f t="shared" ca="1" si="31"/>
        <v>0</v>
      </c>
    </row>
    <row r="473" spans="5:9" x14ac:dyDescent="0.75">
      <c r="E473">
        <v>467</v>
      </c>
      <c r="F473">
        <f t="shared" ca="1" si="28"/>
        <v>2.6225178389501944</v>
      </c>
      <c r="G473">
        <f t="shared" ca="1" si="29"/>
        <v>174.10764437721375</v>
      </c>
      <c r="H473">
        <f t="shared" ca="1" si="30"/>
        <v>74.107644377213745</v>
      </c>
      <c r="I473">
        <f t="shared" ca="1" si="31"/>
        <v>70.493371912040601</v>
      </c>
    </row>
    <row r="474" spans="5:9" x14ac:dyDescent="0.75">
      <c r="E474">
        <v>468</v>
      </c>
      <c r="F474">
        <f t="shared" ca="1" si="28"/>
        <v>0.21921172598558866</v>
      </c>
      <c r="G474">
        <f t="shared" ca="1" si="29"/>
        <v>107.66370551128904</v>
      </c>
      <c r="H474">
        <f t="shared" ca="1" si="30"/>
        <v>7.663705511289038</v>
      </c>
      <c r="I474">
        <f t="shared" ca="1" si="31"/>
        <v>7.2899421830464215</v>
      </c>
    </row>
    <row r="475" spans="5:9" x14ac:dyDescent="0.75">
      <c r="E475">
        <v>469</v>
      </c>
      <c r="F475">
        <f t="shared" ca="1" si="28"/>
        <v>0.12942094651044198</v>
      </c>
      <c r="G475">
        <f t="shared" ca="1" si="29"/>
        <v>105.74752097027866</v>
      </c>
      <c r="H475">
        <f t="shared" ca="1" si="30"/>
        <v>5.7475209702786572</v>
      </c>
      <c r="I475">
        <f t="shared" ca="1" si="31"/>
        <v>5.4672110648639523</v>
      </c>
    </row>
    <row r="476" spans="5:9" x14ac:dyDescent="0.75">
      <c r="E476">
        <v>470</v>
      </c>
      <c r="F476">
        <f t="shared" ca="1" si="28"/>
        <v>-0.43997893675726607</v>
      </c>
      <c r="G476">
        <f t="shared" ca="1" si="29"/>
        <v>94.365392271075137</v>
      </c>
      <c r="H476">
        <f t="shared" ca="1" si="30"/>
        <v>0</v>
      </c>
      <c r="I476">
        <f t="shared" ca="1" si="31"/>
        <v>0</v>
      </c>
    </row>
    <row r="477" spans="5:9" x14ac:dyDescent="0.75">
      <c r="E477">
        <v>471</v>
      </c>
      <c r="F477">
        <f t="shared" ca="1" si="28"/>
        <v>0.80062508352382222</v>
      </c>
      <c r="G477">
        <f t="shared" ca="1" si="29"/>
        <v>120.94007835073697</v>
      </c>
      <c r="H477">
        <f t="shared" ca="1" si="30"/>
        <v>20.940078350736968</v>
      </c>
      <c r="I477">
        <f t="shared" ca="1" si="31"/>
        <v>19.918818678571387</v>
      </c>
    </row>
    <row r="478" spans="5:9" x14ac:dyDescent="0.75">
      <c r="E478">
        <v>472</v>
      </c>
      <c r="F478">
        <f t="shared" ca="1" si="28"/>
        <v>-0.25254254449361579</v>
      </c>
      <c r="G478">
        <f t="shared" ca="1" si="29"/>
        <v>97.970036026790723</v>
      </c>
      <c r="H478">
        <f t="shared" ca="1" si="30"/>
        <v>0</v>
      </c>
      <c r="I478">
        <f t="shared" ca="1" si="31"/>
        <v>0</v>
      </c>
    </row>
    <row r="479" spans="5:9" x14ac:dyDescent="0.75">
      <c r="E479">
        <v>473</v>
      </c>
      <c r="F479">
        <f t="shared" ca="1" si="28"/>
        <v>-0.67904678245709116</v>
      </c>
      <c r="G479">
        <f t="shared" ca="1" si="29"/>
        <v>89.959613389234761</v>
      </c>
      <c r="H479">
        <f t="shared" ca="1" si="30"/>
        <v>0</v>
      </c>
      <c r="I479">
        <f t="shared" ca="1" si="31"/>
        <v>0</v>
      </c>
    </row>
    <row r="480" spans="5:9" x14ac:dyDescent="0.75">
      <c r="E480">
        <v>474</v>
      </c>
      <c r="F480">
        <f t="shared" ca="1" si="28"/>
        <v>1.7751888513972469</v>
      </c>
      <c r="G480">
        <f t="shared" ca="1" si="29"/>
        <v>146.96698302330327</v>
      </c>
      <c r="H480">
        <f t="shared" ca="1" si="30"/>
        <v>46.966983023303271</v>
      </c>
      <c r="I480">
        <f t="shared" ca="1" si="31"/>
        <v>44.676376231791579</v>
      </c>
    </row>
    <row r="481" spans="5:9" x14ac:dyDescent="0.75">
      <c r="E481">
        <v>475</v>
      </c>
      <c r="F481">
        <f t="shared" ca="1" si="28"/>
        <v>1.3261493900095529E-2</v>
      </c>
      <c r="G481">
        <f t="shared" ca="1" si="29"/>
        <v>103.31912349267935</v>
      </c>
      <c r="H481">
        <f t="shared" ca="1" si="30"/>
        <v>3.3191234926793527</v>
      </c>
      <c r="I481">
        <f t="shared" ca="1" si="31"/>
        <v>3.1572479297881806</v>
      </c>
    </row>
    <row r="482" spans="5:9" x14ac:dyDescent="0.75">
      <c r="E482">
        <v>476</v>
      </c>
      <c r="F482">
        <f t="shared" ca="1" si="28"/>
        <v>-2.4970549021274704</v>
      </c>
      <c r="G482">
        <f t="shared" ca="1" si="29"/>
        <v>62.537051529453223</v>
      </c>
      <c r="H482">
        <f t="shared" ca="1" si="30"/>
        <v>0</v>
      </c>
      <c r="I482">
        <f t="shared" ca="1" si="31"/>
        <v>0</v>
      </c>
    </row>
    <row r="483" spans="5:9" x14ac:dyDescent="0.75">
      <c r="E483">
        <v>477</v>
      </c>
      <c r="F483">
        <f t="shared" ca="1" si="28"/>
        <v>-0.56011209131397544</v>
      </c>
      <c r="G483">
        <f t="shared" ca="1" si="29"/>
        <v>92.125130561097691</v>
      </c>
      <c r="H483">
        <f t="shared" ca="1" si="30"/>
        <v>0</v>
      </c>
      <c r="I483">
        <f t="shared" ca="1" si="31"/>
        <v>0</v>
      </c>
    </row>
    <row r="484" spans="5:9" x14ac:dyDescent="0.75">
      <c r="E484">
        <v>478</v>
      </c>
      <c r="F484">
        <f t="shared" ca="1" si="28"/>
        <v>-0.44715895010128853</v>
      </c>
      <c r="G484">
        <f t="shared" ca="1" si="29"/>
        <v>94.229980564986178</v>
      </c>
      <c r="H484">
        <f t="shared" ca="1" si="30"/>
        <v>0</v>
      </c>
      <c r="I484">
        <f t="shared" ca="1" si="31"/>
        <v>0</v>
      </c>
    </row>
    <row r="485" spans="5:9" x14ac:dyDescent="0.75">
      <c r="E485">
        <v>479</v>
      </c>
      <c r="F485">
        <f t="shared" ca="1" si="28"/>
        <v>0.64185586034306963</v>
      </c>
      <c r="G485">
        <f t="shared" ca="1" si="29"/>
        <v>117.1600979571857</v>
      </c>
      <c r="H485">
        <f t="shared" ca="1" si="30"/>
        <v>17.160097957185698</v>
      </c>
      <c r="I485">
        <f t="shared" ca="1" si="31"/>
        <v>16.323190104189631</v>
      </c>
    </row>
    <row r="486" spans="5:9" x14ac:dyDescent="0.75">
      <c r="E486">
        <v>480</v>
      </c>
      <c r="F486">
        <f t="shared" ca="1" si="28"/>
        <v>-0.79989391478057092</v>
      </c>
      <c r="G486">
        <f t="shared" ca="1" si="29"/>
        <v>87.811406170749947</v>
      </c>
      <c r="H486">
        <f t="shared" ca="1" si="30"/>
        <v>0</v>
      </c>
      <c r="I486">
        <f t="shared" ca="1" si="31"/>
        <v>0</v>
      </c>
    </row>
    <row r="487" spans="5:9" x14ac:dyDescent="0.75">
      <c r="E487">
        <v>481</v>
      </c>
      <c r="F487">
        <f t="shared" ca="1" si="28"/>
        <v>-2.1904539680989252</v>
      </c>
      <c r="G487">
        <f t="shared" ca="1" si="29"/>
        <v>66.491850572370055</v>
      </c>
      <c r="H487">
        <f t="shared" ca="1" si="30"/>
        <v>0</v>
      </c>
      <c r="I487">
        <f t="shared" ca="1" si="31"/>
        <v>0</v>
      </c>
    </row>
    <row r="488" spans="5:9" x14ac:dyDescent="0.75">
      <c r="E488">
        <v>482</v>
      </c>
      <c r="F488">
        <f t="shared" ca="1" si="28"/>
        <v>0.72146215137098801</v>
      </c>
      <c r="G488">
        <f t="shared" ca="1" si="29"/>
        <v>119.04036249848239</v>
      </c>
      <c r="H488">
        <f t="shared" ca="1" si="30"/>
        <v>19.040362498482395</v>
      </c>
      <c r="I488">
        <f t="shared" ca="1" si="31"/>
        <v>18.111753061716385</v>
      </c>
    </row>
    <row r="489" spans="5:9" x14ac:dyDescent="0.75">
      <c r="E489">
        <v>483</v>
      </c>
      <c r="F489">
        <f t="shared" ca="1" si="28"/>
        <v>-1.0615544336521989</v>
      </c>
      <c r="G489">
        <f t="shared" ca="1" si="29"/>
        <v>83.334222510036682</v>
      </c>
      <c r="H489">
        <f t="shared" ca="1" si="30"/>
        <v>0</v>
      </c>
      <c r="I489">
        <f t="shared" ca="1" si="31"/>
        <v>0</v>
      </c>
    </row>
    <row r="490" spans="5:9" x14ac:dyDescent="0.75">
      <c r="E490">
        <v>484</v>
      </c>
      <c r="F490">
        <f t="shared" ca="1" si="28"/>
        <v>-0.62991519304695698</v>
      </c>
      <c r="G490">
        <f t="shared" ca="1" si="29"/>
        <v>90.847942501241477</v>
      </c>
      <c r="H490">
        <f t="shared" ca="1" si="30"/>
        <v>0</v>
      </c>
      <c r="I490">
        <f t="shared" ca="1" si="31"/>
        <v>0</v>
      </c>
    </row>
    <row r="491" spans="5:9" x14ac:dyDescent="0.75">
      <c r="E491">
        <v>485</v>
      </c>
      <c r="F491">
        <f t="shared" ca="1" si="28"/>
        <v>-0.33276388140232116</v>
      </c>
      <c r="G491">
        <f t="shared" ca="1" si="29"/>
        <v>96.410721056107704</v>
      </c>
      <c r="H491">
        <f t="shared" ca="1" si="30"/>
        <v>0</v>
      </c>
      <c r="I491">
        <f t="shared" ca="1" si="31"/>
        <v>0</v>
      </c>
    </row>
    <row r="492" spans="5:9" x14ac:dyDescent="0.75">
      <c r="E492">
        <v>486</v>
      </c>
      <c r="F492">
        <f t="shared" ca="1" si="28"/>
        <v>0.41130060529173362</v>
      </c>
      <c r="G492">
        <f t="shared" ca="1" si="29"/>
        <v>111.88038472383602</v>
      </c>
      <c r="H492">
        <f t="shared" ca="1" si="30"/>
        <v>11.880384723836016</v>
      </c>
      <c r="I492">
        <f t="shared" ca="1" si="31"/>
        <v>11.300971523701609</v>
      </c>
    </row>
    <row r="493" spans="5:9" x14ac:dyDescent="0.75">
      <c r="E493">
        <v>487</v>
      </c>
      <c r="F493">
        <f t="shared" ca="1" si="28"/>
        <v>0.12593548861740705</v>
      </c>
      <c r="G493">
        <f t="shared" ca="1" si="29"/>
        <v>105.6738309512816</v>
      </c>
      <c r="H493">
        <f t="shared" ca="1" si="30"/>
        <v>5.6738309512816016</v>
      </c>
      <c r="I493">
        <f t="shared" ca="1" si="31"/>
        <v>5.3971149505019369</v>
      </c>
    </row>
    <row r="494" spans="5:9" x14ac:dyDescent="0.75">
      <c r="E494">
        <v>488</v>
      </c>
      <c r="F494">
        <f t="shared" ca="1" si="28"/>
        <v>0.66667479825905529</v>
      </c>
      <c r="G494">
        <f t="shared" ca="1" si="29"/>
        <v>117.74310155261496</v>
      </c>
      <c r="H494">
        <f t="shared" ca="1" si="30"/>
        <v>17.743101552614959</v>
      </c>
      <c r="I494">
        <f t="shared" ca="1" si="31"/>
        <v>16.877760278751651</v>
      </c>
    </row>
    <row r="495" spans="5:9" x14ac:dyDescent="0.75">
      <c r="E495">
        <v>489</v>
      </c>
      <c r="F495">
        <f t="shared" ca="1" si="28"/>
        <v>-0.56612390761853271</v>
      </c>
      <c r="G495">
        <f t="shared" ca="1" si="29"/>
        <v>92.014429253633395</v>
      </c>
      <c r="H495">
        <f t="shared" ca="1" si="30"/>
        <v>0</v>
      </c>
      <c r="I495">
        <f t="shared" ca="1" si="31"/>
        <v>0</v>
      </c>
    </row>
    <row r="496" spans="5:9" x14ac:dyDescent="0.75">
      <c r="E496">
        <v>490</v>
      </c>
      <c r="F496">
        <f t="shared" ca="1" si="28"/>
        <v>-1.2793375378677798</v>
      </c>
      <c r="G496">
        <f t="shared" ca="1" si="29"/>
        <v>79.782380027456028</v>
      </c>
      <c r="H496">
        <f t="shared" ca="1" si="30"/>
        <v>0</v>
      </c>
      <c r="I496">
        <f t="shared" ca="1" si="31"/>
        <v>0</v>
      </c>
    </row>
    <row r="497" spans="5:9" x14ac:dyDescent="0.75">
      <c r="E497">
        <v>491</v>
      </c>
      <c r="F497">
        <f t="shared" ca="1" si="28"/>
        <v>-0.14433396362996687</v>
      </c>
      <c r="G497">
        <f t="shared" ca="1" si="29"/>
        <v>100.11338495959745</v>
      </c>
      <c r="H497">
        <f t="shared" ca="1" si="30"/>
        <v>0.11338495959745387</v>
      </c>
      <c r="I497">
        <f t="shared" ca="1" si="31"/>
        <v>0.10785510986492276</v>
      </c>
    </row>
    <row r="498" spans="5:9" x14ac:dyDescent="0.75">
      <c r="E498">
        <v>492</v>
      </c>
      <c r="F498">
        <f t="shared" ca="1" si="28"/>
        <v>-0.6988730699449156</v>
      </c>
      <c r="G498">
        <f t="shared" ca="1" si="29"/>
        <v>89.603606653419874</v>
      </c>
      <c r="H498">
        <f t="shared" ca="1" si="30"/>
        <v>0</v>
      </c>
      <c r="I498">
        <f t="shared" ca="1" si="31"/>
        <v>0</v>
      </c>
    </row>
    <row r="499" spans="5:9" x14ac:dyDescent="0.75">
      <c r="E499">
        <v>493</v>
      </c>
      <c r="F499">
        <f t="shared" ca="1" si="28"/>
        <v>1.7579469098686491</v>
      </c>
      <c r="G499">
        <f t="shared" ca="1" si="29"/>
        <v>146.46105661442169</v>
      </c>
      <c r="H499">
        <f t="shared" ca="1" si="30"/>
        <v>46.461056614421693</v>
      </c>
      <c r="I499">
        <f t="shared" ca="1" si="31"/>
        <v>44.195124145031443</v>
      </c>
    </row>
    <row r="500" spans="5:9" x14ac:dyDescent="0.75">
      <c r="E500">
        <v>494</v>
      </c>
      <c r="F500">
        <f t="shared" ca="1" si="28"/>
        <v>-0.350664661404962</v>
      </c>
      <c r="G500">
        <f t="shared" ca="1" si="29"/>
        <v>96.066172770929796</v>
      </c>
      <c r="H500">
        <f t="shared" ca="1" si="30"/>
        <v>0</v>
      </c>
      <c r="I500">
        <f t="shared" ca="1" si="31"/>
        <v>0</v>
      </c>
    </row>
    <row r="501" spans="5:9" x14ac:dyDescent="0.75">
      <c r="E501">
        <v>495</v>
      </c>
      <c r="F501">
        <f t="shared" ca="1" si="28"/>
        <v>-2.3001062716399359</v>
      </c>
      <c r="G501">
        <f t="shared" ca="1" si="29"/>
        <v>65.049526873659019</v>
      </c>
      <c r="H501">
        <f t="shared" ca="1" si="30"/>
        <v>0</v>
      </c>
      <c r="I501">
        <f t="shared" ca="1" si="31"/>
        <v>0</v>
      </c>
    </row>
    <row r="502" spans="5:9" x14ac:dyDescent="0.75">
      <c r="E502">
        <v>496</v>
      </c>
      <c r="F502">
        <f t="shared" ca="1" si="28"/>
        <v>0.51020976755308067</v>
      </c>
      <c r="G502">
        <f t="shared" ca="1" si="29"/>
        <v>114.11561937714664</v>
      </c>
      <c r="H502">
        <f t="shared" ca="1" si="30"/>
        <v>14.115619377146643</v>
      </c>
      <c r="I502">
        <f t="shared" ca="1" si="31"/>
        <v>13.427192496594328</v>
      </c>
    </row>
    <row r="503" spans="5:9" x14ac:dyDescent="0.75">
      <c r="E503">
        <v>497</v>
      </c>
      <c r="F503">
        <f t="shared" ca="1" si="28"/>
        <v>-1.9183083321963734</v>
      </c>
      <c r="G503">
        <f t="shared" ca="1" si="29"/>
        <v>70.211247538848696</v>
      </c>
      <c r="H503">
        <f t="shared" ca="1" si="30"/>
        <v>0</v>
      </c>
      <c r="I503">
        <f t="shared" ca="1" si="31"/>
        <v>0</v>
      </c>
    </row>
    <row r="504" spans="5:9" x14ac:dyDescent="0.75">
      <c r="E504">
        <v>498</v>
      </c>
      <c r="F504">
        <f t="shared" ca="1" si="28"/>
        <v>1.0962023843982482</v>
      </c>
      <c r="G504">
        <f t="shared" ca="1" si="29"/>
        <v>128.30505399642203</v>
      </c>
      <c r="H504">
        <f t="shared" ca="1" si="30"/>
        <v>28.305053996422032</v>
      </c>
      <c r="I504">
        <f t="shared" ca="1" si="31"/>
        <v>26.924600223478166</v>
      </c>
    </row>
    <row r="505" spans="5:9" x14ac:dyDescent="0.75">
      <c r="E505">
        <v>499</v>
      </c>
      <c r="F505">
        <f t="shared" ca="1" si="28"/>
        <v>-0.31011934143231956</v>
      </c>
      <c r="G505">
        <f t="shared" ca="1" si="29"/>
        <v>96.848346576252879</v>
      </c>
      <c r="H505">
        <f t="shared" ca="1" si="30"/>
        <v>0</v>
      </c>
      <c r="I505">
        <f t="shared" ca="1" si="31"/>
        <v>0</v>
      </c>
    </row>
    <row r="506" spans="5:9" x14ac:dyDescent="0.75">
      <c r="E506">
        <v>500</v>
      </c>
      <c r="F506">
        <f t="shared" ca="1" si="28"/>
        <v>0.17645617300455588</v>
      </c>
      <c r="G506">
        <f t="shared" ca="1" si="29"/>
        <v>106.74698632780914</v>
      </c>
      <c r="H506">
        <f t="shared" ca="1" si="30"/>
        <v>6.7469863278091395</v>
      </c>
      <c r="I506">
        <f t="shared" ca="1" si="31"/>
        <v>6.4179319217160735</v>
      </c>
    </row>
    <row r="507" spans="5:9" x14ac:dyDescent="0.75">
      <c r="E507">
        <v>501</v>
      </c>
      <c r="F507">
        <f t="shared" ca="1" si="28"/>
        <v>0.30294441467004318</v>
      </c>
      <c r="G507">
        <f t="shared" ca="1" si="29"/>
        <v>109.48188140255427</v>
      </c>
      <c r="H507">
        <f t="shared" ca="1" si="30"/>
        <v>9.481881402554265</v>
      </c>
      <c r="I507">
        <f t="shared" ca="1" si="31"/>
        <v>9.0194445897357163</v>
      </c>
    </row>
    <row r="508" spans="5:9" x14ac:dyDescent="0.75">
      <c r="E508">
        <v>502</v>
      </c>
      <c r="F508">
        <f t="shared" ca="1" si="28"/>
        <v>0.99097638298565183</v>
      </c>
      <c r="G508">
        <f t="shared" ca="1" si="29"/>
        <v>125.6330633451078</v>
      </c>
      <c r="H508">
        <f t="shared" ca="1" si="30"/>
        <v>25.6330633451078</v>
      </c>
      <c r="I508">
        <f t="shared" ca="1" si="31"/>
        <v>24.382924093957239</v>
      </c>
    </row>
    <row r="509" spans="5:9" x14ac:dyDescent="0.75">
      <c r="E509">
        <v>503</v>
      </c>
      <c r="F509">
        <f t="shared" ca="1" si="28"/>
        <v>1.3167664979540905</v>
      </c>
      <c r="G509">
        <f t="shared" ca="1" si="29"/>
        <v>134.09164519883464</v>
      </c>
      <c r="H509">
        <f t="shared" ca="1" si="30"/>
        <v>34.091645198834641</v>
      </c>
      <c r="I509">
        <f t="shared" ca="1" si="31"/>
        <v>32.428976042770003</v>
      </c>
    </row>
    <row r="510" spans="5:9" x14ac:dyDescent="0.75">
      <c r="E510">
        <v>504</v>
      </c>
      <c r="F510">
        <f t="shared" ca="1" si="28"/>
        <v>0.36267007977503046</v>
      </c>
      <c r="G510">
        <f t="shared" ca="1" si="29"/>
        <v>110.79749900962122</v>
      </c>
      <c r="H510">
        <f t="shared" ca="1" si="30"/>
        <v>10.79749900962122</v>
      </c>
      <c r="I510">
        <f t="shared" ca="1" si="31"/>
        <v>10.270898768969023</v>
      </c>
    </row>
    <row r="511" spans="5:9" x14ac:dyDescent="0.75">
      <c r="E511">
        <v>505</v>
      </c>
      <c r="F511">
        <f t="shared" ca="1" si="28"/>
        <v>0.50515567221193836</v>
      </c>
      <c r="G511">
        <f t="shared" ca="1" si="29"/>
        <v>114.00032741257229</v>
      </c>
      <c r="H511">
        <f t="shared" ca="1" si="30"/>
        <v>14.00032741257229</v>
      </c>
      <c r="I511">
        <f t="shared" ca="1" si="31"/>
        <v>13.31752338748271</v>
      </c>
    </row>
    <row r="512" spans="5:9" x14ac:dyDescent="0.75">
      <c r="E512">
        <v>506</v>
      </c>
      <c r="F512">
        <f t="shared" ca="1" si="28"/>
        <v>-0.68697888527192463</v>
      </c>
      <c r="G512">
        <f t="shared" ca="1" si="29"/>
        <v>89.817012750917286</v>
      </c>
      <c r="H512">
        <f t="shared" ca="1" si="30"/>
        <v>0</v>
      </c>
      <c r="I512">
        <f t="shared" ca="1" si="31"/>
        <v>0</v>
      </c>
    </row>
    <row r="513" spans="5:9" x14ac:dyDescent="0.75">
      <c r="E513">
        <v>507</v>
      </c>
      <c r="F513">
        <f t="shared" ca="1" si="28"/>
        <v>0.93731398427727552</v>
      </c>
      <c r="G513">
        <f t="shared" ca="1" si="29"/>
        <v>124.291918814536</v>
      </c>
      <c r="H513">
        <f t="shared" ca="1" si="30"/>
        <v>24.291918814536004</v>
      </c>
      <c r="I513">
        <f t="shared" ca="1" si="31"/>
        <v>23.107187953969149</v>
      </c>
    </row>
    <row r="514" spans="5:9" x14ac:dyDescent="0.75">
      <c r="E514">
        <v>508</v>
      </c>
      <c r="F514">
        <f t="shared" ca="1" si="28"/>
        <v>0.64531510485883758</v>
      </c>
      <c r="G514">
        <f t="shared" ca="1" si="29"/>
        <v>117.24118308854601</v>
      </c>
      <c r="H514">
        <f t="shared" ca="1" si="30"/>
        <v>17.241183088546009</v>
      </c>
      <c r="I514">
        <f t="shared" ca="1" si="31"/>
        <v>16.400320667029064</v>
      </c>
    </row>
    <row r="515" spans="5:9" x14ac:dyDescent="0.75">
      <c r="E515">
        <v>509</v>
      </c>
      <c r="F515">
        <f t="shared" ca="1" si="28"/>
        <v>0.38336396145387197</v>
      </c>
      <c r="G515">
        <f t="shared" ca="1" si="29"/>
        <v>111.25701533829901</v>
      </c>
      <c r="H515">
        <f t="shared" ca="1" si="30"/>
        <v>11.257015338299013</v>
      </c>
      <c r="I515">
        <f t="shared" ca="1" si="31"/>
        <v>10.708004221845881</v>
      </c>
    </row>
    <row r="516" spans="5:9" x14ac:dyDescent="0.75">
      <c r="E516">
        <v>510</v>
      </c>
      <c r="F516">
        <f t="shared" ca="1" si="28"/>
        <v>-1.1505379547742216</v>
      </c>
      <c r="G516">
        <f t="shared" ca="1" si="29"/>
        <v>81.864266979306507</v>
      </c>
      <c r="H516">
        <f t="shared" ca="1" si="30"/>
        <v>0</v>
      </c>
      <c r="I516">
        <f t="shared" ca="1" si="31"/>
        <v>0</v>
      </c>
    </row>
    <row r="517" spans="5:9" x14ac:dyDescent="0.75">
      <c r="E517">
        <v>511</v>
      </c>
      <c r="F517">
        <f t="shared" ca="1" si="28"/>
        <v>-0.32608238666356981</v>
      </c>
      <c r="G517">
        <f t="shared" ca="1" si="29"/>
        <v>96.539640719627911</v>
      </c>
      <c r="H517">
        <f t="shared" ca="1" si="30"/>
        <v>0</v>
      </c>
      <c r="I517">
        <f t="shared" ca="1" si="31"/>
        <v>0</v>
      </c>
    </row>
    <row r="518" spans="5:9" x14ac:dyDescent="0.75">
      <c r="E518">
        <v>512</v>
      </c>
      <c r="F518">
        <f t="shared" ca="1" si="28"/>
        <v>-0.40562276825636417</v>
      </c>
      <c r="G518">
        <f t="shared" ca="1" si="29"/>
        <v>95.016031722510675</v>
      </c>
      <c r="H518">
        <f t="shared" ca="1" si="30"/>
        <v>0</v>
      </c>
      <c r="I518">
        <f t="shared" ca="1" si="31"/>
        <v>0</v>
      </c>
    </row>
    <row r="519" spans="5:9" x14ac:dyDescent="0.75">
      <c r="E519">
        <v>513</v>
      </c>
      <c r="F519">
        <f t="shared" ca="1" si="28"/>
        <v>-1.1303344725226021</v>
      </c>
      <c r="G519">
        <f t="shared" ca="1" si="29"/>
        <v>82.195724841619793</v>
      </c>
      <c r="H519">
        <f t="shared" ca="1" si="30"/>
        <v>0</v>
      </c>
      <c r="I519">
        <f t="shared" ca="1" si="31"/>
        <v>0</v>
      </c>
    </row>
    <row r="520" spans="5:9" x14ac:dyDescent="0.75">
      <c r="E520">
        <v>514</v>
      </c>
      <c r="F520">
        <f t="shared" ref="F520:F583" ca="1" si="32">NORMINV(RAND(), 0,1)</f>
        <v>-0.66741590979644583</v>
      </c>
      <c r="G520">
        <f t="shared" ref="G520:G583" ca="1" si="33">$C$5*EXP(($C$6-0.5*$C$7^2)*$C$8+$C$7*SQRT($C$8)*F520)</f>
        <v>90.169118729343253</v>
      </c>
      <c r="H520">
        <f t="shared" ref="H520:H583" ca="1" si="34">MAX(G520-$C$9,0)</f>
        <v>0</v>
      </c>
      <c r="I520">
        <f t="shared" ref="I520:I583" ca="1" si="35">EXP(-$C$6*$C$8)*H520</f>
        <v>0</v>
      </c>
    </row>
    <row r="521" spans="5:9" x14ac:dyDescent="0.75">
      <c r="E521">
        <v>515</v>
      </c>
      <c r="F521">
        <f t="shared" ca="1" si="32"/>
        <v>0.54908980497518112</v>
      </c>
      <c r="G521">
        <f t="shared" ca="1" si="33"/>
        <v>115.00644232172921</v>
      </c>
      <c r="H521">
        <f t="shared" ca="1" si="34"/>
        <v>15.00644232172921</v>
      </c>
      <c r="I521">
        <f t="shared" ca="1" si="35"/>
        <v>14.274569493501636</v>
      </c>
    </row>
    <row r="522" spans="5:9" x14ac:dyDescent="0.75">
      <c r="E522">
        <v>516</v>
      </c>
      <c r="F522">
        <f t="shared" ca="1" si="32"/>
        <v>-0.255201803566239</v>
      </c>
      <c r="G522">
        <f t="shared" ca="1" si="33"/>
        <v>97.917944339118065</v>
      </c>
      <c r="H522">
        <f t="shared" ca="1" si="34"/>
        <v>0</v>
      </c>
      <c r="I522">
        <f t="shared" ca="1" si="35"/>
        <v>0</v>
      </c>
    </row>
    <row r="523" spans="5:9" x14ac:dyDescent="0.75">
      <c r="E523">
        <v>517</v>
      </c>
      <c r="F523">
        <f t="shared" ca="1" si="32"/>
        <v>-1.3610060033383731</v>
      </c>
      <c r="G523">
        <f t="shared" ca="1" si="33"/>
        <v>78.489823961388609</v>
      </c>
      <c r="H523">
        <f t="shared" ca="1" si="34"/>
        <v>0</v>
      </c>
      <c r="I523">
        <f t="shared" ca="1" si="35"/>
        <v>0</v>
      </c>
    </row>
    <row r="524" spans="5:9" x14ac:dyDescent="0.75">
      <c r="E524">
        <v>518</v>
      </c>
      <c r="F524">
        <f t="shared" ca="1" si="32"/>
        <v>0.4309515275347599</v>
      </c>
      <c r="G524">
        <f t="shared" ca="1" si="33"/>
        <v>112.32096047686098</v>
      </c>
      <c r="H524">
        <f t="shared" ca="1" si="34"/>
        <v>12.320960476860975</v>
      </c>
      <c r="I524">
        <f t="shared" ca="1" si="35"/>
        <v>11.720060143700508</v>
      </c>
    </row>
    <row r="525" spans="5:9" x14ac:dyDescent="0.75">
      <c r="E525">
        <v>519</v>
      </c>
      <c r="F525">
        <f t="shared" ca="1" si="32"/>
        <v>-0.26063654901570971</v>
      </c>
      <c r="G525">
        <f t="shared" ca="1" si="33"/>
        <v>97.811570340667799</v>
      </c>
      <c r="H525">
        <f t="shared" ca="1" si="34"/>
        <v>0</v>
      </c>
      <c r="I525">
        <f t="shared" ca="1" si="35"/>
        <v>0</v>
      </c>
    </row>
    <row r="526" spans="5:9" x14ac:dyDescent="0.75">
      <c r="E526">
        <v>520</v>
      </c>
      <c r="F526">
        <f t="shared" ca="1" si="32"/>
        <v>1.1774317795953364</v>
      </c>
      <c r="G526">
        <f t="shared" ca="1" si="33"/>
        <v>130.40650613316666</v>
      </c>
      <c r="H526">
        <f t="shared" ca="1" si="34"/>
        <v>30.406506133166658</v>
      </c>
      <c r="I526">
        <f t="shared" ca="1" si="35"/>
        <v>28.92356333012955</v>
      </c>
    </row>
    <row r="527" spans="5:9" x14ac:dyDescent="0.75">
      <c r="E527">
        <v>521</v>
      </c>
      <c r="F527">
        <f t="shared" ca="1" si="32"/>
        <v>-2.6072686539479535</v>
      </c>
      <c r="G527">
        <f t="shared" ca="1" si="33"/>
        <v>61.173644736095298</v>
      </c>
      <c r="H527">
        <f t="shared" ca="1" si="34"/>
        <v>0</v>
      </c>
      <c r="I527">
        <f t="shared" ca="1" si="35"/>
        <v>0</v>
      </c>
    </row>
    <row r="528" spans="5:9" x14ac:dyDescent="0.75">
      <c r="E528">
        <v>522</v>
      </c>
      <c r="F528">
        <f t="shared" ca="1" si="32"/>
        <v>-1.10581161699626</v>
      </c>
      <c r="G528">
        <f t="shared" ca="1" si="33"/>
        <v>82.599849838450012</v>
      </c>
      <c r="H528">
        <f t="shared" ca="1" si="34"/>
        <v>0</v>
      </c>
      <c r="I528">
        <f t="shared" ca="1" si="35"/>
        <v>0</v>
      </c>
    </row>
    <row r="529" spans="5:9" x14ac:dyDescent="0.75">
      <c r="E529">
        <v>523</v>
      </c>
      <c r="F529">
        <f t="shared" ca="1" si="32"/>
        <v>0.48651824363742607</v>
      </c>
      <c r="G529">
        <f t="shared" ca="1" si="33"/>
        <v>113.57618380635715</v>
      </c>
      <c r="H529">
        <f t="shared" ca="1" si="34"/>
        <v>13.57618380635715</v>
      </c>
      <c r="I529">
        <f t="shared" ca="1" si="35"/>
        <v>12.914065509037025</v>
      </c>
    </row>
    <row r="530" spans="5:9" x14ac:dyDescent="0.75">
      <c r="E530">
        <v>524</v>
      </c>
      <c r="F530">
        <f t="shared" ca="1" si="32"/>
        <v>0.91423057708832933</v>
      </c>
      <c r="G530">
        <f t="shared" ca="1" si="33"/>
        <v>123.71942514735277</v>
      </c>
      <c r="H530">
        <f t="shared" ca="1" si="34"/>
        <v>23.719425147352766</v>
      </c>
      <c r="I530">
        <f t="shared" ca="1" si="35"/>
        <v>22.562615132404137</v>
      </c>
    </row>
    <row r="531" spans="5:9" x14ac:dyDescent="0.75">
      <c r="E531">
        <v>525</v>
      </c>
      <c r="F531">
        <f t="shared" ca="1" si="32"/>
        <v>1.1770616631852402</v>
      </c>
      <c r="G531">
        <f t="shared" ca="1" si="33"/>
        <v>130.39685337285491</v>
      </c>
      <c r="H531">
        <f t="shared" ca="1" si="34"/>
        <v>30.396853372854906</v>
      </c>
      <c r="I531">
        <f t="shared" ca="1" si="35"/>
        <v>28.91438134049336</v>
      </c>
    </row>
    <row r="532" spans="5:9" x14ac:dyDescent="0.75">
      <c r="E532">
        <v>526</v>
      </c>
      <c r="F532">
        <f t="shared" ca="1" si="32"/>
        <v>-1.6670351589742234</v>
      </c>
      <c r="G532">
        <f t="shared" ca="1" si="33"/>
        <v>73.82985242299749</v>
      </c>
      <c r="H532">
        <f t="shared" ca="1" si="34"/>
        <v>0</v>
      </c>
      <c r="I532">
        <f t="shared" ca="1" si="35"/>
        <v>0</v>
      </c>
    </row>
    <row r="533" spans="5:9" x14ac:dyDescent="0.75">
      <c r="E533">
        <v>527</v>
      </c>
      <c r="F533">
        <f t="shared" ca="1" si="32"/>
        <v>0.23630364624689093</v>
      </c>
      <c r="G533">
        <f t="shared" ca="1" si="33"/>
        <v>108.03237116661563</v>
      </c>
      <c r="H533">
        <f t="shared" ca="1" si="34"/>
        <v>8.0323711666156328</v>
      </c>
      <c r="I533">
        <f t="shared" ca="1" si="35"/>
        <v>7.6406278021959171</v>
      </c>
    </row>
    <row r="534" spans="5:9" x14ac:dyDescent="0.75">
      <c r="E534">
        <v>528</v>
      </c>
      <c r="F534">
        <f t="shared" ca="1" si="32"/>
        <v>-0.97493641952693699</v>
      </c>
      <c r="G534">
        <f t="shared" ca="1" si="33"/>
        <v>84.790448605303055</v>
      </c>
      <c r="H534">
        <f t="shared" ca="1" si="34"/>
        <v>0</v>
      </c>
      <c r="I534">
        <f t="shared" ca="1" si="35"/>
        <v>0</v>
      </c>
    </row>
    <row r="535" spans="5:9" x14ac:dyDescent="0.75">
      <c r="E535">
        <v>529</v>
      </c>
      <c r="F535">
        <f t="shared" ca="1" si="32"/>
        <v>0.38745841324220076</v>
      </c>
      <c r="G535">
        <f t="shared" ca="1" si="33"/>
        <v>111.34815994901032</v>
      </c>
      <c r="H535">
        <f t="shared" ca="1" si="34"/>
        <v>11.348159949010324</v>
      </c>
      <c r="I535">
        <f t="shared" ca="1" si="35"/>
        <v>10.794703657439142</v>
      </c>
    </row>
    <row r="536" spans="5:9" x14ac:dyDescent="0.75">
      <c r="E536">
        <v>530</v>
      </c>
      <c r="F536">
        <f t="shared" ca="1" si="32"/>
        <v>-1.0342850334909695</v>
      </c>
      <c r="G536">
        <f t="shared" ca="1" si="33"/>
        <v>83.789958998605442</v>
      </c>
      <c r="H536">
        <f t="shared" ca="1" si="34"/>
        <v>0</v>
      </c>
      <c r="I536">
        <f t="shared" ca="1" si="35"/>
        <v>0</v>
      </c>
    </row>
    <row r="537" spans="5:9" x14ac:dyDescent="0.75">
      <c r="E537">
        <v>531</v>
      </c>
      <c r="F537">
        <f t="shared" ca="1" si="32"/>
        <v>0.5031408366489305</v>
      </c>
      <c r="G537">
        <f t="shared" ca="1" si="33"/>
        <v>113.95439828438481</v>
      </c>
      <c r="H537">
        <f t="shared" ca="1" si="34"/>
        <v>13.954398284384808</v>
      </c>
      <c r="I537">
        <f t="shared" ca="1" si="35"/>
        <v>13.273834249309113</v>
      </c>
    </row>
    <row r="538" spans="5:9" x14ac:dyDescent="0.75">
      <c r="E538">
        <v>532</v>
      </c>
      <c r="F538">
        <f t="shared" ca="1" si="32"/>
        <v>-0.9824179708404478</v>
      </c>
      <c r="G538">
        <f t="shared" ca="1" si="33"/>
        <v>84.663670660100124</v>
      </c>
      <c r="H538">
        <f t="shared" ca="1" si="34"/>
        <v>0</v>
      </c>
      <c r="I538">
        <f t="shared" ca="1" si="35"/>
        <v>0</v>
      </c>
    </row>
    <row r="539" spans="5:9" x14ac:dyDescent="0.75">
      <c r="E539">
        <v>533</v>
      </c>
      <c r="F539">
        <f t="shared" ca="1" si="32"/>
        <v>-0.29793169314024898</v>
      </c>
      <c r="G539">
        <f t="shared" ca="1" si="33"/>
        <v>97.084705242001689</v>
      </c>
      <c r="H539">
        <f t="shared" ca="1" si="34"/>
        <v>0</v>
      </c>
      <c r="I539">
        <f t="shared" ca="1" si="35"/>
        <v>0</v>
      </c>
    </row>
    <row r="540" spans="5:9" x14ac:dyDescent="0.75">
      <c r="E540">
        <v>534</v>
      </c>
      <c r="F540">
        <f t="shared" ca="1" si="32"/>
        <v>0.91735714465164264</v>
      </c>
      <c r="G540">
        <f t="shared" ca="1" si="33"/>
        <v>123.79681276891733</v>
      </c>
      <c r="H540">
        <f t="shared" ca="1" si="34"/>
        <v>23.796812768917334</v>
      </c>
      <c r="I540">
        <f t="shared" ca="1" si="35"/>
        <v>22.636228515128479</v>
      </c>
    </row>
    <row r="541" spans="5:9" x14ac:dyDescent="0.75">
      <c r="E541">
        <v>535</v>
      </c>
      <c r="F541">
        <f t="shared" ca="1" si="32"/>
        <v>-0.41332626822957341</v>
      </c>
      <c r="G541">
        <f t="shared" ca="1" si="33"/>
        <v>94.869753237511219</v>
      </c>
      <c r="H541">
        <f t="shared" ca="1" si="34"/>
        <v>0</v>
      </c>
      <c r="I541">
        <f t="shared" ca="1" si="35"/>
        <v>0</v>
      </c>
    </row>
    <row r="542" spans="5:9" x14ac:dyDescent="0.75">
      <c r="E542">
        <v>536</v>
      </c>
      <c r="F542">
        <f t="shared" ca="1" si="32"/>
        <v>-1.6632122555137817E-2</v>
      </c>
      <c r="G542">
        <f t="shared" ca="1" si="33"/>
        <v>102.70324994594127</v>
      </c>
      <c r="H542">
        <f t="shared" ca="1" si="34"/>
        <v>2.7032499459412662</v>
      </c>
      <c r="I542">
        <f t="shared" ca="1" si="35"/>
        <v>2.5714108903592972</v>
      </c>
    </row>
    <row r="543" spans="5:9" x14ac:dyDescent="0.75">
      <c r="E543">
        <v>537</v>
      </c>
      <c r="F543">
        <f t="shared" ca="1" si="32"/>
        <v>-1.8760023380034863</v>
      </c>
      <c r="G543">
        <f t="shared" ca="1" si="33"/>
        <v>70.807839246254176</v>
      </c>
      <c r="H543">
        <f t="shared" ca="1" si="34"/>
        <v>0</v>
      </c>
      <c r="I543">
        <f t="shared" ca="1" si="35"/>
        <v>0</v>
      </c>
    </row>
    <row r="544" spans="5:9" x14ac:dyDescent="0.75">
      <c r="E544">
        <v>538</v>
      </c>
      <c r="F544">
        <f t="shared" ca="1" si="32"/>
        <v>-0.86940080228758199</v>
      </c>
      <c r="G544">
        <f t="shared" ca="1" si="33"/>
        <v>86.59915218687533</v>
      </c>
      <c r="H544">
        <f t="shared" ca="1" si="34"/>
        <v>0</v>
      </c>
      <c r="I544">
        <f t="shared" ca="1" si="35"/>
        <v>0</v>
      </c>
    </row>
    <row r="545" spans="5:9" x14ac:dyDescent="0.75">
      <c r="E545">
        <v>539</v>
      </c>
      <c r="F545">
        <f t="shared" ca="1" si="32"/>
        <v>-0.42378121877876779</v>
      </c>
      <c r="G545">
        <f t="shared" ca="1" si="33"/>
        <v>94.67158877393733</v>
      </c>
      <c r="H545">
        <f t="shared" ca="1" si="34"/>
        <v>0</v>
      </c>
      <c r="I545">
        <f t="shared" ca="1" si="35"/>
        <v>0</v>
      </c>
    </row>
    <row r="546" spans="5:9" x14ac:dyDescent="0.75">
      <c r="E546">
        <v>540</v>
      </c>
      <c r="F546">
        <f t="shared" ca="1" si="32"/>
        <v>0.34987572866857192</v>
      </c>
      <c r="G546">
        <f t="shared" ca="1" si="33"/>
        <v>110.5143450204707</v>
      </c>
      <c r="H546">
        <f t="shared" ca="1" si="34"/>
        <v>10.514345020470699</v>
      </c>
      <c r="I546">
        <f t="shared" ca="1" si="35"/>
        <v>10.001554362824292</v>
      </c>
    </row>
    <row r="547" spans="5:9" x14ac:dyDescent="0.75">
      <c r="E547">
        <v>541</v>
      </c>
      <c r="F547">
        <f t="shared" ca="1" si="32"/>
        <v>1.8634749104659947</v>
      </c>
      <c r="G547">
        <f t="shared" ca="1" si="33"/>
        <v>149.58505608656259</v>
      </c>
      <c r="H547">
        <f t="shared" ca="1" si="34"/>
        <v>49.585056086562588</v>
      </c>
      <c r="I547">
        <f t="shared" ca="1" si="35"/>
        <v>47.166764365056558</v>
      </c>
    </row>
    <row r="548" spans="5:9" x14ac:dyDescent="0.75">
      <c r="E548">
        <v>542</v>
      </c>
      <c r="F548">
        <f t="shared" ca="1" si="32"/>
        <v>0.1219717439784509</v>
      </c>
      <c r="G548">
        <f t="shared" ca="1" si="33"/>
        <v>105.59009133173171</v>
      </c>
      <c r="H548">
        <f t="shared" ca="1" si="34"/>
        <v>5.5900913317317134</v>
      </c>
      <c r="I548">
        <f t="shared" ca="1" si="35"/>
        <v>5.3174593603895879</v>
      </c>
    </row>
    <row r="549" spans="5:9" x14ac:dyDescent="0.75">
      <c r="E549">
        <v>543</v>
      </c>
      <c r="F549">
        <f t="shared" ca="1" si="32"/>
        <v>0.86878725375530219</v>
      </c>
      <c r="G549">
        <f t="shared" ca="1" si="33"/>
        <v>122.60007518288425</v>
      </c>
      <c r="H549">
        <f t="shared" ca="1" si="34"/>
        <v>22.600075182884254</v>
      </c>
      <c r="I549">
        <f t="shared" ca="1" si="35"/>
        <v>21.497856509887857</v>
      </c>
    </row>
    <row r="550" spans="5:9" x14ac:dyDescent="0.75">
      <c r="E550">
        <v>544</v>
      </c>
      <c r="F550">
        <f t="shared" ca="1" si="32"/>
        <v>0.82776039200699214</v>
      </c>
      <c r="G550">
        <f t="shared" ca="1" si="33"/>
        <v>121.59821186781005</v>
      </c>
      <c r="H550">
        <f t="shared" ca="1" si="34"/>
        <v>21.598211867810051</v>
      </c>
      <c r="I550">
        <f t="shared" ca="1" si="35"/>
        <v>20.544854645261445</v>
      </c>
    </row>
    <row r="551" spans="5:9" x14ac:dyDescent="0.75">
      <c r="E551">
        <v>545</v>
      </c>
      <c r="F551">
        <f t="shared" ca="1" si="32"/>
        <v>0.96557392690904797</v>
      </c>
      <c r="G551">
        <f t="shared" ca="1" si="33"/>
        <v>124.99640431016692</v>
      </c>
      <c r="H551">
        <f t="shared" ca="1" si="34"/>
        <v>24.996404310166923</v>
      </c>
      <c r="I551">
        <f t="shared" ca="1" si="35"/>
        <v>23.77731528654725</v>
      </c>
    </row>
    <row r="552" spans="5:9" x14ac:dyDescent="0.75">
      <c r="E552">
        <v>546</v>
      </c>
      <c r="F552">
        <f t="shared" ca="1" si="32"/>
        <v>9.6784535866417859E-2</v>
      </c>
      <c r="G552">
        <f t="shared" ca="1" si="33"/>
        <v>105.05952488146622</v>
      </c>
      <c r="H552">
        <f t="shared" ca="1" si="34"/>
        <v>5.059524881466217</v>
      </c>
      <c r="I552">
        <f t="shared" ca="1" si="35"/>
        <v>4.812768941244153</v>
      </c>
    </row>
    <row r="553" spans="5:9" x14ac:dyDescent="0.75">
      <c r="E553">
        <v>547</v>
      </c>
      <c r="F553">
        <f t="shared" ca="1" si="32"/>
        <v>-0.66525404743919858</v>
      </c>
      <c r="G553">
        <f t="shared" ca="1" si="33"/>
        <v>90.208113803647507</v>
      </c>
      <c r="H553">
        <f t="shared" ca="1" si="34"/>
        <v>0</v>
      </c>
      <c r="I553">
        <f t="shared" ca="1" si="35"/>
        <v>0</v>
      </c>
    </row>
    <row r="554" spans="5:9" x14ac:dyDescent="0.75">
      <c r="E554">
        <v>548</v>
      </c>
      <c r="F554">
        <f t="shared" ca="1" si="32"/>
        <v>1.5707581046411965</v>
      </c>
      <c r="G554">
        <f t="shared" ca="1" si="33"/>
        <v>141.07925249643981</v>
      </c>
      <c r="H554">
        <f t="shared" ca="1" si="34"/>
        <v>41.079252496439807</v>
      </c>
      <c r="I554">
        <f t="shared" ca="1" si="35"/>
        <v>39.075793711107956</v>
      </c>
    </row>
    <row r="555" spans="5:9" x14ac:dyDescent="0.75">
      <c r="E555">
        <v>549</v>
      </c>
      <c r="F555">
        <f t="shared" ca="1" si="32"/>
        <v>2.0634956857405418</v>
      </c>
      <c r="G555">
        <f t="shared" ca="1" si="33"/>
        <v>155.69038493382132</v>
      </c>
      <c r="H555">
        <f t="shared" ca="1" si="34"/>
        <v>55.690384933821321</v>
      </c>
      <c r="I555">
        <f t="shared" ca="1" si="35"/>
        <v>52.974332810822091</v>
      </c>
    </row>
    <row r="556" spans="5:9" x14ac:dyDescent="0.75">
      <c r="E556">
        <v>550</v>
      </c>
      <c r="F556">
        <f t="shared" ca="1" si="32"/>
        <v>1.3910879004593864</v>
      </c>
      <c r="G556">
        <f t="shared" ca="1" si="33"/>
        <v>136.0997082594215</v>
      </c>
      <c r="H556">
        <f t="shared" ca="1" si="34"/>
        <v>36.099708259421504</v>
      </c>
      <c r="I556">
        <f t="shared" ca="1" si="35"/>
        <v>34.339104712253189</v>
      </c>
    </row>
    <row r="557" spans="5:9" x14ac:dyDescent="0.75">
      <c r="E557">
        <v>551</v>
      </c>
      <c r="F557">
        <f t="shared" ca="1" si="32"/>
        <v>0.565577933048376</v>
      </c>
      <c r="G557">
        <f t="shared" ca="1" si="33"/>
        <v>115.38631650896308</v>
      </c>
      <c r="H557">
        <f t="shared" ca="1" si="34"/>
        <v>15.386316508963077</v>
      </c>
      <c r="I557">
        <f t="shared" ca="1" si="35"/>
        <v>14.635916998006783</v>
      </c>
    </row>
    <row r="558" spans="5:9" x14ac:dyDescent="0.75">
      <c r="E558">
        <v>552</v>
      </c>
      <c r="F558">
        <f t="shared" ca="1" si="32"/>
        <v>-0.25962997061874021</v>
      </c>
      <c r="G558">
        <f t="shared" ca="1" si="33"/>
        <v>97.831263325590328</v>
      </c>
      <c r="H558">
        <f t="shared" ca="1" si="34"/>
        <v>0</v>
      </c>
      <c r="I558">
        <f t="shared" ca="1" si="35"/>
        <v>0</v>
      </c>
    </row>
    <row r="559" spans="5:9" x14ac:dyDescent="0.75">
      <c r="E559">
        <v>553</v>
      </c>
      <c r="F559">
        <f t="shared" ca="1" si="32"/>
        <v>0.87130719913681942</v>
      </c>
      <c r="G559">
        <f t="shared" ca="1" si="33"/>
        <v>122.6618798546619</v>
      </c>
      <c r="H559">
        <f t="shared" ca="1" si="34"/>
        <v>22.661879854661905</v>
      </c>
      <c r="I559">
        <f t="shared" ca="1" si="35"/>
        <v>21.556646932254367</v>
      </c>
    </row>
    <row r="560" spans="5:9" x14ac:dyDescent="0.75">
      <c r="E560">
        <v>554</v>
      </c>
      <c r="F560">
        <f t="shared" ca="1" si="32"/>
        <v>-0.30199723006199009</v>
      </c>
      <c r="G560">
        <f t="shared" ca="1" si="33"/>
        <v>97.005797036032106</v>
      </c>
      <c r="H560">
        <f t="shared" ca="1" si="34"/>
        <v>0</v>
      </c>
      <c r="I560">
        <f t="shared" ca="1" si="35"/>
        <v>0</v>
      </c>
    </row>
    <row r="561" spans="5:9" x14ac:dyDescent="0.75">
      <c r="E561">
        <v>555</v>
      </c>
      <c r="F561">
        <f t="shared" ca="1" si="32"/>
        <v>-1.6736722660680183</v>
      </c>
      <c r="G561">
        <f t="shared" ca="1" si="33"/>
        <v>73.731914112633831</v>
      </c>
      <c r="H561">
        <f t="shared" ca="1" si="34"/>
        <v>0</v>
      </c>
      <c r="I561">
        <f t="shared" ca="1" si="35"/>
        <v>0</v>
      </c>
    </row>
    <row r="562" spans="5:9" x14ac:dyDescent="0.75">
      <c r="E562">
        <v>556</v>
      </c>
      <c r="F562">
        <f t="shared" ca="1" si="32"/>
        <v>-0.77658335452595506</v>
      </c>
      <c r="G562">
        <f t="shared" ca="1" si="33"/>
        <v>88.221748573555388</v>
      </c>
      <c r="H562">
        <f t="shared" ca="1" si="34"/>
        <v>0</v>
      </c>
      <c r="I562">
        <f t="shared" ca="1" si="35"/>
        <v>0</v>
      </c>
    </row>
    <row r="563" spans="5:9" x14ac:dyDescent="0.75">
      <c r="E563">
        <v>557</v>
      </c>
      <c r="F563">
        <f t="shared" ca="1" si="32"/>
        <v>0.62723850072485388</v>
      </c>
      <c r="G563">
        <f t="shared" ca="1" si="33"/>
        <v>116.81808387810602</v>
      </c>
      <c r="H563">
        <f t="shared" ca="1" si="34"/>
        <v>16.818083878106023</v>
      </c>
      <c r="I563">
        <f t="shared" ca="1" si="35"/>
        <v>15.997856248575529</v>
      </c>
    </row>
    <row r="564" spans="5:9" x14ac:dyDescent="0.75">
      <c r="E564">
        <v>558</v>
      </c>
      <c r="F564">
        <f t="shared" ca="1" si="32"/>
        <v>0.68249657785376294</v>
      </c>
      <c r="G564">
        <f t="shared" ca="1" si="33"/>
        <v>118.11627274477804</v>
      </c>
      <c r="H564">
        <f t="shared" ca="1" si="34"/>
        <v>18.116272744778044</v>
      </c>
      <c r="I564">
        <f t="shared" ca="1" si="35"/>
        <v>17.232731697113188</v>
      </c>
    </row>
    <row r="565" spans="5:9" x14ac:dyDescent="0.75">
      <c r="E565">
        <v>559</v>
      </c>
      <c r="F565">
        <f t="shared" ca="1" si="32"/>
        <v>-2.6777456700337571E-2</v>
      </c>
      <c r="G565">
        <f t="shared" ca="1" si="33"/>
        <v>102.49506946572001</v>
      </c>
      <c r="H565">
        <f t="shared" ca="1" si="34"/>
        <v>2.4950694657200074</v>
      </c>
      <c r="I565">
        <f t="shared" ca="1" si="35"/>
        <v>2.3733834919661465</v>
      </c>
    </row>
    <row r="566" spans="5:9" x14ac:dyDescent="0.75">
      <c r="E566">
        <v>560</v>
      </c>
      <c r="F566">
        <f t="shared" ca="1" si="32"/>
        <v>1.2033908873632209</v>
      </c>
      <c r="G566">
        <f t="shared" ca="1" si="33"/>
        <v>131.0853140424303</v>
      </c>
      <c r="H566">
        <f t="shared" ca="1" si="34"/>
        <v>31.085314042430298</v>
      </c>
      <c r="I566">
        <f t="shared" ca="1" si="35"/>
        <v>29.569265387004936</v>
      </c>
    </row>
    <row r="567" spans="5:9" x14ac:dyDescent="0.75">
      <c r="E567">
        <v>561</v>
      </c>
      <c r="F567">
        <f t="shared" ca="1" si="32"/>
        <v>1.5216391081646012</v>
      </c>
      <c r="G567">
        <f t="shared" ca="1" si="33"/>
        <v>139.70010356776436</v>
      </c>
      <c r="H567">
        <f t="shared" ca="1" si="34"/>
        <v>39.700103567764359</v>
      </c>
      <c r="I567">
        <f t="shared" ca="1" si="35"/>
        <v>37.763906669383232</v>
      </c>
    </row>
    <row r="568" spans="5:9" x14ac:dyDescent="0.75">
      <c r="E568">
        <v>562</v>
      </c>
      <c r="F568">
        <f t="shared" ca="1" si="32"/>
        <v>-0.3008474615460261</v>
      </c>
      <c r="G568">
        <f t="shared" ca="1" si="33"/>
        <v>97.028106443258793</v>
      </c>
      <c r="H568">
        <f t="shared" ca="1" si="34"/>
        <v>0</v>
      </c>
      <c r="I568">
        <f t="shared" ca="1" si="35"/>
        <v>0</v>
      </c>
    </row>
    <row r="569" spans="5:9" x14ac:dyDescent="0.75">
      <c r="E569">
        <v>563</v>
      </c>
      <c r="F569">
        <f t="shared" ca="1" si="32"/>
        <v>-2.0558818744803231</v>
      </c>
      <c r="G569">
        <f t="shared" ca="1" si="33"/>
        <v>68.3057404816184</v>
      </c>
      <c r="H569">
        <f t="shared" ca="1" si="34"/>
        <v>0</v>
      </c>
      <c r="I569">
        <f t="shared" ca="1" si="35"/>
        <v>0</v>
      </c>
    </row>
    <row r="570" spans="5:9" x14ac:dyDescent="0.75">
      <c r="E570">
        <v>564</v>
      </c>
      <c r="F570">
        <f t="shared" ca="1" si="32"/>
        <v>-0.95058877736555569</v>
      </c>
      <c r="G570">
        <f t="shared" ca="1" si="33"/>
        <v>85.204345027901368</v>
      </c>
      <c r="H570">
        <f t="shared" ca="1" si="34"/>
        <v>0</v>
      </c>
      <c r="I570">
        <f t="shared" ca="1" si="35"/>
        <v>0</v>
      </c>
    </row>
    <row r="571" spans="5:9" x14ac:dyDescent="0.75">
      <c r="E571">
        <v>565</v>
      </c>
      <c r="F571">
        <f t="shared" ca="1" si="32"/>
        <v>9.5926240587305089E-2</v>
      </c>
      <c r="G571">
        <f t="shared" ca="1" si="33"/>
        <v>105.04149201041697</v>
      </c>
      <c r="H571">
        <f t="shared" ca="1" si="34"/>
        <v>5.0414920104169738</v>
      </c>
      <c r="I571">
        <f t="shared" ca="1" si="35"/>
        <v>4.7956155436938861</v>
      </c>
    </row>
    <row r="572" spans="5:9" x14ac:dyDescent="0.75">
      <c r="E572">
        <v>566</v>
      </c>
      <c r="F572">
        <f t="shared" ca="1" si="32"/>
        <v>2.2002164177387196E-2</v>
      </c>
      <c r="G572">
        <f t="shared" ca="1" si="33"/>
        <v>103.49989713327913</v>
      </c>
      <c r="H572">
        <f t="shared" ca="1" si="34"/>
        <v>3.4998971332791342</v>
      </c>
      <c r="I572">
        <f t="shared" ca="1" si="35"/>
        <v>3.3292051359008097</v>
      </c>
    </row>
    <row r="573" spans="5:9" x14ac:dyDescent="0.75">
      <c r="E573">
        <v>567</v>
      </c>
      <c r="F573">
        <f t="shared" ca="1" si="32"/>
        <v>-1.2623651717076583</v>
      </c>
      <c r="G573">
        <f t="shared" ca="1" si="33"/>
        <v>80.053659345554806</v>
      </c>
      <c r="H573">
        <f t="shared" ca="1" si="34"/>
        <v>0</v>
      </c>
      <c r="I573">
        <f t="shared" ca="1" si="35"/>
        <v>0</v>
      </c>
    </row>
    <row r="574" spans="5:9" x14ac:dyDescent="0.75">
      <c r="E574">
        <v>568</v>
      </c>
      <c r="F574">
        <f t="shared" ca="1" si="32"/>
        <v>-4.8825843713858709E-2</v>
      </c>
      <c r="G574">
        <f t="shared" ca="1" si="33"/>
        <v>102.04409433221306</v>
      </c>
      <c r="H574">
        <f t="shared" ca="1" si="34"/>
        <v>2.0440943322130636</v>
      </c>
      <c r="I574">
        <f t="shared" ca="1" si="35"/>
        <v>1.9444026752562038</v>
      </c>
    </row>
    <row r="575" spans="5:9" x14ac:dyDescent="0.75">
      <c r="E575">
        <v>569</v>
      </c>
      <c r="F575">
        <f t="shared" ca="1" si="32"/>
        <v>0.75177493570027321</v>
      </c>
      <c r="G575">
        <f t="shared" ca="1" si="33"/>
        <v>119.76424353326888</v>
      </c>
      <c r="H575">
        <f t="shared" ca="1" si="34"/>
        <v>19.764243533268882</v>
      </c>
      <c r="I575">
        <f t="shared" ca="1" si="35"/>
        <v>18.800330001843317</v>
      </c>
    </row>
    <row r="576" spans="5:9" x14ac:dyDescent="0.75">
      <c r="E576">
        <v>570</v>
      </c>
      <c r="F576">
        <f t="shared" ca="1" si="32"/>
        <v>1.6020415716280763</v>
      </c>
      <c r="G576">
        <f t="shared" ca="1" si="33"/>
        <v>141.9647092512354</v>
      </c>
      <c r="H576">
        <f t="shared" ca="1" si="34"/>
        <v>41.964709251235405</v>
      </c>
      <c r="I576">
        <f t="shared" ca="1" si="35"/>
        <v>39.918066230392441</v>
      </c>
    </row>
    <row r="577" spans="5:9" x14ac:dyDescent="0.75">
      <c r="E577">
        <v>571</v>
      </c>
      <c r="F577">
        <f t="shared" ca="1" si="32"/>
        <v>1.1853634257853272</v>
      </c>
      <c r="G577">
        <f t="shared" ca="1" si="33"/>
        <v>130.61353795357053</v>
      </c>
      <c r="H577">
        <f t="shared" ca="1" si="34"/>
        <v>30.613537953570528</v>
      </c>
      <c r="I577">
        <f t="shared" ca="1" si="35"/>
        <v>29.120498089505659</v>
      </c>
    </row>
    <row r="578" spans="5:9" x14ac:dyDescent="0.75">
      <c r="E578">
        <v>572</v>
      </c>
      <c r="F578">
        <f t="shared" ca="1" si="32"/>
        <v>0.67413811518561995</v>
      </c>
      <c r="G578">
        <f t="shared" ca="1" si="33"/>
        <v>117.91898360286794</v>
      </c>
      <c r="H578">
        <f t="shared" ca="1" si="34"/>
        <v>17.918983602867939</v>
      </c>
      <c r="I578">
        <f t="shared" ca="1" si="35"/>
        <v>17.0450644601938</v>
      </c>
    </row>
    <row r="579" spans="5:9" x14ac:dyDescent="0.75">
      <c r="E579">
        <v>573</v>
      </c>
      <c r="F579">
        <f t="shared" ca="1" si="32"/>
        <v>-1.6009677764904444</v>
      </c>
      <c r="G579">
        <f t="shared" ca="1" si="33"/>
        <v>74.811875121613269</v>
      </c>
      <c r="H579">
        <f t="shared" ca="1" si="34"/>
        <v>0</v>
      </c>
      <c r="I579">
        <f t="shared" ca="1" si="35"/>
        <v>0</v>
      </c>
    </row>
    <row r="580" spans="5:9" x14ac:dyDescent="0.75">
      <c r="E580">
        <v>574</v>
      </c>
      <c r="F580">
        <f t="shared" ca="1" si="32"/>
        <v>2.5006665499315024</v>
      </c>
      <c r="G580">
        <f t="shared" ca="1" si="33"/>
        <v>169.91588083583412</v>
      </c>
      <c r="H580">
        <f t="shared" ca="1" si="34"/>
        <v>69.915880835834116</v>
      </c>
      <c r="I580">
        <f t="shared" ca="1" si="35"/>
        <v>66.506043090930987</v>
      </c>
    </row>
    <row r="581" spans="5:9" x14ac:dyDescent="0.75">
      <c r="E581">
        <v>575</v>
      </c>
      <c r="F581">
        <f t="shared" ca="1" si="32"/>
        <v>1.2374172218035742</v>
      </c>
      <c r="G581">
        <f t="shared" ca="1" si="33"/>
        <v>131.9804268759485</v>
      </c>
      <c r="H581">
        <f t="shared" ca="1" si="34"/>
        <v>31.980426875948496</v>
      </c>
      <c r="I581">
        <f t="shared" ca="1" si="35"/>
        <v>30.420723052495656</v>
      </c>
    </row>
    <row r="582" spans="5:9" x14ac:dyDescent="0.75">
      <c r="E582">
        <v>576</v>
      </c>
      <c r="F582">
        <f t="shared" ca="1" si="32"/>
        <v>2.0769168916915177</v>
      </c>
      <c r="G582">
        <f t="shared" ca="1" si="33"/>
        <v>156.1088568665146</v>
      </c>
      <c r="H582">
        <f t="shared" ca="1" si="34"/>
        <v>56.1088568665146</v>
      </c>
      <c r="I582">
        <f t="shared" ca="1" si="35"/>
        <v>53.37239562652762</v>
      </c>
    </row>
    <row r="583" spans="5:9" x14ac:dyDescent="0.75">
      <c r="E583">
        <v>577</v>
      </c>
      <c r="F583">
        <f t="shared" ca="1" si="32"/>
        <v>2.510112116147829E-2</v>
      </c>
      <c r="G583">
        <f t="shared" ca="1" si="33"/>
        <v>103.56406536249798</v>
      </c>
      <c r="H583">
        <f t="shared" ca="1" si="34"/>
        <v>3.5640653624979848</v>
      </c>
      <c r="I583">
        <f t="shared" ca="1" si="35"/>
        <v>3.3902438436518869</v>
      </c>
    </row>
    <row r="584" spans="5:9" x14ac:dyDescent="0.75">
      <c r="E584">
        <v>578</v>
      </c>
      <c r="F584">
        <f t="shared" ref="F584:F647" ca="1" si="36">NORMINV(RAND(), 0,1)</f>
        <v>-0.47513170941497418</v>
      </c>
      <c r="G584">
        <f t="shared" ref="G584:G647" ca="1" si="37">$C$5*EXP(($C$6-0.5*$C$7^2)*$C$8+$C$7*SQRT($C$8)*F584)</f>
        <v>93.704277958103503</v>
      </c>
      <c r="H584">
        <f t="shared" ref="H584:H647" ca="1" si="38">MAX(G584-$C$9,0)</f>
        <v>0</v>
      </c>
      <c r="I584">
        <f t="shared" ref="I584:I647" ca="1" si="39">EXP(-$C$6*$C$8)*H584</f>
        <v>0</v>
      </c>
    </row>
    <row r="585" spans="5:9" x14ac:dyDescent="0.75">
      <c r="E585">
        <v>579</v>
      </c>
      <c r="F585">
        <f t="shared" ca="1" si="36"/>
        <v>0.9568971578134311</v>
      </c>
      <c r="G585">
        <f t="shared" ca="1" si="37"/>
        <v>124.77967942413797</v>
      </c>
      <c r="H585">
        <f t="shared" ca="1" si="38"/>
        <v>24.779679424137967</v>
      </c>
      <c r="I585">
        <f t="shared" ca="1" si="39"/>
        <v>23.571160197934944</v>
      </c>
    </row>
    <row r="586" spans="5:9" x14ac:dyDescent="0.75">
      <c r="E586">
        <v>580</v>
      </c>
      <c r="F586">
        <f t="shared" ca="1" si="36"/>
        <v>1.3182694613585126</v>
      </c>
      <c r="G586">
        <f t="shared" ca="1" si="37"/>
        <v>134.13195822454585</v>
      </c>
      <c r="H586">
        <f t="shared" ca="1" si="38"/>
        <v>34.131958224545855</v>
      </c>
      <c r="I586">
        <f t="shared" ca="1" si="39"/>
        <v>32.467322979017169</v>
      </c>
    </row>
    <row r="587" spans="5:9" x14ac:dyDescent="0.75">
      <c r="E587">
        <v>581</v>
      </c>
      <c r="F587">
        <f t="shared" ca="1" si="36"/>
        <v>0.61757038635107431</v>
      </c>
      <c r="G587">
        <f t="shared" ca="1" si="37"/>
        <v>116.59242000366015</v>
      </c>
      <c r="H587">
        <f t="shared" ca="1" si="38"/>
        <v>16.592420003660152</v>
      </c>
      <c r="I587">
        <f t="shared" ca="1" si="39"/>
        <v>15.783198131155782</v>
      </c>
    </row>
    <row r="588" spans="5:9" x14ac:dyDescent="0.75">
      <c r="E588">
        <v>582</v>
      </c>
      <c r="F588">
        <f t="shared" ca="1" si="36"/>
        <v>-1.1956417477615406</v>
      </c>
      <c r="G588">
        <f t="shared" ca="1" si="37"/>
        <v>81.129110011118911</v>
      </c>
      <c r="H588">
        <f t="shared" ca="1" si="38"/>
        <v>0</v>
      </c>
      <c r="I588">
        <f t="shared" ca="1" si="39"/>
        <v>0</v>
      </c>
    </row>
    <row r="589" spans="5:9" x14ac:dyDescent="0.75">
      <c r="E589">
        <v>583</v>
      </c>
      <c r="F589">
        <f t="shared" ca="1" si="36"/>
        <v>-0.84163861256889139</v>
      </c>
      <c r="G589">
        <f t="shared" ca="1" si="37"/>
        <v>87.081325986657149</v>
      </c>
      <c r="H589">
        <f t="shared" ca="1" si="38"/>
        <v>0</v>
      </c>
      <c r="I589">
        <f t="shared" ca="1" si="39"/>
        <v>0</v>
      </c>
    </row>
    <row r="590" spans="5:9" x14ac:dyDescent="0.75">
      <c r="E590">
        <v>584</v>
      </c>
      <c r="F590">
        <f t="shared" ca="1" si="36"/>
        <v>2.1111768794523869</v>
      </c>
      <c r="G590">
        <f t="shared" ca="1" si="37"/>
        <v>157.18218740134444</v>
      </c>
      <c r="H590">
        <f t="shared" ca="1" si="38"/>
        <v>57.182187401344436</v>
      </c>
      <c r="I590">
        <f t="shared" ca="1" si="39"/>
        <v>54.393379213472848</v>
      </c>
    </row>
    <row r="591" spans="5:9" x14ac:dyDescent="0.75">
      <c r="E591">
        <v>585</v>
      </c>
      <c r="F591">
        <f t="shared" ca="1" si="36"/>
        <v>-1.053682183939219</v>
      </c>
      <c r="G591">
        <f t="shared" ca="1" si="37"/>
        <v>83.465531414407309</v>
      </c>
      <c r="H591">
        <f t="shared" ca="1" si="38"/>
        <v>0</v>
      </c>
      <c r="I591">
        <f t="shared" ca="1" si="39"/>
        <v>0</v>
      </c>
    </row>
    <row r="592" spans="5:9" x14ac:dyDescent="0.75">
      <c r="E592">
        <v>586</v>
      </c>
      <c r="F592">
        <f t="shared" ca="1" si="36"/>
        <v>0.80821943184609313</v>
      </c>
      <c r="G592">
        <f t="shared" ca="1" si="37"/>
        <v>121.12391013988344</v>
      </c>
      <c r="H592">
        <f t="shared" ca="1" si="38"/>
        <v>21.123910139883435</v>
      </c>
      <c r="I592">
        <f t="shared" ca="1" si="39"/>
        <v>20.093684885566116</v>
      </c>
    </row>
    <row r="593" spans="5:9" x14ac:dyDescent="0.75">
      <c r="E593">
        <v>587</v>
      </c>
      <c r="F593">
        <f t="shared" ca="1" si="36"/>
        <v>-1.307362158888193</v>
      </c>
      <c r="G593">
        <f t="shared" ca="1" si="37"/>
        <v>79.336456685243846</v>
      </c>
      <c r="H593">
        <f t="shared" ca="1" si="38"/>
        <v>0</v>
      </c>
      <c r="I593">
        <f t="shared" ca="1" si="39"/>
        <v>0</v>
      </c>
    </row>
    <row r="594" spans="5:9" x14ac:dyDescent="0.75">
      <c r="E594">
        <v>588</v>
      </c>
      <c r="F594">
        <f t="shared" ca="1" si="36"/>
        <v>-1.0552279679599139</v>
      </c>
      <c r="G594">
        <f t="shared" ca="1" si="37"/>
        <v>83.439731465779786</v>
      </c>
      <c r="H594">
        <f t="shared" ca="1" si="38"/>
        <v>0</v>
      </c>
      <c r="I594">
        <f t="shared" ca="1" si="39"/>
        <v>0</v>
      </c>
    </row>
    <row r="595" spans="5:9" x14ac:dyDescent="0.75">
      <c r="E595">
        <v>589</v>
      </c>
      <c r="F595">
        <f t="shared" ca="1" si="36"/>
        <v>0.1448601654727176</v>
      </c>
      <c r="G595">
        <f t="shared" ca="1" si="37"/>
        <v>106.07455745541283</v>
      </c>
      <c r="H595">
        <f t="shared" ca="1" si="38"/>
        <v>6.0745574554128297</v>
      </c>
      <c r="I595">
        <f t="shared" ca="1" si="39"/>
        <v>5.7782977924088677</v>
      </c>
    </row>
    <row r="596" spans="5:9" x14ac:dyDescent="0.75">
      <c r="E596">
        <v>590</v>
      </c>
      <c r="F596">
        <f t="shared" ca="1" si="36"/>
        <v>0.18949469792646159</v>
      </c>
      <c r="G596">
        <f t="shared" ca="1" si="37"/>
        <v>107.02571423825582</v>
      </c>
      <c r="H596">
        <f t="shared" ca="1" si="38"/>
        <v>7.0257142382558158</v>
      </c>
      <c r="I596">
        <f t="shared" ca="1" si="39"/>
        <v>6.6830661115625523</v>
      </c>
    </row>
    <row r="597" spans="5:9" x14ac:dyDescent="0.75">
      <c r="E597">
        <v>591</v>
      </c>
      <c r="F597">
        <f t="shared" ca="1" si="36"/>
        <v>1.1112271769902156</v>
      </c>
      <c r="G597">
        <f t="shared" ca="1" si="37"/>
        <v>128.69118522498729</v>
      </c>
      <c r="H597">
        <f t="shared" ca="1" si="38"/>
        <v>28.691185224987294</v>
      </c>
      <c r="I597">
        <f t="shared" ca="1" si="39"/>
        <v>27.291899609808052</v>
      </c>
    </row>
    <row r="598" spans="5:9" x14ac:dyDescent="0.75">
      <c r="E598">
        <v>592</v>
      </c>
      <c r="F598">
        <f t="shared" ca="1" si="36"/>
        <v>-1.2888985993419215</v>
      </c>
      <c r="G598">
        <f t="shared" ca="1" si="37"/>
        <v>79.629964950891363</v>
      </c>
      <c r="H598">
        <f t="shared" ca="1" si="38"/>
        <v>0</v>
      </c>
      <c r="I598">
        <f t="shared" ca="1" si="39"/>
        <v>0</v>
      </c>
    </row>
    <row r="599" spans="5:9" x14ac:dyDescent="0.75">
      <c r="E599">
        <v>593</v>
      </c>
      <c r="F599">
        <f t="shared" ca="1" si="36"/>
        <v>1.0797108990274285</v>
      </c>
      <c r="G599">
        <f t="shared" ca="1" si="37"/>
        <v>127.8825629457383</v>
      </c>
      <c r="H599">
        <f t="shared" ca="1" si="38"/>
        <v>27.8825629457383</v>
      </c>
      <c r="I599">
        <f t="shared" ca="1" si="39"/>
        <v>26.522714304479578</v>
      </c>
    </row>
    <row r="600" spans="5:9" x14ac:dyDescent="0.75">
      <c r="E600">
        <v>594</v>
      </c>
      <c r="F600">
        <f t="shared" ca="1" si="36"/>
        <v>0.57930098108354333</v>
      </c>
      <c r="G600">
        <f t="shared" ca="1" si="37"/>
        <v>115.70344189539259</v>
      </c>
      <c r="H600">
        <f t="shared" ca="1" si="38"/>
        <v>15.703441895392587</v>
      </c>
      <c r="I600">
        <f t="shared" ca="1" si="39"/>
        <v>14.937575996834692</v>
      </c>
    </row>
    <row r="601" spans="5:9" x14ac:dyDescent="0.75">
      <c r="E601">
        <v>595</v>
      </c>
      <c r="F601">
        <f t="shared" ca="1" si="36"/>
        <v>-2.5458166835592708</v>
      </c>
      <c r="G601">
        <f t="shared" ca="1" si="37"/>
        <v>61.930132178966815</v>
      </c>
      <c r="H601">
        <f t="shared" ca="1" si="38"/>
        <v>0</v>
      </c>
      <c r="I601">
        <f t="shared" ca="1" si="39"/>
        <v>0</v>
      </c>
    </row>
    <row r="602" spans="5:9" x14ac:dyDescent="0.75">
      <c r="E602">
        <v>596</v>
      </c>
      <c r="F602">
        <f t="shared" ca="1" si="36"/>
        <v>-1.0567029105663077</v>
      </c>
      <c r="G602">
        <f t="shared" ca="1" si="37"/>
        <v>83.415121332810628</v>
      </c>
      <c r="H602">
        <f t="shared" ca="1" si="38"/>
        <v>0</v>
      </c>
      <c r="I602">
        <f t="shared" ca="1" si="39"/>
        <v>0</v>
      </c>
    </row>
    <row r="603" spans="5:9" x14ac:dyDescent="0.75">
      <c r="E603">
        <v>597</v>
      </c>
      <c r="F603">
        <f t="shared" ca="1" si="36"/>
        <v>-0.68181596565262093</v>
      </c>
      <c r="G603">
        <f t="shared" ca="1" si="37"/>
        <v>89.909804253635301</v>
      </c>
      <c r="H603">
        <f t="shared" ca="1" si="38"/>
        <v>0</v>
      </c>
      <c r="I603">
        <f t="shared" ca="1" si="39"/>
        <v>0</v>
      </c>
    </row>
    <row r="604" spans="5:9" x14ac:dyDescent="0.75">
      <c r="E604">
        <v>598</v>
      </c>
      <c r="F604">
        <f t="shared" ca="1" si="36"/>
        <v>0.12695909611019671</v>
      </c>
      <c r="G604">
        <f t="shared" ca="1" si="37"/>
        <v>105.69546687090568</v>
      </c>
      <c r="H604">
        <f t="shared" ca="1" si="38"/>
        <v>5.6954668709056762</v>
      </c>
      <c r="I604">
        <f t="shared" ca="1" si="39"/>
        <v>5.4176956738744888</v>
      </c>
    </row>
    <row r="605" spans="5:9" x14ac:dyDescent="0.75">
      <c r="E605">
        <v>599</v>
      </c>
      <c r="F605">
        <f t="shared" ca="1" si="36"/>
        <v>-0.2444858111557342</v>
      </c>
      <c r="G605">
        <f t="shared" ca="1" si="37"/>
        <v>98.128026972772517</v>
      </c>
      <c r="H605">
        <f t="shared" ca="1" si="38"/>
        <v>0</v>
      </c>
      <c r="I605">
        <f t="shared" ca="1" si="39"/>
        <v>0</v>
      </c>
    </row>
    <row r="606" spans="5:9" x14ac:dyDescent="0.75">
      <c r="E606">
        <v>600</v>
      </c>
      <c r="F606">
        <f t="shared" ca="1" si="36"/>
        <v>0.59018902128256123</v>
      </c>
      <c r="G606">
        <f t="shared" ca="1" si="37"/>
        <v>115.95567317145135</v>
      </c>
      <c r="H606">
        <f t="shared" ca="1" si="38"/>
        <v>15.955673171451352</v>
      </c>
      <c r="I606">
        <f t="shared" ca="1" si="39"/>
        <v>15.177505808401152</v>
      </c>
    </row>
    <row r="607" spans="5:9" x14ac:dyDescent="0.75">
      <c r="E607">
        <v>601</v>
      </c>
      <c r="F607">
        <f t="shared" ca="1" si="36"/>
        <v>1.5541699847288695</v>
      </c>
      <c r="G607">
        <f t="shared" ca="1" si="37"/>
        <v>140.6119801305241</v>
      </c>
      <c r="H607">
        <f t="shared" ca="1" si="38"/>
        <v>40.611980130524103</v>
      </c>
      <c r="I607">
        <f t="shared" ca="1" si="39"/>
        <v>38.631310487392874</v>
      </c>
    </row>
    <row r="608" spans="5:9" x14ac:dyDescent="0.75">
      <c r="E608">
        <v>602</v>
      </c>
      <c r="F608">
        <f t="shared" ca="1" si="36"/>
        <v>0.51081060667843647</v>
      </c>
      <c r="G608">
        <f t="shared" ca="1" si="37"/>
        <v>114.12933322689909</v>
      </c>
      <c r="H608">
        <f t="shared" ca="1" si="38"/>
        <v>14.129333226899092</v>
      </c>
      <c r="I608">
        <f t="shared" ca="1" si="39"/>
        <v>13.440237514002041</v>
      </c>
    </row>
    <row r="609" spans="5:9" x14ac:dyDescent="0.75">
      <c r="E609">
        <v>603</v>
      </c>
      <c r="F609">
        <f t="shared" ca="1" si="36"/>
        <v>2.692327358361954</v>
      </c>
      <c r="G609">
        <f t="shared" ca="1" si="37"/>
        <v>176.55556764254675</v>
      </c>
      <c r="H609">
        <f t="shared" ca="1" si="38"/>
        <v>76.555567642546748</v>
      </c>
      <c r="I609">
        <f t="shared" ca="1" si="39"/>
        <v>72.821908550945224</v>
      </c>
    </row>
    <row r="610" spans="5:9" x14ac:dyDescent="0.75">
      <c r="E610">
        <v>604</v>
      </c>
      <c r="F610">
        <f t="shared" ca="1" si="36"/>
        <v>-1.0895805249031725</v>
      </c>
      <c r="G610">
        <f t="shared" ca="1" si="37"/>
        <v>82.86842267957222</v>
      </c>
      <c r="H610">
        <f t="shared" ca="1" si="38"/>
        <v>0</v>
      </c>
      <c r="I610">
        <f t="shared" ca="1" si="39"/>
        <v>0</v>
      </c>
    </row>
    <row r="611" spans="5:9" x14ac:dyDescent="0.75">
      <c r="E611">
        <v>605</v>
      </c>
      <c r="F611">
        <f t="shared" ca="1" si="36"/>
        <v>-0.3710427148924425</v>
      </c>
      <c r="G611">
        <f t="shared" ca="1" si="37"/>
        <v>95.675441225207948</v>
      </c>
      <c r="H611">
        <f t="shared" ca="1" si="38"/>
        <v>0</v>
      </c>
      <c r="I611">
        <f t="shared" ca="1" si="39"/>
        <v>0</v>
      </c>
    </row>
    <row r="612" spans="5:9" x14ac:dyDescent="0.75">
      <c r="E612">
        <v>606</v>
      </c>
      <c r="F612">
        <f t="shared" ca="1" si="36"/>
        <v>-0.99715651241544034</v>
      </c>
      <c r="G612">
        <f t="shared" ca="1" si="37"/>
        <v>84.414474313626911</v>
      </c>
      <c r="H612">
        <f t="shared" ca="1" si="38"/>
        <v>0</v>
      </c>
      <c r="I612">
        <f t="shared" ca="1" si="39"/>
        <v>0</v>
      </c>
    </row>
    <row r="613" spans="5:9" x14ac:dyDescent="0.75">
      <c r="E613">
        <v>607</v>
      </c>
      <c r="F613">
        <f t="shared" ca="1" si="36"/>
        <v>0.66008759394237271</v>
      </c>
      <c r="G613">
        <f t="shared" ca="1" si="37"/>
        <v>117.58808411482843</v>
      </c>
      <c r="H613">
        <f t="shared" ca="1" si="38"/>
        <v>17.588084114828433</v>
      </c>
      <c r="I613">
        <f t="shared" ca="1" si="39"/>
        <v>16.730303130618399</v>
      </c>
    </row>
    <row r="614" spans="5:9" x14ac:dyDescent="0.75">
      <c r="E614">
        <v>608</v>
      </c>
      <c r="F614">
        <f t="shared" ca="1" si="36"/>
        <v>-1.4844209423687256</v>
      </c>
      <c r="G614">
        <f t="shared" ca="1" si="37"/>
        <v>76.5761750367313</v>
      </c>
      <c r="H614">
        <f t="shared" ca="1" si="38"/>
        <v>0</v>
      </c>
      <c r="I614">
        <f t="shared" ca="1" si="39"/>
        <v>0</v>
      </c>
    </row>
    <row r="615" spans="5:9" x14ac:dyDescent="0.75">
      <c r="E615">
        <v>609</v>
      </c>
      <c r="F615">
        <f t="shared" ca="1" si="36"/>
        <v>1.8204393194613693</v>
      </c>
      <c r="G615">
        <f t="shared" ca="1" si="37"/>
        <v>148.30308478130257</v>
      </c>
      <c r="H615">
        <f t="shared" ca="1" si="38"/>
        <v>48.303084781302573</v>
      </c>
      <c r="I615">
        <f t="shared" ca="1" si="39"/>
        <v>45.947315538127647</v>
      </c>
    </row>
    <row r="616" spans="5:9" x14ac:dyDescent="0.75">
      <c r="E616">
        <v>610</v>
      </c>
      <c r="F616">
        <f t="shared" ca="1" si="36"/>
        <v>0.22426034770927478</v>
      </c>
      <c r="G616">
        <f t="shared" ca="1" si="37"/>
        <v>107.77247107816783</v>
      </c>
      <c r="H616">
        <f t="shared" ca="1" si="38"/>
        <v>7.7724710781678255</v>
      </c>
      <c r="I616">
        <f t="shared" ca="1" si="39"/>
        <v>7.3934031906340252</v>
      </c>
    </row>
    <row r="617" spans="5:9" x14ac:dyDescent="0.75">
      <c r="E617">
        <v>611</v>
      </c>
      <c r="F617">
        <f t="shared" ca="1" si="36"/>
        <v>-0.97026869499287571</v>
      </c>
      <c r="G617">
        <f t="shared" ca="1" si="37"/>
        <v>84.869641255941289</v>
      </c>
      <c r="H617">
        <f t="shared" ca="1" si="38"/>
        <v>0</v>
      </c>
      <c r="I617">
        <f t="shared" ca="1" si="39"/>
        <v>0</v>
      </c>
    </row>
    <row r="618" spans="5:9" x14ac:dyDescent="0.75">
      <c r="E618">
        <v>612</v>
      </c>
      <c r="F618">
        <f t="shared" ca="1" si="36"/>
        <v>-0.12489826710816833</v>
      </c>
      <c r="G618">
        <f t="shared" ca="1" si="37"/>
        <v>100.50329696334465</v>
      </c>
      <c r="H618">
        <f t="shared" ca="1" si="38"/>
        <v>0.50329696334465268</v>
      </c>
      <c r="I618">
        <f t="shared" ca="1" si="39"/>
        <v>0.47875088079529093</v>
      </c>
    </row>
    <row r="619" spans="5:9" x14ac:dyDescent="0.75">
      <c r="E619">
        <v>613</v>
      </c>
      <c r="F619">
        <f t="shared" ca="1" si="36"/>
        <v>-0.15279891615783683</v>
      </c>
      <c r="G619">
        <f t="shared" ca="1" si="37"/>
        <v>99.944037341783456</v>
      </c>
      <c r="H619">
        <f t="shared" ca="1" si="38"/>
        <v>0</v>
      </c>
      <c r="I619">
        <f t="shared" ca="1" si="39"/>
        <v>0</v>
      </c>
    </row>
    <row r="620" spans="5:9" x14ac:dyDescent="0.75">
      <c r="E620">
        <v>614</v>
      </c>
      <c r="F620">
        <f t="shared" ca="1" si="36"/>
        <v>3.4597040768543461E-2</v>
      </c>
      <c r="G620">
        <f t="shared" ca="1" si="37"/>
        <v>103.76093946115654</v>
      </c>
      <c r="H620">
        <f t="shared" ca="1" si="38"/>
        <v>3.7609394611565392</v>
      </c>
      <c r="I620">
        <f t="shared" ca="1" si="39"/>
        <v>3.5775162792179604</v>
      </c>
    </row>
    <row r="621" spans="5:9" x14ac:dyDescent="0.75">
      <c r="E621">
        <v>615</v>
      </c>
      <c r="F621">
        <f t="shared" ca="1" si="36"/>
        <v>-1.519558184457229</v>
      </c>
      <c r="G621">
        <f t="shared" ca="1" si="37"/>
        <v>76.039926353502423</v>
      </c>
      <c r="H621">
        <f t="shared" ca="1" si="38"/>
        <v>0</v>
      </c>
      <c r="I621">
        <f t="shared" ca="1" si="39"/>
        <v>0</v>
      </c>
    </row>
    <row r="622" spans="5:9" x14ac:dyDescent="0.75">
      <c r="E622">
        <v>616</v>
      </c>
      <c r="F622">
        <f t="shared" ca="1" si="36"/>
        <v>-1.9423146480229585</v>
      </c>
      <c r="G622">
        <f t="shared" ca="1" si="37"/>
        <v>69.874952827978944</v>
      </c>
      <c r="H622">
        <f t="shared" ca="1" si="38"/>
        <v>0</v>
      </c>
      <c r="I622">
        <f t="shared" ca="1" si="39"/>
        <v>0</v>
      </c>
    </row>
    <row r="623" spans="5:9" x14ac:dyDescent="0.75">
      <c r="E623">
        <v>617</v>
      </c>
      <c r="F623">
        <f t="shared" ca="1" si="36"/>
        <v>-0.39515803931637039</v>
      </c>
      <c r="G623">
        <f t="shared" ca="1" si="37"/>
        <v>95.215103376318183</v>
      </c>
      <c r="H623">
        <f t="shared" ca="1" si="38"/>
        <v>0</v>
      </c>
      <c r="I623">
        <f t="shared" ca="1" si="39"/>
        <v>0</v>
      </c>
    </row>
    <row r="624" spans="5:9" x14ac:dyDescent="0.75">
      <c r="E624">
        <v>618</v>
      </c>
      <c r="F624">
        <f t="shared" ca="1" si="36"/>
        <v>-0.37487658096139581</v>
      </c>
      <c r="G624">
        <f t="shared" ca="1" si="37"/>
        <v>95.602107978236546</v>
      </c>
      <c r="H624">
        <f t="shared" ca="1" si="38"/>
        <v>0</v>
      </c>
      <c r="I624">
        <f t="shared" ca="1" si="39"/>
        <v>0</v>
      </c>
    </row>
    <row r="625" spans="5:9" x14ac:dyDescent="0.75">
      <c r="E625">
        <v>619</v>
      </c>
      <c r="F625">
        <f t="shared" ca="1" si="36"/>
        <v>0.85943951333466373</v>
      </c>
      <c r="G625">
        <f t="shared" ca="1" si="37"/>
        <v>122.3710825702604</v>
      </c>
      <c r="H625">
        <f t="shared" ca="1" si="38"/>
        <v>22.371082570260398</v>
      </c>
      <c r="I625">
        <f t="shared" ca="1" si="39"/>
        <v>21.280031998766752</v>
      </c>
    </row>
    <row r="626" spans="5:9" x14ac:dyDescent="0.75">
      <c r="E626">
        <v>620</v>
      </c>
      <c r="F626">
        <f t="shared" ca="1" si="36"/>
        <v>-1.4351879710293953</v>
      </c>
      <c r="G626">
        <f t="shared" ca="1" si="37"/>
        <v>77.333914014810361</v>
      </c>
      <c r="H626">
        <f t="shared" ca="1" si="38"/>
        <v>0</v>
      </c>
      <c r="I626">
        <f t="shared" ca="1" si="39"/>
        <v>0</v>
      </c>
    </row>
    <row r="627" spans="5:9" x14ac:dyDescent="0.75">
      <c r="E627">
        <v>621</v>
      </c>
      <c r="F627">
        <f t="shared" ca="1" si="36"/>
        <v>0.29577257628763998</v>
      </c>
      <c r="G627">
        <f t="shared" ca="1" si="37"/>
        <v>109.32495670147446</v>
      </c>
      <c r="H627">
        <f t="shared" ca="1" si="38"/>
        <v>9.3249567014744628</v>
      </c>
      <c r="I627">
        <f t="shared" ca="1" si="39"/>
        <v>8.87017319663763</v>
      </c>
    </row>
    <row r="628" spans="5:9" x14ac:dyDescent="0.75">
      <c r="E628">
        <v>622</v>
      </c>
      <c r="F628">
        <f t="shared" ca="1" si="36"/>
        <v>0.49043884660900094</v>
      </c>
      <c r="G628">
        <f t="shared" ca="1" si="37"/>
        <v>113.66527615611169</v>
      </c>
      <c r="H628">
        <f t="shared" ca="1" si="38"/>
        <v>13.665276156111688</v>
      </c>
      <c r="I628">
        <f t="shared" ca="1" si="39"/>
        <v>12.99881277362145</v>
      </c>
    </row>
    <row r="629" spans="5:9" x14ac:dyDescent="0.75">
      <c r="E629">
        <v>623</v>
      </c>
      <c r="F629">
        <f t="shared" ca="1" si="36"/>
        <v>-1.7789262912543817</v>
      </c>
      <c r="G629">
        <f t="shared" ca="1" si="37"/>
        <v>72.196020578405168</v>
      </c>
      <c r="H629">
        <f t="shared" ca="1" si="38"/>
        <v>0</v>
      </c>
      <c r="I629">
        <f t="shared" ca="1" si="39"/>
        <v>0</v>
      </c>
    </row>
    <row r="630" spans="5:9" x14ac:dyDescent="0.75">
      <c r="E630">
        <v>624</v>
      </c>
      <c r="F630">
        <f t="shared" ca="1" si="36"/>
        <v>0.42950959376274683</v>
      </c>
      <c r="G630">
        <f t="shared" ca="1" si="37"/>
        <v>112.28857326986288</v>
      </c>
      <c r="H630">
        <f t="shared" ca="1" si="38"/>
        <v>12.28857326986288</v>
      </c>
      <c r="I630">
        <f t="shared" ca="1" si="39"/>
        <v>11.689252479426525</v>
      </c>
    </row>
    <row r="631" spans="5:9" x14ac:dyDescent="0.75">
      <c r="E631">
        <v>625</v>
      </c>
      <c r="F631">
        <f t="shared" ca="1" si="36"/>
        <v>-0.76108897215391047</v>
      </c>
      <c r="G631">
        <f t="shared" ca="1" si="37"/>
        <v>88.495560910927452</v>
      </c>
      <c r="H631">
        <f t="shared" ca="1" si="38"/>
        <v>0</v>
      </c>
      <c r="I631">
        <f t="shared" ca="1" si="39"/>
        <v>0</v>
      </c>
    </row>
    <row r="632" spans="5:9" x14ac:dyDescent="0.75">
      <c r="E632">
        <v>626</v>
      </c>
      <c r="F632">
        <f t="shared" ca="1" si="36"/>
        <v>-1.0773676551737419</v>
      </c>
      <c r="G632">
        <f t="shared" ca="1" si="37"/>
        <v>83.07108233458419</v>
      </c>
      <c r="H632">
        <f t="shared" ca="1" si="38"/>
        <v>0</v>
      </c>
      <c r="I632">
        <f t="shared" ca="1" si="39"/>
        <v>0</v>
      </c>
    </row>
    <row r="633" spans="5:9" x14ac:dyDescent="0.75">
      <c r="E633">
        <v>627</v>
      </c>
      <c r="F633">
        <f t="shared" ca="1" si="36"/>
        <v>0.81392633172794415</v>
      </c>
      <c r="G633">
        <f t="shared" ca="1" si="37"/>
        <v>121.26223747258351</v>
      </c>
      <c r="H633">
        <f t="shared" ca="1" si="38"/>
        <v>21.262237472583507</v>
      </c>
      <c r="I633">
        <f t="shared" ca="1" si="39"/>
        <v>20.225265914643124</v>
      </c>
    </row>
    <row r="634" spans="5:9" x14ac:dyDescent="0.75">
      <c r="E634">
        <v>628</v>
      </c>
      <c r="F634">
        <f t="shared" ca="1" si="36"/>
        <v>-1.0471853466050187</v>
      </c>
      <c r="G634">
        <f t="shared" ca="1" si="37"/>
        <v>83.574054300814936</v>
      </c>
      <c r="H634">
        <f t="shared" ca="1" si="38"/>
        <v>0</v>
      </c>
      <c r="I634">
        <f t="shared" ca="1" si="39"/>
        <v>0</v>
      </c>
    </row>
    <row r="635" spans="5:9" x14ac:dyDescent="0.75">
      <c r="E635">
        <v>629</v>
      </c>
      <c r="F635">
        <f t="shared" ca="1" si="36"/>
        <v>0.80845454993228683</v>
      </c>
      <c r="G635">
        <f t="shared" ca="1" si="37"/>
        <v>121.12960595819027</v>
      </c>
      <c r="H635">
        <f t="shared" ca="1" si="38"/>
        <v>21.129605958190268</v>
      </c>
      <c r="I635">
        <f t="shared" ca="1" si="39"/>
        <v>20.099102915536186</v>
      </c>
    </row>
    <row r="636" spans="5:9" x14ac:dyDescent="0.75">
      <c r="E636">
        <v>630</v>
      </c>
      <c r="F636">
        <f t="shared" ca="1" si="36"/>
        <v>0.85888457989768785</v>
      </c>
      <c r="G636">
        <f t="shared" ca="1" si="37"/>
        <v>122.3575017628313</v>
      </c>
      <c r="H636">
        <f t="shared" ca="1" si="38"/>
        <v>22.357501762831305</v>
      </c>
      <c r="I636">
        <f t="shared" ca="1" si="39"/>
        <v>21.26711353513172</v>
      </c>
    </row>
    <row r="637" spans="5:9" x14ac:dyDescent="0.75">
      <c r="E637">
        <v>631</v>
      </c>
      <c r="F637">
        <f t="shared" ca="1" si="36"/>
        <v>3.1873835049127684E-2</v>
      </c>
      <c r="G637">
        <f t="shared" ca="1" si="37"/>
        <v>103.70444237111447</v>
      </c>
      <c r="H637">
        <f t="shared" ca="1" si="38"/>
        <v>3.7044423711144674</v>
      </c>
      <c r="I637">
        <f t="shared" ca="1" si="39"/>
        <v>3.5237745847712754</v>
      </c>
    </row>
    <row r="638" spans="5:9" x14ac:dyDescent="0.75">
      <c r="E638">
        <v>632</v>
      </c>
      <c r="F638">
        <f t="shared" ca="1" si="36"/>
        <v>0.23125781387920039</v>
      </c>
      <c r="G638">
        <f t="shared" ca="1" si="37"/>
        <v>107.92340351207716</v>
      </c>
      <c r="H638">
        <f t="shared" ca="1" si="38"/>
        <v>7.923403512077158</v>
      </c>
      <c r="I638">
        <f t="shared" ca="1" si="39"/>
        <v>7.5369745628800908</v>
      </c>
    </row>
    <row r="639" spans="5:9" x14ac:dyDescent="0.75">
      <c r="E639">
        <v>633</v>
      </c>
      <c r="F639">
        <f t="shared" ca="1" si="36"/>
        <v>-0.1586312905571329</v>
      </c>
      <c r="G639">
        <f t="shared" ca="1" si="37"/>
        <v>99.827523101511147</v>
      </c>
      <c r="H639">
        <f t="shared" ca="1" si="38"/>
        <v>0</v>
      </c>
      <c r="I639">
        <f t="shared" ca="1" si="39"/>
        <v>0</v>
      </c>
    </row>
    <row r="640" spans="5:9" x14ac:dyDescent="0.75">
      <c r="E640">
        <v>634</v>
      </c>
      <c r="F640">
        <f t="shared" ca="1" si="36"/>
        <v>0.20039942983177733</v>
      </c>
      <c r="G640">
        <f t="shared" ca="1" si="37"/>
        <v>107.25938630290402</v>
      </c>
      <c r="H640">
        <f t="shared" ca="1" si="38"/>
        <v>7.2593863029040193</v>
      </c>
      <c r="I640">
        <f t="shared" ca="1" si="39"/>
        <v>6.9053418551397563</v>
      </c>
    </row>
    <row r="641" spans="5:9" x14ac:dyDescent="0.75">
      <c r="E641">
        <v>635</v>
      </c>
      <c r="F641">
        <f t="shared" ca="1" si="36"/>
        <v>-0.52368741116349837</v>
      </c>
      <c r="G641">
        <f t="shared" ca="1" si="37"/>
        <v>92.798706744799816</v>
      </c>
      <c r="H641">
        <f t="shared" ca="1" si="38"/>
        <v>0</v>
      </c>
      <c r="I641">
        <f t="shared" ca="1" si="39"/>
        <v>0</v>
      </c>
    </row>
    <row r="642" spans="5:9" x14ac:dyDescent="0.75">
      <c r="E642">
        <v>636</v>
      </c>
      <c r="F642">
        <f t="shared" ca="1" si="36"/>
        <v>0.87683372654366054</v>
      </c>
      <c r="G642">
        <f t="shared" ca="1" si="37"/>
        <v>122.79753365845596</v>
      </c>
      <c r="H642">
        <f t="shared" ca="1" si="38"/>
        <v>22.797533658455961</v>
      </c>
      <c r="I642">
        <f t="shared" ca="1" si="39"/>
        <v>21.685684821968721</v>
      </c>
    </row>
    <row r="643" spans="5:9" x14ac:dyDescent="0.75">
      <c r="E643">
        <v>637</v>
      </c>
      <c r="F643">
        <f t="shared" ca="1" si="36"/>
        <v>-2.2113320924425615E-2</v>
      </c>
      <c r="G643">
        <f t="shared" ca="1" si="37"/>
        <v>102.59072425754729</v>
      </c>
      <c r="H643">
        <f t="shared" ca="1" si="38"/>
        <v>2.5907242575472935</v>
      </c>
      <c r="I643">
        <f t="shared" ca="1" si="39"/>
        <v>2.4643731445467516</v>
      </c>
    </row>
    <row r="644" spans="5:9" x14ac:dyDescent="0.75">
      <c r="E644">
        <v>638</v>
      </c>
      <c r="F644">
        <f t="shared" ca="1" si="36"/>
        <v>-0.16029287525059868</v>
      </c>
      <c r="G644">
        <f t="shared" ca="1" si="37"/>
        <v>99.794354236229879</v>
      </c>
      <c r="H644">
        <f t="shared" ca="1" si="38"/>
        <v>0</v>
      </c>
      <c r="I644">
        <f t="shared" ca="1" si="39"/>
        <v>0</v>
      </c>
    </row>
    <row r="645" spans="5:9" x14ac:dyDescent="0.75">
      <c r="E645">
        <v>639</v>
      </c>
      <c r="F645">
        <f t="shared" ca="1" si="36"/>
        <v>-1.8160085588958075</v>
      </c>
      <c r="G645">
        <f t="shared" ca="1" si="37"/>
        <v>71.662562774545009</v>
      </c>
      <c r="H645">
        <f t="shared" ca="1" si="38"/>
        <v>0</v>
      </c>
      <c r="I645">
        <f t="shared" ca="1" si="39"/>
        <v>0</v>
      </c>
    </row>
    <row r="646" spans="5:9" x14ac:dyDescent="0.75">
      <c r="E646">
        <v>640</v>
      </c>
      <c r="F646">
        <f t="shared" ca="1" si="36"/>
        <v>2.3929236226804033E-2</v>
      </c>
      <c r="G646">
        <f t="shared" ca="1" si="37"/>
        <v>103.53979517320163</v>
      </c>
      <c r="H646">
        <f t="shared" ca="1" si="38"/>
        <v>3.5397951732016253</v>
      </c>
      <c r="I646">
        <f t="shared" ca="1" si="39"/>
        <v>3.3671573254549871</v>
      </c>
    </row>
    <row r="647" spans="5:9" x14ac:dyDescent="0.75">
      <c r="E647">
        <v>641</v>
      </c>
      <c r="F647">
        <f t="shared" ca="1" si="36"/>
        <v>0.22945490438665533</v>
      </c>
      <c r="G647">
        <f t="shared" ca="1" si="37"/>
        <v>107.88449530156498</v>
      </c>
      <c r="H647">
        <f t="shared" ca="1" si="38"/>
        <v>7.8844953015649821</v>
      </c>
      <c r="I647">
        <f t="shared" ca="1" si="39"/>
        <v>7.4999639281862418</v>
      </c>
    </row>
    <row r="648" spans="5:9" x14ac:dyDescent="0.75">
      <c r="E648">
        <v>642</v>
      </c>
      <c r="F648">
        <f t="shared" ref="F648:F711" ca="1" si="40">NORMINV(RAND(), 0,1)</f>
        <v>-1.0038819174428457</v>
      </c>
      <c r="G648">
        <f t="shared" ref="G648:G711" ca="1" si="41">$C$5*EXP(($C$6-0.5*$C$7^2)*$C$8+$C$7*SQRT($C$8)*F648)</f>
        <v>84.301006336557919</v>
      </c>
      <c r="H648">
        <f t="shared" ref="H648:H711" ca="1" si="42">MAX(G648-$C$9,0)</f>
        <v>0</v>
      </c>
      <c r="I648">
        <f t="shared" ref="I648:I711" ca="1" si="43">EXP(-$C$6*$C$8)*H648</f>
        <v>0</v>
      </c>
    </row>
    <row r="649" spans="5:9" x14ac:dyDescent="0.75">
      <c r="E649">
        <v>643</v>
      </c>
      <c r="F649">
        <f t="shared" ca="1" si="40"/>
        <v>-1.1448117003981251</v>
      </c>
      <c r="G649">
        <f t="shared" ca="1" si="41"/>
        <v>81.958075809783054</v>
      </c>
      <c r="H649">
        <f t="shared" ca="1" si="42"/>
        <v>0</v>
      </c>
      <c r="I649">
        <f t="shared" ca="1" si="43"/>
        <v>0</v>
      </c>
    </row>
    <row r="650" spans="5:9" x14ac:dyDescent="0.75">
      <c r="E650">
        <v>644</v>
      </c>
      <c r="F650">
        <f t="shared" ca="1" si="40"/>
        <v>0.96643804511292619</v>
      </c>
      <c r="G650">
        <f t="shared" ca="1" si="41"/>
        <v>125.01800851064817</v>
      </c>
      <c r="H650">
        <f t="shared" ca="1" si="42"/>
        <v>25.018008510648173</v>
      </c>
      <c r="I650">
        <f t="shared" ca="1" si="43"/>
        <v>23.797865837737827</v>
      </c>
    </row>
    <row r="651" spans="5:9" x14ac:dyDescent="0.75">
      <c r="E651">
        <v>645</v>
      </c>
      <c r="F651">
        <f t="shared" ca="1" si="40"/>
        <v>-0.60208191058553562</v>
      </c>
      <c r="G651">
        <f t="shared" ca="1" si="41"/>
        <v>91.355071988440329</v>
      </c>
      <c r="H651">
        <f t="shared" ca="1" si="42"/>
        <v>0</v>
      </c>
      <c r="I651">
        <f t="shared" ca="1" si="43"/>
        <v>0</v>
      </c>
    </row>
    <row r="652" spans="5:9" x14ac:dyDescent="0.75">
      <c r="E652">
        <v>646</v>
      </c>
      <c r="F652">
        <f t="shared" ca="1" si="40"/>
        <v>-2.1566710447430526</v>
      </c>
      <c r="G652">
        <f t="shared" ca="1" si="41"/>
        <v>66.942629538942199</v>
      </c>
      <c r="H652">
        <f t="shared" ca="1" si="42"/>
        <v>0</v>
      </c>
      <c r="I652">
        <f t="shared" ca="1" si="43"/>
        <v>0</v>
      </c>
    </row>
    <row r="653" spans="5:9" x14ac:dyDescent="0.75">
      <c r="E653">
        <v>647</v>
      </c>
      <c r="F653">
        <f t="shared" ca="1" si="40"/>
        <v>-0.54754268550284346</v>
      </c>
      <c r="G653">
        <f t="shared" ca="1" si="41"/>
        <v>92.357013532382297</v>
      </c>
      <c r="H653">
        <f t="shared" ca="1" si="42"/>
        <v>0</v>
      </c>
      <c r="I653">
        <f t="shared" ca="1" si="43"/>
        <v>0</v>
      </c>
    </row>
    <row r="654" spans="5:9" x14ac:dyDescent="0.75">
      <c r="E654">
        <v>648</v>
      </c>
      <c r="F654">
        <f t="shared" ca="1" si="40"/>
        <v>-1.0237382190304654</v>
      </c>
      <c r="G654">
        <f t="shared" ca="1" si="41"/>
        <v>83.966888968000873</v>
      </c>
      <c r="H654">
        <f t="shared" ca="1" si="42"/>
        <v>0</v>
      </c>
      <c r="I654">
        <f t="shared" ca="1" si="43"/>
        <v>0</v>
      </c>
    </row>
    <row r="655" spans="5:9" x14ac:dyDescent="0.75">
      <c r="E655">
        <v>649</v>
      </c>
      <c r="F655">
        <f t="shared" ca="1" si="40"/>
        <v>-1.4984410227805052</v>
      </c>
      <c r="G655">
        <f t="shared" ca="1" si="41"/>
        <v>76.361754969551271</v>
      </c>
      <c r="H655">
        <f t="shared" ca="1" si="42"/>
        <v>0</v>
      </c>
      <c r="I655">
        <f t="shared" ca="1" si="43"/>
        <v>0</v>
      </c>
    </row>
    <row r="656" spans="5:9" x14ac:dyDescent="0.75">
      <c r="E656">
        <v>650</v>
      </c>
      <c r="F656">
        <f t="shared" ca="1" si="40"/>
        <v>-0.59486973505347851</v>
      </c>
      <c r="G656">
        <f t="shared" ca="1" si="41"/>
        <v>91.486940834687758</v>
      </c>
      <c r="H656">
        <f t="shared" ca="1" si="42"/>
        <v>0</v>
      </c>
      <c r="I656">
        <f t="shared" ca="1" si="43"/>
        <v>0</v>
      </c>
    </row>
    <row r="657" spans="5:9" x14ac:dyDescent="0.75">
      <c r="E657">
        <v>651</v>
      </c>
      <c r="F657">
        <f t="shared" ca="1" si="40"/>
        <v>-3.2482632290681597</v>
      </c>
      <c r="G657">
        <f t="shared" ca="1" si="41"/>
        <v>53.813132730368871</v>
      </c>
      <c r="H657">
        <f t="shared" ca="1" si="42"/>
        <v>0</v>
      </c>
      <c r="I657">
        <f t="shared" ca="1" si="43"/>
        <v>0</v>
      </c>
    </row>
    <row r="658" spans="5:9" x14ac:dyDescent="0.75">
      <c r="E658">
        <v>652</v>
      </c>
      <c r="F658">
        <f t="shared" ca="1" si="40"/>
        <v>0.29529039360353665</v>
      </c>
      <c r="G658">
        <f t="shared" ca="1" si="41"/>
        <v>109.31441428960711</v>
      </c>
      <c r="H658">
        <f t="shared" ca="1" si="42"/>
        <v>9.3144142896071145</v>
      </c>
      <c r="I658">
        <f t="shared" ca="1" si="43"/>
        <v>8.8601449442642028</v>
      </c>
    </row>
    <row r="659" spans="5:9" x14ac:dyDescent="0.75">
      <c r="E659">
        <v>653</v>
      </c>
      <c r="F659">
        <f t="shared" ca="1" si="40"/>
        <v>-0.15929814980719156</v>
      </c>
      <c r="G659">
        <f t="shared" ca="1" si="41"/>
        <v>99.81420980790206</v>
      </c>
      <c r="H659">
        <f t="shared" ca="1" si="42"/>
        <v>0</v>
      </c>
      <c r="I659">
        <f t="shared" ca="1" si="43"/>
        <v>0</v>
      </c>
    </row>
    <row r="660" spans="5:9" x14ac:dyDescent="0.75">
      <c r="E660">
        <v>654</v>
      </c>
      <c r="F660">
        <f t="shared" ca="1" si="40"/>
        <v>-0.19428350256223653</v>
      </c>
      <c r="G660">
        <f t="shared" ca="1" si="41"/>
        <v>99.11824045271716</v>
      </c>
      <c r="H660">
        <f t="shared" ca="1" si="42"/>
        <v>0</v>
      </c>
      <c r="I660">
        <f t="shared" ca="1" si="43"/>
        <v>0</v>
      </c>
    </row>
    <row r="661" spans="5:9" x14ac:dyDescent="0.75">
      <c r="E661">
        <v>655</v>
      </c>
      <c r="F661">
        <f t="shared" ca="1" si="40"/>
        <v>2.640837043731596</v>
      </c>
      <c r="G661">
        <f t="shared" ca="1" si="41"/>
        <v>174.74671711101769</v>
      </c>
      <c r="H661">
        <f t="shared" ca="1" si="42"/>
        <v>74.746717111017688</v>
      </c>
      <c r="I661">
        <f t="shared" ca="1" si="43"/>
        <v>71.101276700831022</v>
      </c>
    </row>
    <row r="662" spans="5:9" x14ac:dyDescent="0.75">
      <c r="E662">
        <v>656</v>
      </c>
      <c r="F662">
        <f t="shared" ca="1" si="40"/>
        <v>-1.0201680329128371</v>
      </c>
      <c r="G662">
        <f t="shared" ca="1" si="41"/>
        <v>84.026865862587059</v>
      </c>
      <c r="H662">
        <f t="shared" ca="1" si="42"/>
        <v>0</v>
      </c>
      <c r="I662">
        <f t="shared" ca="1" si="43"/>
        <v>0</v>
      </c>
    </row>
    <row r="663" spans="5:9" x14ac:dyDescent="0.75">
      <c r="E663">
        <v>657</v>
      </c>
      <c r="F663">
        <f t="shared" ca="1" si="40"/>
        <v>2.0305133771409651</v>
      </c>
      <c r="G663">
        <f t="shared" ca="1" si="41"/>
        <v>154.6667591354198</v>
      </c>
      <c r="H663">
        <f t="shared" ca="1" si="42"/>
        <v>54.666759135419795</v>
      </c>
      <c r="I663">
        <f t="shared" ca="1" si="43"/>
        <v>52.000629831704522</v>
      </c>
    </row>
    <row r="664" spans="5:9" x14ac:dyDescent="0.75">
      <c r="E664">
        <v>658</v>
      </c>
      <c r="F664">
        <f t="shared" ca="1" si="40"/>
        <v>-3.8019400870238168E-2</v>
      </c>
      <c r="G664">
        <f t="shared" ca="1" si="41"/>
        <v>102.26487957116188</v>
      </c>
      <c r="H664">
        <f t="shared" ca="1" si="42"/>
        <v>2.2648795711618845</v>
      </c>
      <c r="I664">
        <f t="shared" ca="1" si="43"/>
        <v>2.1544200910397433</v>
      </c>
    </row>
    <row r="665" spans="5:9" x14ac:dyDescent="0.75">
      <c r="E665">
        <v>659</v>
      </c>
      <c r="F665">
        <f t="shared" ca="1" si="40"/>
        <v>0.73141589364848492</v>
      </c>
      <c r="G665">
        <f t="shared" ca="1" si="41"/>
        <v>119.27757795607927</v>
      </c>
      <c r="H665">
        <f t="shared" ca="1" si="42"/>
        <v>19.27757795607927</v>
      </c>
      <c r="I665">
        <f t="shared" ca="1" si="43"/>
        <v>18.337399384928936</v>
      </c>
    </row>
    <row r="666" spans="5:9" x14ac:dyDescent="0.75">
      <c r="E666">
        <v>660</v>
      </c>
      <c r="F666">
        <f t="shared" ca="1" si="40"/>
        <v>-0.83972165915634023</v>
      </c>
      <c r="G666">
        <f t="shared" ca="1" si="41"/>
        <v>87.114718556452118</v>
      </c>
      <c r="H666">
        <f t="shared" ca="1" si="42"/>
        <v>0</v>
      </c>
      <c r="I666">
        <f t="shared" ca="1" si="43"/>
        <v>0</v>
      </c>
    </row>
    <row r="667" spans="5:9" x14ac:dyDescent="0.75">
      <c r="E667">
        <v>661</v>
      </c>
      <c r="F667">
        <f t="shared" ca="1" si="40"/>
        <v>-0.11665119704048095</v>
      </c>
      <c r="G667">
        <f t="shared" ca="1" si="41"/>
        <v>100.66920529791498</v>
      </c>
      <c r="H667">
        <f t="shared" ca="1" si="42"/>
        <v>0.66920529791498495</v>
      </c>
      <c r="I667">
        <f t="shared" ca="1" si="43"/>
        <v>0.63656777040849999</v>
      </c>
    </row>
    <row r="668" spans="5:9" x14ac:dyDescent="0.75">
      <c r="E668">
        <v>662</v>
      </c>
      <c r="F668">
        <f t="shared" ca="1" si="40"/>
        <v>-0.26027004946287163</v>
      </c>
      <c r="G668">
        <f t="shared" ca="1" si="41"/>
        <v>97.818740182797427</v>
      </c>
      <c r="H668">
        <f t="shared" ca="1" si="42"/>
        <v>0</v>
      </c>
      <c r="I668">
        <f t="shared" ca="1" si="43"/>
        <v>0</v>
      </c>
    </row>
    <row r="669" spans="5:9" x14ac:dyDescent="0.75">
      <c r="E669">
        <v>663</v>
      </c>
      <c r="F669">
        <f t="shared" ca="1" si="40"/>
        <v>0.45924112034836179</v>
      </c>
      <c r="G669">
        <f t="shared" ca="1" si="41"/>
        <v>112.9582645312291</v>
      </c>
      <c r="H669">
        <f t="shared" ca="1" si="42"/>
        <v>12.958264531229105</v>
      </c>
      <c r="I669">
        <f t="shared" ca="1" si="43"/>
        <v>12.326282512569076</v>
      </c>
    </row>
    <row r="670" spans="5:9" x14ac:dyDescent="0.75">
      <c r="E670">
        <v>664</v>
      </c>
      <c r="F670">
        <f t="shared" ca="1" si="40"/>
        <v>0.68203004284298308</v>
      </c>
      <c r="G670">
        <f t="shared" ca="1" si="41"/>
        <v>118.10525218361816</v>
      </c>
      <c r="H670">
        <f t="shared" ca="1" si="42"/>
        <v>18.105252183618163</v>
      </c>
      <c r="I670">
        <f t="shared" ca="1" si="43"/>
        <v>17.2222486150634</v>
      </c>
    </row>
    <row r="671" spans="5:9" x14ac:dyDescent="0.75">
      <c r="E671">
        <v>665</v>
      </c>
      <c r="F671">
        <f t="shared" ca="1" si="40"/>
        <v>0.15453718201020836</v>
      </c>
      <c r="G671">
        <f t="shared" ca="1" si="41"/>
        <v>106.2800532992761</v>
      </c>
      <c r="H671">
        <f t="shared" ca="1" si="42"/>
        <v>6.2800532992761049</v>
      </c>
      <c r="I671">
        <f t="shared" ca="1" si="43"/>
        <v>5.9737714857042192</v>
      </c>
    </row>
    <row r="672" spans="5:9" x14ac:dyDescent="0.75">
      <c r="E672">
        <v>666</v>
      </c>
      <c r="F672">
        <f t="shared" ca="1" si="40"/>
        <v>-5.2153174764544653E-2</v>
      </c>
      <c r="G672">
        <f t="shared" ca="1" si="41"/>
        <v>101.97621002535233</v>
      </c>
      <c r="H672">
        <f t="shared" ca="1" si="42"/>
        <v>1.97621002535233</v>
      </c>
      <c r="I672">
        <f t="shared" ca="1" si="43"/>
        <v>1.8798291251084382</v>
      </c>
    </row>
    <row r="673" spans="5:9" x14ac:dyDescent="0.75">
      <c r="E673">
        <v>667</v>
      </c>
      <c r="F673">
        <f t="shared" ca="1" si="40"/>
        <v>-1.2459968205986209</v>
      </c>
      <c r="G673">
        <f t="shared" ca="1" si="41"/>
        <v>80.31615805898042</v>
      </c>
      <c r="H673">
        <f t="shared" ca="1" si="42"/>
        <v>0</v>
      </c>
      <c r="I673">
        <f t="shared" ca="1" si="43"/>
        <v>0</v>
      </c>
    </row>
    <row r="674" spans="5:9" x14ac:dyDescent="0.75">
      <c r="E674">
        <v>668</v>
      </c>
      <c r="F674">
        <f t="shared" ca="1" si="40"/>
        <v>-0.80804806601776191</v>
      </c>
      <c r="G674">
        <f t="shared" ca="1" si="41"/>
        <v>87.668317381972344</v>
      </c>
      <c r="H674">
        <f t="shared" ca="1" si="42"/>
        <v>0</v>
      </c>
      <c r="I674">
        <f t="shared" ca="1" si="43"/>
        <v>0</v>
      </c>
    </row>
    <row r="675" spans="5:9" x14ac:dyDescent="0.75">
      <c r="E675">
        <v>669</v>
      </c>
      <c r="F675">
        <f t="shared" ca="1" si="40"/>
        <v>0.79970964026534574</v>
      </c>
      <c r="G675">
        <f t="shared" ca="1" si="41"/>
        <v>120.91793762177578</v>
      </c>
      <c r="H675">
        <f t="shared" ca="1" si="42"/>
        <v>20.917937621775778</v>
      </c>
      <c r="I675">
        <f t="shared" ca="1" si="43"/>
        <v>19.897757765703606</v>
      </c>
    </row>
    <row r="676" spans="5:9" x14ac:dyDescent="0.75">
      <c r="E676">
        <v>670</v>
      </c>
      <c r="F676">
        <f t="shared" ca="1" si="40"/>
        <v>-1.0638153681622604</v>
      </c>
      <c r="G676">
        <f t="shared" ca="1" si="41"/>
        <v>83.296548384643231</v>
      </c>
      <c r="H676">
        <f t="shared" ca="1" si="42"/>
        <v>0</v>
      </c>
      <c r="I676">
        <f t="shared" ca="1" si="43"/>
        <v>0</v>
      </c>
    </row>
    <row r="677" spans="5:9" x14ac:dyDescent="0.75">
      <c r="E677">
        <v>671</v>
      </c>
      <c r="F677">
        <f t="shared" ca="1" si="40"/>
        <v>0.47449103846867963</v>
      </c>
      <c r="G677">
        <f t="shared" ca="1" si="41"/>
        <v>113.3033113142907</v>
      </c>
      <c r="H677">
        <f t="shared" ca="1" si="42"/>
        <v>13.303311314290696</v>
      </c>
      <c r="I677">
        <f t="shared" ca="1" si="43"/>
        <v>12.654501165446575</v>
      </c>
    </row>
    <row r="678" spans="5:9" x14ac:dyDescent="0.75">
      <c r="E678">
        <v>672</v>
      </c>
      <c r="F678">
        <f t="shared" ca="1" si="40"/>
        <v>0.70891332885409952</v>
      </c>
      <c r="G678">
        <f t="shared" ca="1" si="41"/>
        <v>118.74197382149647</v>
      </c>
      <c r="H678">
        <f t="shared" ca="1" si="42"/>
        <v>18.741973821496472</v>
      </c>
      <c r="I678">
        <f t="shared" ca="1" si="43"/>
        <v>17.827916972229538</v>
      </c>
    </row>
    <row r="679" spans="5:9" x14ac:dyDescent="0.75">
      <c r="E679">
        <v>673</v>
      </c>
      <c r="F679">
        <f t="shared" ca="1" si="40"/>
        <v>-1.7617584444349936</v>
      </c>
      <c r="G679">
        <f t="shared" ca="1" si="41"/>
        <v>72.444336684185672</v>
      </c>
      <c r="H679">
        <f t="shared" ca="1" si="42"/>
        <v>0</v>
      </c>
      <c r="I679">
        <f t="shared" ca="1" si="43"/>
        <v>0</v>
      </c>
    </row>
    <row r="680" spans="5:9" x14ac:dyDescent="0.75">
      <c r="E680">
        <v>674</v>
      </c>
      <c r="F680">
        <f t="shared" ca="1" si="40"/>
        <v>3.2222421624922659</v>
      </c>
      <c r="G680">
        <f t="shared" ca="1" si="41"/>
        <v>196.29499779090597</v>
      </c>
      <c r="H680">
        <f t="shared" ca="1" si="42"/>
        <v>96.294997790905967</v>
      </c>
      <c r="I680">
        <f t="shared" ca="1" si="43"/>
        <v>91.598635330941008</v>
      </c>
    </row>
    <row r="681" spans="5:9" x14ac:dyDescent="0.75">
      <c r="E681">
        <v>675</v>
      </c>
      <c r="F681">
        <f t="shared" ca="1" si="40"/>
        <v>-0.23324589812068847</v>
      </c>
      <c r="G681">
        <f t="shared" ca="1" si="41"/>
        <v>98.348865197912843</v>
      </c>
      <c r="H681">
        <f t="shared" ca="1" si="42"/>
        <v>0</v>
      </c>
      <c r="I681">
        <f t="shared" ca="1" si="43"/>
        <v>0</v>
      </c>
    </row>
    <row r="682" spans="5:9" x14ac:dyDescent="0.75">
      <c r="E682">
        <v>676</v>
      </c>
      <c r="F682">
        <f t="shared" ca="1" si="40"/>
        <v>-3.2171919198246635E-2</v>
      </c>
      <c r="G682">
        <f t="shared" ca="1" si="41"/>
        <v>102.38454793517515</v>
      </c>
      <c r="H682">
        <f t="shared" ca="1" si="42"/>
        <v>2.3845479351751493</v>
      </c>
      <c r="I682">
        <f t="shared" ca="1" si="43"/>
        <v>2.268252160071023</v>
      </c>
    </row>
    <row r="683" spans="5:9" x14ac:dyDescent="0.75">
      <c r="E683">
        <v>677</v>
      </c>
      <c r="F683">
        <f t="shared" ca="1" si="40"/>
        <v>0.45634370176968087</v>
      </c>
      <c r="G683">
        <f t="shared" ca="1" si="41"/>
        <v>112.89282601848289</v>
      </c>
      <c r="H683">
        <f t="shared" ca="1" si="42"/>
        <v>12.892826018482893</v>
      </c>
      <c r="I683">
        <f t="shared" ca="1" si="43"/>
        <v>12.264035473749315</v>
      </c>
    </row>
    <row r="684" spans="5:9" x14ac:dyDescent="0.75">
      <c r="E684">
        <v>678</v>
      </c>
      <c r="F684">
        <f t="shared" ca="1" si="40"/>
        <v>1.3332203469194639</v>
      </c>
      <c r="G684">
        <f t="shared" ca="1" si="41"/>
        <v>134.53363678176697</v>
      </c>
      <c r="H684">
        <f t="shared" ca="1" si="42"/>
        <v>34.533636781766972</v>
      </c>
      <c r="I684">
        <f t="shared" ca="1" si="43"/>
        <v>32.849411441836885</v>
      </c>
    </row>
    <row r="685" spans="5:9" x14ac:dyDescent="0.75">
      <c r="E685">
        <v>679</v>
      </c>
      <c r="F685">
        <f t="shared" ca="1" si="40"/>
        <v>-0.6863427081374488</v>
      </c>
      <c r="G685">
        <f t="shared" ca="1" si="41"/>
        <v>89.828441383925167</v>
      </c>
      <c r="H685">
        <f t="shared" ca="1" si="42"/>
        <v>0</v>
      </c>
      <c r="I685">
        <f t="shared" ca="1" si="43"/>
        <v>0</v>
      </c>
    </row>
    <row r="686" spans="5:9" x14ac:dyDescent="0.75">
      <c r="E686">
        <v>680</v>
      </c>
      <c r="F686">
        <f t="shared" ca="1" si="40"/>
        <v>0.2792099090130693</v>
      </c>
      <c r="G686">
        <f t="shared" ca="1" si="41"/>
        <v>108.96341326790093</v>
      </c>
      <c r="H686">
        <f t="shared" ca="1" si="42"/>
        <v>8.9634132679009326</v>
      </c>
      <c r="I686">
        <f t="shared" ca="1" si="43"/>
        <v>8.5262624443874682</v>
      </c>
    </row>
    <row r="687" spans="5:9" x14ac:dyDescent="0.75">
      <c r="E687">
        <v>681</v>
      </c>
      <c r="F687">
        <f t="shared" ca="1" si="40"/>
        <v>0.5277630992110337</v>
      </c>
      <c r="G687">
        <f t="shared" ca="1" si="41"/>
        <v>114.51694528849742</v>
      </c>
      <c r="H687">
        <f t="shared" ca="1" si="42"/>
        <v>14.516945288497425</v>
      </c>
      <c r="I687">
        <f t="shared" ca="1" si="43"/>
        <v>13.808945512285757</v>
      </c>
    </row>
    <row r="688" spans="5:9" x14ac:dyDescent="0.75">
      <c r="E688">
        <v>682</v>
      </c>
      <c r="F688">
        <f t="shared" ca="1" si="40"/>
        <v>-0.60674933414562637</v>
      </c>
      <c r="G688">
        <f t="shared" ca="1" si="41"/>
        <v>91.269833216108935</v>
      </c>
      <c r="H688">
        <f t="shared" ca="1" si="42"/>
        <v>0</v>
      </c>
      <c r="I688">
        <f t="shared" ca="1" si="43"/>
        <v>0</v>
      </c>
    </row>
    <row r="689" spans="5:9" x14ac:dyDescent="0.75">
      <c r="E689">
        <v>683</v>
      </c>
      <c r="F689">
        <f t="shared" ca="1" si="40"/>
        <v>-0.10176518295959312</v>
      </c>
      <c r="G689">
        <f t="shared" ca="1" si="41"/>
        <v>100.96936453518255</v>
      </c>
      <c r="H689">
        <f t="shared" ca="1" si="42"/>
        <v>0.9693645351825495</v>
      </c>
      <c r="I689">
        <f t="shared" ca="1" si="43"/>
        <v>0.92208806893309869</v>
      </c>
    </row>
    <row r="690" spans="5:9" x14ac:dyDescent="0.75">
      <c r="E690">
        <v>684</v>
      </c>
      <c r="F690">
        <f t="shared" ca="1" si="40"/>
        <v>-0.36395937847695137</v>
      </c>
      <c r="G690">
        <f t="shared" ca="1" si="41"/>
        <v>95.811077545671921</v>
      </c>
      <c r="H690">
        <f t="shared" ca="1" si="42"/>
        <v>0</v>
      </c>
      <c r="I690">
        <f t="shared" ca="1" si="43"/>
        <v>0</v>
      </c>
    </row>
    <row r="691" spans="5:9" x14ac:dyDescent="0.75">
      <c r="E691">
        <v>685</v>
      </c>
      <c r="F691">
        <f t="shared" ca="1" si="40"/>
        <v>0.47148298444676301</v>
      </c>
      <c r="G691">
        <f t="shared" ca="1" si="41"/>
        <v>113.23516731816909</v>
      </c>
      <c r="H691">
        <f t="shared" ca="1" si="42"/>
        <v>13.23516731816909</v>
      </c>
      <c r="I691">
        <f t="shared" ca="1" si="43"/>
        <v>12.589680591232641</v>
      </c>
    </row>
    <row r="692" spans="5:9" x14ac:dyDescent="0.75">
      <c r="E692">
        <v>686</v>
      </c>
      <c r="F692">
        <f t="shared" ca="1" si="40"/>
        <v>-2.8732771533577228</v>
      </c>
      <c r="G692">
        <f t="shared" ca="1" si="41"/>
        <v>58.004161345943018</v>
      </c>
      <c r="H692">
        <f t="shared" ca="1" si="42"/>
        <v>0</v>
      </c>
      <c r="I692">
        <f t="shared" ca="1" si="43"/>
        <v>0</v>
      </c>
    </row>
    <row r="693" spans="5:9" x14ac:dyDescent="0.75">
      <c r="E693">
        <v>687</v>
      </c>
      <c r="F693">
        <f t="shared" ca="1" si="40"/>
        <v>-1.0699397173653882</v>
      </c>
      <c r="G693">
        <f t="shared" ca="1" si="41"/>
        <v>83.19458341435535</v>
      </c>
      <c r="H693">
        <f t="shared" ca="1" si="42"/>
        <v>0</v>
      </c>
      <c r="I693">
        <f t="shared" ca="1" si="43"/>
        <v>0</v>
      </c>
    </row>
    <row r="694" spans="5:9" x14ac:dyDescent="0.75">
      <c r="E694">
        <v>688</v>
      </c>
      <c r="F694">
        <f t="shared" ca="1" si="40"/>
        <v>1.2192660595158424</v>
      </c>
      <c r="G694">
        <f t="shared" ca="1" si="41"/>
        <v>131.50217585295852</v>
      </c>
      <c r="H694">
        <f t="shared" ca="1" si="42"/>
        <v>31.502175852958516</v>
      </c>
      <c r="I694">
        <f t="shared" ca="1" si="43"/>
        <v>29.96579660713002</v>
      </c>
    </row>
    <row r="695" spans="5:9" x14ac:dyDescent="0.75">
      <c r="E695">
        <v>689</v>
      </c>
      <c r="F695">
        <f t="shared" ca="1" si="40"/>
        <v>0.63090210009827308</v>
      </c>
      <c r="G695">
        <f t="shared" ca="1" si="41"/>
        <v>116.90371017610023</v>
      </c>
      <c r="H695">
        <f t="shared" ca="1" si="42"/>
        <v>16.903710176100233</v>
      </c>
      <c r="I695">
        <f t="shared" ca="1" si="43"/>
        <v>16.079306502738689</v>
      </c>
    </row>
    <row r="696" spans="5:9" x14ac:dyDescent="0.75">
      <c r="E696">
        <v>690</v>
      </c>
      <c r="F696">
        <f t="shared" ca="1" si="40"/>
        <v>0.68707276353185287</v>
      </c>
      <c r="G696">
        <f t="shared" ca="1" si="41"/>
        <v>118.22442662959105</v>
      </c>
      <c r="H696">
        <f t="shared" ca="1" si="42"/>
        <v>18.224426629591051</v>
      </c>
      <c r="I696">
        <f t="shared" ca="1" si="43"/>
        <v>17.335610854721381</v>
      </c>
    </row>
    <row r="697" spans="5:9" x14ac:dyDescent="0.75">
      <c r="E697">
        <v>691</v>
      </c>
      <c r="F697">
        <f t="shared" ca="1" si="40"/>
        <v>-2.6081718960656231</v>
      </c>
      <c r="G697">
        <f t="shared" ca="1" si="41"/>
        <v>61.162594811717653</v>
      </c>
      <c r="H697">
        <f t="shared" ca="1" si="42"/>
        <v>0</v>
      </c>
      <c r="I697">
        <f t="shared" ca="1" si="43"/>
        <v>0</v>
      </c>
    </row>
    <row r="698" spans="5:9" x14ac:dyDescent="0.75">
      <c r="E698">
        <v>692</v>
      </c>
      <c r="F698">
        <f t="shared" ca="1" si="40"/>
        <v>-1.3583148773225771</v>
      </c>
      <c r="G698">
        <f t="shared" ca="1" si="41"/>
        <v>78.532080533592136</v>
      </c>
      <c r="H698">
        <f t="shared" ca="1" si="42"/>
        <v>0</v>
      </c>
      <c r="I698">
        <f t="shared" ca="1" si="43"/>
        <v>0</v>
      </c>
    </row>
    <row r="699" spans="5:9" x14ac:dyDescent="0.75">
      <c r="E699">
        <v>693</v>
      </c>
      <c r="F699">
        <f t="shared" ca="1" si="40"/>
        <v>-0.43743893761656488</v>
      </c>
      <c r="G699">
        <f t="shared" ca="1" si="41"/>
        <v>94.413342052340383</v>
      </c>
      <c r="H699">
        <f t="shared" ca="1" si="42"/>
        <v>0</v>
      </c>
      <c r="I699">
        <f t="shared" ca="1" si="43"/>
        <v>0</v>
      </c>
    </row>
    <row r="700" spans="5:9" x14ac:dyDescent="0.75">
      <c r="E700">
        <v>694</v>
      </c>
      <c r="F700">
        <f t="shared" ca="1" si="40"/>
        <v>0.90392796725593549</v>
      </c>
      <c r="G700">
        <f t="shared" ca="1" si="41"/>
        <v>123.4647610147795</v>
      </c>
      <c r="H700">
        <f t="shared" ca="1" si="42"/>
        <v>23.464761014779498</v>
      </c>
      <c r="I700">
        <f t="shared" ca="1" si="43"/>
        <v>22.32037111613549</v>
      </c>
    </row>
    <row r="701" spans="5:9" x14ac:dyDescent="0.75">
      <c r="E701">
        <v>695</v>
      </c>
      <c r="F701">
        <f t="shared" ca="1" si="40"/>
        <v>-2.2978963390431444</v>
      </c>
      <c r="G701">
        <f t="shared" ca="1" si="41"/>
        <v>65.07828424234431</v>
      </c>
      <c r="H701">
        <f t="shared" ca="1" si="42"/>
        <v>0</v>
      </c>
      <c r="I701">
        <f t="shared" ca="1" si="43"/>
        <v>0</v>
      </c>
    </row>
    <row r="702" spans="5:9" x14ac:dyDescent="0.75">
      <c r="E702">
        <v>696</v>
      </c>
      <c r="F702">
        <f t="shared" ca="1" si="40"/>
        <v>-0.25728613778161941</v>
      </c>
      <c r="G702">
        <f t="shared" ca="1" si="41"/>
        <v>97.877134101589348</v>
      </c>
      <c r="H702">
        <f t="shared" ca="1" si="42"/>
        <v>0</v>
      </c>
      <c r="I702">
        <f t="shared" ca="1" si="43"/>
        <v>0</v>
      </c>
    </row>
    <row r="703" spans="5:9" x14ac:dyDescent="0.75">
      <c r="E703">
        <v>697</v>
      </c>
      <c r="F703">
        <f t="shared" ca="1" si="40"/>
        <v>3.9962391698327888E-2</v>
      </c>
      <c r="G703">
        <f t="shared" ca="1" si="41"/>
        <v>103.87234199243684</v>
      </c>
      <c r="H703">
        <f t="shared" ca="1" si="42"/>
        <v>3.8723419924368443</v>
      </c>
      <c r="I703">
        <f t="shared" ca="1" si="43"/>
        <v>3.6834856449356477</v>
      </c>
    </row>
    <row r="704" spans="5:9" x14ac:dyDescent="0.75">
      <c r="E704">
        <v>698</v>
      </c>
      <c r="F704">
        <f t="shared" ca="1" si="40"/>
        <v>-1.0691339153049106</v>
      </c>
      <c r="G704">
        <f t="shared" ca="1" si="41"/>
        <v>83.207992168153638</v>
      </c>
      <c r="H704">
        <f t="shared" ca="1" si="42"/>
        <v>0</v>
      </c>
      <c r="I704">
        <f t="shared" ca="1" si="43"/>
        <v>0</v>
      </c>
    </row>
    <row r="705" spans="5:9" x14ac:dyDescent="0.75">
      <c r="E705">
        <v>699</v>
      </c>
      <c r="F705">
        <f t="shared" ca="1" si="40"/>
        <v>0.69243100677872993</v>
      </c>
      <c r="G705">
        <f t="shared" ca="1" si="41"/>
        <v>118.35118958725647</v>
      </c>
      <c r="H705">
        <f t="shared" ca="1" si="42"/>
        <v>18.351189587256471</v>
      </c>
      <c r="I705">
        <f t="shared" ca="1" si="43"/>
        <v>17.45619150998947</v>
      </c>
    </row>
    <row r="706" spans="5:9" x14ac:dyDescent="0.75">
      <c r="E706">
        <v>700</v>
      </c>
      <c r="F706">
        <f t="shared" ca="1" si="40"/>
        <v>-0.3520023999164385</v>
      </c>
      <c r="G706">
        <f t="shared" ca="1" si="41"/>
        <v>96.040473925123521</v>
      </c>
      <c r="H706">
        <f t="shared" ca="1" si="42"/>
        <v>0</v>
      </c>
      <c r="I706">
        <f t="shared" ca="1" si="43"/>
        <v>0</v>
      </c>
    </row>
    <row r="707" spans="5:9" x14ac:dyDescent="0.75">
      <c r="E707">
        <v>701</v>
      </c>
      <c r="F707">
        <f t="shared" ca="1" si="40"/>
        <v>-0.76867448643179515</v>
      </c>
      <c r="G707">
        <f t="shared" ca="1" si="41"/>
        <v>88.361405832021205</v>
      </c>
      <c r="H707">
        <f t="shared" ca="1" si="42"/>
        <v>0</v>
      </c>
      <c r="I707">
        <f t="shared" ca="1" si="43"/>
        <v>0</v>
      </c>
    </row>
    <row r="708" spans="5:9" x14ac:dyDescent="0.75">
      <c r="E708">
        <v>702</v>
      </c>
      <c r="F708">
        <f t="shared" ca="1" si="40"/>
        <v>-0.30376144066234678</v>
      </c>
      <c r="G708">
        <f t="shared" ca="1" si="41"/>
        <v>96.971575342729139</v>
      </c>
      <c r="H708">
        <f t="shared" ca="1" si="42"/>
        <v>0</v>
      </c>
      <c r="I708">
        <f t="shared" ca="1" si="43"/>
        <v>0</v>
      </c>
    </row>
    <row r="709" spans="5:9" x14ac:dyDescent="0.75">
      <c r="E709">
        <v>703</v>
      </c>
      <c r="F709">
        <f t="shared" ca="1" si="40"/>
        <v>-0.22594831804885585</v>
      </c>
      <c r="G709">
        <f t="shared" ca="1" si="41"/>
        <v>98.492511743381243</v>
      </c>
      <c r="H709">
        <f t="shared" ca="1" si="42"/>
        <v>0</v>
      </c>
      <c r="I709">
        <f t="shared" ca="1" si="43"/>
        <v>0</v>
      </c>
    </row>
    <row r="710" spans="5:9" x14ac:dyDescent="0.75">
      <c r="E710">
        <v>704</v>
      </c>
      <c r="F710">
        <f t="shared" ca="1" si="40"/>
        <v>-1.6620664297984133</v>
      </c>
      <c r="G710">
        <f t="shared" ca="1" si="41"/>
        <v>73.903256998058069</v>
      </c>
      <c r="H710">
        <f t="shared" ca="1" si="42"/>
        <v>0</v>
      </c>
      <c r="I710">
        <f t="shared" ca="1" si="43"/>
        <v>0</v>
      </c>
    </row>
    <row r="711" spans="5:9" x14ac:dyDescent="0.75">
      <c r="E711">
        <v>705</v>
      </c>
      <c r="F711">
        <f t="shared" ca="1" si="40"/>
        <v>-5.3248917577125909E-2</v>
      </c>
      <c r="G711">
        <f t="shared" ca="1" si="41"/>
        <v>101.95386453409499</v>
      </c>
      <c r="H711">
        <f t="shared" ca="1" si="42"/>
        <v>1.9538645340949898</v>
      </c>
      <c r="I711">
        <f t="shared" ca="1" si="43"/>
        <v>1.858573436319533</v>
      </c>
    </row>
    <row r="712" spans="5:9" x14ac:dyDescent="0.75">
      <c r="E712">
        <v>706</v>
      </c>
      <c r="F712">
        <f t="shared" ref="F712:F775" ca="1" si="44">NORMINV(RAND(), 0,1)</f>
        <v>1.6205044892083866</v>
      </c>
      <c r="G712">
        <f t="shared" ref="G712:G775" ca="1" si="45">$C$5*EXP(($C$6-0.5*$C$7^2)*$C$8+$C$7*SQRT($C$8)*F712)</f>
        <v>142.48989484556373</v>
      </c>
      <c r="H712">
        <f t="shared" ref="H712:H775" ca="1" si="46">MAX(G712-$C$9,0)</f>
        <v>42.489894845563725</v>
      </c>
      <c r="I712">
        <f t="shared" ref="I712:I775" ca="1" si="47">EXP(-$C$6*$C$8)*H712</f>
        <v>40.417638221041436</v>
      </c>
    </row>
    <row r="713" spans="5:9" x14ac:dyDescent="0.75">
      <c r="E713">
        <v>707</v>
      </c>
      <c r="F713">
        <f t="shared" ca="1" si="44"/>
        <v>-1.8920406354100665</v>
      </c>
      <c r="G713">
        <f t="shared" ca="1" si="45"/>
        <v>70.581075693906101</v>
      </c>
      <c r="H713">
        <f t="shared" ca="1" si="46"/>
        <v>0</v>
      </c>
      <c r="I713">
        <f t="shared" ca="1" si="47"/>
        <v>0</v>
      </c>
    </row>
    <row r="714" spans="5:9" x14ac:dyDescent="0.75">
      <c r="E714">
        <v>708</v>
      </c>
      <c r="F714">
        <f t="shared" ca="1" si="44"/>
        <v>-0.48637813940951513</v>
      </c>
      <c r="G714">
        <f t="shared" ca="1" si="45"/>
        <v>93.493747098473349</v>
      </c>
      <c r="H714">
        <f t="shared" ca="1" si="46"/>
        <v>0</v>
      </c>
      <c r="I714">
        <f t="shared" ca="1" si="47"/>
        <v>0</v>
      </c>
    </row>
    <row r="715" spans="5:9" x14ac:dyDescent="0.75">
      <c r="E715">
        <v>709</v>
      </c>
      <c r="F715">
        <f t="shared" ca="1" si="44"/>
        <v>-0.16651328208944957</v>
      </c>
      <c r="G715">
        <f t="shared" ca="1" si="45"/>
        <v>99.670279135279557</v>
      </c>
      <c r="H715">
        <f t="shared" ca="1" si="46"/>
        <v>0</v>
      </c>
      <c r="I715">
        <f t="shared" ca="1" si="47"/>
        <v>0</v>
      </c>
    </row>
    <row r="716" spans="5:9" x14ac:dyDescent="0.75">
      <c r="E716">
        <v>710</v>
      </c>
      <c r="F716">
        <f t="shared" ca="1" si="44"/>
        <v>8.8461949677321711E-2</v>
      </c>
      <c r="G716">
        <f t="shared" ca="1" si="45"/>
        <v>104.88479695047246</v>
      </c>
      <c r="H716">
        <f t="shared" ca="1" si="46"/>
        <v>4.8847969504724631</v>
      </c>
      <c r="I716">
        <f t="shared" ca="1" si="47"/>
        <v>4.6465625920007643</v>
      </c>
    </row>
    <row r="717" spans="5:9" x14ac:dyDescent="0.75">
      <c r="E717">
        <v>711</v>
      </c>
      <c r="F717">
        <f t="shared" ca="1" si="44"/>
        <v>-0.7507455102319408</v>
      </c>
      <c r="G717">
        <f t="shared" ca="1" si="45"/>
        <v>88.678820492331994</v>
      </c>
      <c r="H717">
        <f t="shared" ca="1" si="46"/>
        <v>0</v>
      </c>
      <c r="I717">
        <f t="shared" ca="1" si="47"/>
        <v>0</v>
      </c>
    </row>
    <row r="718" spans="5:9" x14ac:dyDescent="0.75">
      <c r="E718">
        <v>712</v>
      </c>
      <c r="F718">
        <f t="shared" ca="1" si="44"/>
        <v>-0.36483309157798172</v>
      </c>
      <c r="G718">
        <f t="shared" ca="1" si="45"/>
        <v>95.794336729646446</v>
      </c>
      <c r="H718">
        <f t="shared" ca="1" si="46"/>
        <v>0</v>
      </c>
      <c r="I718">
        <f t="shared" ca="1" si="47"/>
        <v>0</v>
      </c>
    </row>
    <row r="719" spans="5:9" x14ac:dyDescent="0.75">
      <c r="E719">
        <v>713</v>
      </c>
      <c r="F719">
        <f t="shared" ca="1" si="44"/>
        <v>0.43778664200346012</v>
      </c>
      <c r="G719">
        <f t="shared" ca="1" si="45"/>
        <v>112.47461079910592</v>
      </c>
      <c r="H719">
        <f t="shared" ca="1" si="46"/>
        <v>12.474610799105918</v>
      </c>
      <c r="I719">
        <f t="shared" ca="1" si="47"/>
        <v>11.866216851303914</v>
      </c>
    </row>
    <row r="720" spans="5:9" x14ac:dyDescent="0.75">
      <c r="E720">
        <v>714</v>
      </c>
      <c r="F720">
        <f t="shared" ca="1" si="44"/>
        <v>1.3746541646839343</v>
      </c>
      <c r="G720">
        <f t="shared" ca="1" si="45"/>
        <v>135.65311724839128</v>
      </c>
      <c r="H720">
        <f t="shared" ca="1" si="46"/>
        <v>35.653117248391283</v>
      </c>
      <c r="I720">
        <f t="shared" ca="1" si="47"/>
        <v>33.914294201843717</v>
      </c>
    </row>
    <row r="721" spans="5:9" x14ac:dyDescent="0.75">
      <c r="E721">
        <v>715</v>
      </c>
      <c r="F721">
        <f t="shared" ca="1" si="44"/>
        <v>0.17875152359825511</v>
      </c>
      <c r="G721">
        <f t="shared" ca="1" si="45"/>
        <v>106.79600192943599</v>
      </c>
      <c r="H721">
        <f t="shared" ca="1" si="46"/>
        <v>6.7960019294359881</v>
      </c>
      <c r="I721">
        <f t="shared" ca="1" si="47"/>
        <v>6.4645570042431366</v>
      </c>
    </row>
    <row r="722" spans="5:9" x14ac:dyDescent="0.75">
      <c r="E722">
        <v>716</v>
      </c>
      <c r="F722">
        <f t="shared" ca="1" si="44"/>
        <v>1.3941391694865357</v>
      </c>
      <c r="G722">
        <f t="shared" ca="1" si="45"/>
        <v>136.18278897188685</v>
      </c>
      <c r="H722">
        <f t="shared" ca="1" si="46"/>
        <v>36.182788971886851</v>
      </c>
      <c r="I722">
        <f t="shared" ca="1" si="47"/>
        <v>34.418133530558713</v>
      </c>
    </row>
    <row r="723" spans="5:9" x14ac:dyDescent="0.75">
      <c r="E723">
        <v>717</v>
      </c>
      <c r="F723">
        <f t="shared" ca="1" si="44"/>
        <v>2.2283142598677978E-2</v>
      </c>
      <c r="G723">
        <f t="shared" ca="1" si="45"/>
        <v>103.50571354424625</v>
      </c>
      <c r="H723">
        <f t="shared" ca="1" si="46"/>
        <v>3.5057135442462481</v>
      </c>
      <c r="I723">
        <f t="shared" ca="1" si="47"/>
        <v>3.3347378771577172</v>
      </c>
    </row>
    <row r="724" spans="5:9" x14ac:dyDescent="0.75">
      <c r="E724">
        <v>718</v>
      </c>
      <c r="F724">
        <f t="shared" ca="1" si="44"/>
        <v>-0.71584282949148659</v>
      </c>
      <c r="G724">
        <f t="shared" ca="1" si="45"/>
        <v>89.300011806116302</v>
      </c>
      <c r="H724">
        <f t="shared" ca="1" si="46"/>
        <v>0</v>
      </c>
      <c r="I724">
        <f t="shared" ca="1" si="47"/>
        <v>0</v>
      </c>
    </row>
    <row r="725" spans="5:9" x14ac:dyDescent="0.75">
      <c r="E725">
        <v>719</v>
      </c>
      <c r="F725">
        <f t="shared" ca="1" si="44"/>
        <v>1.2375022780812082</v>
      </c>
      <c r="G725">
        <f t="shared" ca="1" si="45"/>
        <v>131.98267204781118</v>
      </c>
      <c r="H725">
        <f t="shared" ca="1" si="46"/>
        <v>31.982672047811178</v>
      </c>
      <c r="I725">
        <f t="shared" ca="1" si="47"/>
        <v>30.422858726034498</v>
      </c>
    </row>
    <row r="726" spans="5:9" x14ac:dyDescent="0.75">
      <c r="E726">
        <v>720</v>
      </c>
      <c r="F726">
        <f t="shared" ca="1" si="44"/>
        <v>-1.9053996945391449</v>
      </c>
      <c r="G726">
        <f t="shared" ca="1" si="45"/>
        <v>70.39274804124571</v>
      </c>
      <c r="H726">
        <f t="shared" ca="1" si="46"/>
        <v>0</v>
      </c>
      <c r="I726">
        <f t="shared" ca="1" si="47"/>
        <v>0</v>
      </c>
    </row>
    <row r="727" spans="5:9" x14ac:dyDescent="0.75">
      <c r="E727">
        <v>721</v>
      </c>
      <c r="F727">
        <f t="shared" ca="1" si="44"/>
        <v>-0.73179315309049942</v>
      </c>
      <c r="G727">
        <f t="shared" ca="1" si="45"/>
        <v>89.015592887553893</v>
      </c>
      <c r="H727">
        <f t="shared" ca="1" si="46"/>
        <v>0</v>
      </c>
      <c r="I727">
        <f t="shared" ca="1" si="47"/>
        <v>0</v>
      </c>
    </row>
    <row r="728" spans="5:9" x14ac:dyDescent="0.75">
      <c r="E728">
        <v>722</v>
      </c>
      <c r="F728">
        <f t="shared" ca="1" si="44"/>
        <v>1.2051071597344822</v>
      </c>
      <c r="G728">
        <f t="shared" ca="1" si="45"/>
        <v>131.13031738634183</v>
      </c>
      <c r="H728">
        <f t="shared" ca="1" si="46"/>
        <v>31.130317386341829</v>
      </c>
      <c r="I728">
        <f t="shared" ca="1" si="47"/>
        <v>29.612073891934511</v>
      </c>
    </row>
    <row r="729" spans="5:9" x14ac:dyDescent="0.75">
      <c r="E729">
        <v>723</v>
      </c>
      <c r="F729">
        <f t="shared" ca="1" si="44"/>
        <v>-0.62509737965424816</v>
      </c>
      <c r="G729">
        <f t="shared" ca="1" si="45"/>
        <v>90.93552237563101</v>
      </c>
      <c r="H729">
        <f t="shared" ca="1" si="46"/>
        <v>0</v>
      </c>
      <c r="I729">
        <f t="shared" ca="1" si="47"/>
        <v>0</v>
      </c>
    </row>
    <row r="730" spans="5:9" x14ac:dyDescent="0.75">
      <c r="E730">
        <v>724</v>
      </c>
      <c r="F730">
        <f t="shared" ca="1" si="44"/>
        <v>-2.2529911694640088</v>
      </c>
      <c r="G730">
        <f t="shared" ca="1" si="45"/>
        <v>65.665386968804711</v>
      </c>
      <c r="H730">
        <f t="shared" ca="1" si="46"/>
        <v>0</v>
      </c>
      <c r="I730">
        <f t="shared" ca="1" si="47"/>
        <v>0</v>
      </c>
    </row>
    <row r="731" spans="5:9" x14ac:dyDescent="0.75">
      <c r="E731">
        <v>725</v>
      </c>
      <c r="F731">
        <f t="shared" ca="1" si="44"/>
        <v>0.25221507058301945</v>
      </c>
      <c r="G731">
        <f t="shared" ca="1" si="45"/>
        <v>108.37670854577493</v>
      </c>
      <c r="H731">
        <f t="shared" ca="1" si="46"/>
        <v>8.3767085457749317</v>
      </c>
      <c r="I731">
        <f t="shared" ca="1" si="47"/>
        <v>7.9681716492077017</v>
      </c>
    </row>
    <row r="732" spans="5:9" x14ac:dyDescent="0.75">
      <c r="E732">
        <v>726</v>
      </c>
      <c r="F732">
        <f t="shared" ca="1" si="44"/>
        <v>0.94920948658691917</v>
      </c>
      <c r="G732">
        <f t="shared" ca="1" si="45"/>
        <v>124.58797380864613</v>
      </c>
      <c r="H732">
        <f t="shared" ca="1" si="46"/>
        <v>24.587973808646126</v>
      </c>
      <c r="I732">
        <f t="shared" ca="1" si="47"/>
        <v>23.388804175637084</v>
      </c>
    </row>
    <row r="733" spans="5:9" x14ac:dyDescent="0.75">
      <c r="E733">
        <v>727</v>
      </c>
      <c r="F733">
        <f t="shared" ca="1" si="44"/>
        <v>1.5613675725760126</v>
      </c>
      <c r="G733">
        <f t="shared" ca="1" si="45"/>
        <v>140.81453930516074</v>
      </c>
      <c r="H733">
        <f t="shared" ca="1" si="46"/>
        <v>40.814539305160736</v>
      </c>
      <c r="I733">
        <f t="shared" ca="1" si="47"/>
        <v>38.82399073450982</v>
      </c>
    </row>
    <row r="734" spans="5:9" x14ac:dyDescent="0.75">
      <c r="E734">
        <v>728</v>
      </c>
      <c r="F734">
        <f t="shared" ca="1" si="44"/>
        <v>-0.29543545426880435</v>
      </c>
      <c r="G734">
        <f t="shared" ca="1" si="45"/>
        <v>97.133186666125809</v>
      </c>
      <c r="H734">
        <f t="shared" ca="1" si="46"/>
        <v>0</v>
      </c>
      <c r="I734">
        <f t="shared" ca="1" si="47"/>
        <v>0</v>
      </c>
    </row>
    <row r="735" spans="5:9" x14ac:dyDescent="0.75">
      <c r="E735">
        <v>729</v>
      </c>
      <c r="F735">
        <f t="shared" ca="1" si="44"/>
        <v>0.23033965889529839</v>
      </c>
      <c r="G735">
        <f t="shared" ca="1" si="45"/>
        <v>107.90358724941002</v>
      </c>
      <c r="H735">
        <f t="shared" ca="1" si="46"/>
        <v>7.9035872494100232</v>
      </c>
      <c r="I735">
        <f t="shared" ca="1" si="47"/>
        <v>7.5181247507474778</v>
      </c>
    </row>
    <row r="736" spans="5:9" x14ac:dyDescent="0.75">
      <c r="E736">
        <v>730</v>
      </c>
      <c r="F736">
        <f t="shared" ca="1" si="44"/>
        <v>-2.885756450714385E-2</v>
      </c>
      <c r="G736">
        <f t="shared" ca="1" si="45"/>
        <v>102.45243817527189</v>
      </c>
      <c r="H736">
        <f t="shared" ca="1" si="46"/>
        <v>2.4524381752718938</v>
      </c>
      <c r="I736">
        <f t="shared" ca="1" si="47"/>
        <v>2.3328313540874648</v>
      </c>
    </row>
    <row r="737" spans="5:9" x14ac:dyDescent="0.75">
      <c r="E737">
        <v>731</v>
      </c>
      <c r="F737">
        <f t="shared" ca="1" si="44"/>
        <v>0.17349488086850257</v>
      </c>
      <c r="G737">
        <f t="shared" ca="1" si="45"/>
        <v>106.68378324370424</v>
      </c>
      <c r="H737">
        <f t="shared" ca="1" si="46"/>
        <v>6.6837832437042408</v>
      </c>
      <c r="I737">
        <f t="shared" ca="1" si="47"/>
        <v>6.3578112883963005</v>
      </c>
    </row>
    <row r="738" spans="5:9" x14ac:dyDescent="0.75">
      <c r="E738">
        <v>732</v>
      </c>
      <c r="F738">
        <f t="shared" ca="1" si="44"/>
        <v>-1.2387010098459874</v>
      </c>
      <c r="G738">
        <f t="shared" ca="1" si="45"/>
        <v>80.43343790124031</v>
      </c>
      <c r="H738">
        <f t="shared" ca="1" si="46"/>
        <v>0</v>
      </c>
      <c r="I738">
        <f t="shared" ca="1" si="47"/>
        <v>0</v>
      </c>
    </row>
    <row r="739" spans="5:9" x14ac:dyDescent="0.75">
      <c r="E739">
        <v>733</v>
      </c>
      <c r="F739">
        <f t="shared" ca="1" si="44"/>
        <v>0.98687988946850991</v>
      </c>
      <c r="G739">
        <f t="shared" ca="1" si="45"/>
        <v>125.53017449330821</v>
      </c>
      <c r="H739">
        <f t="shared" ca="1" si="46"/>
        <v>25.530174493308209</v>
      </c>
      <c r="I739">
        <f t="shared" ca="1" si="47"/>
        <v>24.285053190672375</v>
      </c>
    </row>
    <row r="740" spans="5:9" x14ac:dyDescent="0.75">
      <c r="E740">
        <v>734</v>
      </c>
      <c r="F740">
        <f t="shared" ca="1" si="44"/>
        <v>-0.15941251046051316</v>
      </c>
      <c r="G740">
        <f t="shared" ca="1" si="45"/>
        <v>99.811926870361091</v>
      </c>
      <c r="H740">
        <f t="shared" ca="1" si="46"/>
        <v>0</v>
      </c>
      <c r="I740">
        <f t="shared" ca="1" si="47"/>
        <v>0</v>
      </c>
    </row>
    <row r="741" spans="5:9" x14ac:dyDescent="0.75">
      <c r="E741">
        <v>735</v>
      </c>
      <c r="F741">
        <f t="shared" ca="1" si="44"/>
        <v>-1.3431116548164872</v>
      </c>
      <c r="G741">
        <f t="shared" ca="1" si="45"/>
        <v>78.771232075589722</v>
      </c>
      <c r="H741">
        <f t="shared" ca="1" si="46"/>
        <v>0</v>
      </c>
      <c r="I741">
        <f t="shared" ca="1" si="47"/>
        <v>0</v>
      </c>
    </row>
    <row r="742" spans="5:9" x14ac:dyDescent="0.75">
      <c r="E742">
        <v>736</v>
      </c>
      <c r="F742">
        <f t="shared" ca="1" si="44"/>
        <v>1.1952530170779727</v>
      </c>
      <c r="G742">
        <f t="shared" ca="1" si="45"/>
        <v>130.87213651420075</v>
      </c>
      <c r="H742">
        <f t="shared" ca="1" si="46"/>
        <v>30.872136514200747</v>
      </c>
      <c r="I742">
        <f t="shared" ca="1" si="47"/>
        <v>29.366484649510657</v>
      </c>
    </row>
    <row r="743" spans="5:9" x14ac:dyDescent="0.75">
      <c r="E743">
        <v>737</v>
      </c>
      <c r="F743">
        <f t="shared" ca="1" si="44"/>
        <v>0.90721100361282414</v>
      </c>
      <c r="G743">
        <f t="shared" ca="1" si="45"/>
        <v>123.54585549531998</v>
      </c>
      <c r="H743">
        <f t="shared" ca="1" si="46"/>
        <v>23.545855495319984</v>
      </c>
      <c r="I743">
        <f t="shared" ca="1" si="47"/>
        <v>22.397510572190203</v>
      </c>
    </row>
    <row r="744" spans="5:9" x14ac:dyDescent="0.75">
      <c r="E744">
        <v>738</v>
      </c>
      <c r="F744">
        <f t="shared" ca="1" si="44"/>
        <v>3.8365501641664392E-2</v>
      </c>
      <c r="G744">
        <f t="shared" ca="1" si="45"/>
        <v>103.83917274746453</v>
      </c>
      <c r="H744">
        <f t="shared" ca="1" si="46"/>
        <v>3.8391727474645307</v>
      </c>
      <c r="I744">
        <f t="shared" ca="1" si="47"/>
        <v>3.6519340831295106</v>
      </c>
    </row>
    <row r="745" spans="5:9" x14ac:dyDescent="0.75">
      <c r="E745">
        <v>739</v>
      </c>
      <c r="F745">
        <f t="shared" ca="1" si="44"/>
        <v>-1.5983143051362234</v>
      </c>
      <c r="G745">
        <f t="shared" ca="1" si="45"/>
        <v>74.851587891869201</v>
      </c>
      <c r="H745">
        <f t="shared" ca="1" si="46"/>
        <v>0</v>
      </c>
      <c r="I745">
        <f t="shared" ca="1" si="47"/>
        <v>0</v>
      </c>
    </row>
    <row r="746" spans="5:9" x14ac:dyDescent="0.75">
      <c r="E746">
        <v>740</v>
      </c>
      <c r="F746">
        <f t="shared" ca="1" si="44"/>
        <v>2.0887990036762654</v>
      </c>
      <c r="G746">
        <f t="shared" ca="1" si="45"/>
        <v>156.48027860300431</v>
      </c>
      <c r="H746">
        <f t="shared" ca="1" si="46"/>
        <v>56.480278603004308</v>
      </c>
      <c r="I746">
        <f t="shared" ca="1" si="47"/>
        <v>53.72570291117578</v>
      </c>
    </row>
    <row r="747" spans="5:9" x14ac:dyDescent="0.75">
      <c r="E747">
        <v>741</v>
      </c>
      <c r="F747">
        <f t="shared" ca="1" si="44"/>
        <v>0.55977992860569292</v>
      </c>
      <c r="G747">
        <f t="shared" ca="1" si="45"/>
        <v>115.25259198233893</v>
      </c>
      <c r="H747">
        <f t="shared" ca="1" si="46"/>
        <v>15.252591982338927</v>
      </c>
      <c r="I747">
        <f t="shared" ca="1" si="47"/>
        <v>14.508714293504463</v>
      </c>
    </row>
    <row r="748" spans="5:9" x14ac:dyDescent="0.75">
      <c r="E748">
        <v>742</v>
      </c>
      <c r="F748">
        <f t="shared" ca="1" si="44"/>
        <v>0.58257084353902422</v>
      </c>
      <c r="G748">
        <f t="shared" ca="1" si="45"/>
        <v>115.77913351093684</v>
      </c>
      <c r="H748">
        <f t="shared" ca="1" si="46"/>
        <v>15.779133510936845</v>
      </c>
      <c r="I748">
        <f t="shared" ca="1" si="47"/>
        <v>15.009576088728386</v>
      </c>
    </row>
    <row r="749" spans="5:9" x14ac:dyDescent="0.75">
      <c r="E749">
        <v>743</v>
      </c>
      <c r="F749">
        <f t="shared" ca="1" si="44"/>
        <v>-8.1377251568725079E-2</v>
      </c>
      <c r="G749">
        <f t="shared" ca="1" si="45"/>
        <v>101.38191636675604</v>
      </c>
      <c r="H749">
        <f t="shared" ca="1" si="46"/>
        <v>1.3819163667560446</v>
      </c>
      <c r="I749">
        <f t="shared" ca="1" si="47"/>
        <v>1.3145195102574698</v>
      </c>
    </row>
    <row r="750" spans="5:9" x14ac:dyDescent="0.75">
      <c r="E750">
        <v>744</v>
      </c>
      <c r="F750">
        <f t="shared" ca="1" si="44"/>
        <v>0.62699020044642217</v>
      </c>
      <c r="G750">
        <f t="shared" ca="1" si="45"/>
        <v>116.81228282959684</v>
      </c>
      <c r="H750">
        <f t="shared" ca="1" si="46"/>
        <v>16.812282829596839</v>
      </c>
      <c r="I750">
        <f t="shared" ca="1" si="47"/>
        <v>15.992338120540637</v>
      </c>
    </row>
    <row r="751" spans="5:9" x14ac:dyDescent="0.75">
      <c r="E751">
        <v>745</v>
      </c>
      <c r="F751">
        <f t="shared" ca="1" si="44"/>
        <v>-2.5889442834795114E-2</v>
      </c>
      <c r="G751">
        <f t="shared" ca="1" si="45"/>
        <v>102.51327449087067</v>
      </c>
      <c r="H751">
        <f t="shared" ca="1" si="46"/>
        <v>2.5132744908706712</v>
      </c>
      <c r="I751">
        <f t="shared" ca="1" si="47"/>
        <v>2.3907006475632335</v>
      </c>
    </row>
    <row r="752" spans="5:9" x14ac:dyDescent="0.75">
      <c r="E752">
        <v>746</v>
      </c>
      <c r="F752">
        <f t="shared" ca="1" si="44"/>
        <v>1.2109713120908696</v>
      </c>
      <c r="G752">
        <f t="shared" ca="1" si="45"/>
        <v>131.28420124047804</v>
      </c>
      <c r="H752">
        <f t="shared" ca="1" si="46"/>
        <v>31.284201240478041</v>
      </c>
      <c r="I752">
        <f t="shared" ca="1" si="47"/>
        <v>29.758452741944449</v>
      </c>
    </row>
    <row r="753" spans="5:9" x14ac:dyDescent="0.75">
      <c r="E753">
        <v>747</v>
      </c>
      <c r="F753">
        <f t="shared" ca="1" si="44"/>
        <v>5.9230061450892643E-2</v>
      </c>
      <c r="G753">
        <f t="shared" ca="1" si="45"/>
        <v>104.27338981824292</v>
      </c>
      <c r="H753">
        <f t="shared" ca="1" si="46"/>
        <v>4.2733898182429186</v>
      </c>
      <c r="I753">
        <f t="shared" ca="1" si="47"/>
        <v>4.0649741374744224</v>
      </c>
    </row>
    <row r="754" spans="5:9" x14ac:dyDescent="0.75">
      <c r="E754">
        <v>748</v>
      </c>
      <c r="F754">
        <f t="shared" ca="1" si="44"/>
        <v>0.2272177649524697</v>
      </c>
      <c r="G754">
        <f t="shared" ca="1" si="45"/>
        <v>107.83623556699035</v>
      </c>
      <c r="H754">
        <f t="shared" ca="1" si="46"/>
        <v>7.8362355669903536</v>
      </c>
      <c r="I754">
        <f t="shared" ca="1" si="47"/>
        <v>7.4540578486402609</v>
      </c>
    </row>
    <row r="755" spans="5:9" x14ac:dyDescent="0.75">
      <c r="E755">
        <v>749</v>
      </c>
      <c r="F755">
        <f t="shared" ca="1" si="44"/>
        <v>0.75532416069888653</v>
      </c>
      <c r="G755">
        <f t="shared" ca="1" si="45"/>
        <v>119.84928776322623</v>
      </c>
      <c r="H755">
        <f t="shared" ca="1" si="46"/>
        <v>19.849287763226229</v>
      </c>
      <c r="I755">
        <f t="shared" ca="1" si="47"/>
        <v>18.881226575762749</v>
      </c>
    </row>
    <row r="756" spans="5:9" x14ac:dyDescent="0.75">
      <c r="E756">
        <v>750</v>
      </c>
      <c r="F756">
        <f t="shared" ca="1" si="44"/>
        <v>0.69010748141412626</v>
      </c>
      <c r="G756">
        <f t="shared" ca="1" si="45"/>
        <v>118.29620396610714</v>
      </c>
      <c r="H756">
        <f t="shared" ca="1" si="46"/>
        <v>18.296203966107143</v>
      </c>
      <c r="I756">
        <f t="shared" ca="1" si="47"/>
        <v>17.403887569227781</v>
      </c>
    </row>
    <row r="757" spans="5:9" x14ac:dyDescent="0.75">
      <c r="E757">
        <v>751</v>
      </c>
      <c r="F757">
        <f t="shared" ca="1" si="44"/>
        <v>0.79956344909336396</v>
      </c>
      <c r="G757">
        <f t="shared" ca="1" si="45"/>
        <v>120.91440224645717</v>
      </c>
      <c r="H757">
        <f t="shared" ca="1" si="46"/>
        <v>20.914402246457172</v>
      </c>
      <c r="I757">
        <f t="shared" ca="1" si="47"/>
        <v>19.894394812673895</v>
      </c>
    </row>
    <row r="758" spans="5:9" x14ac:dyDescent="0.75">
      <c r="E758">
        <v>752</v>
      </c>
      <c r="F758">
        <f t="shared" ca="1" si="44"/>
        <v>-1.1426110347605871</v>
      </c>
      <c r="G758">
        <f t="shared" ca="1" si="45"/>
        <v>81.994156213521734</v>
      </c>
      <c r="H758">
        <f t="shared" ca="1" si="46"/>
        <v>0</v>
      </c>
      <c r="I758">
        <f t="shared" ca="1" si="47"/>
        <v>0</v>
      </c>
    </row>
    <row r="759" spans="5:9" x14ac:dyDescent="0.75">
      <c r="E759">
        <v>753</v>
      </c>
      <c r="F759">
        <f t="shared" ca="1" si="44"/>
        <v>0.26288544705829014</v>
      </c>
      <c r="G759">
        <f t="shared" ca="1" si="45"/>
        <v>108.60823956648605</v>
      </c>
      <c r="H759">
        <f t="shared" ca="1" si="46"/>
        <v>8.6082395664860485</v>
      </c>
      <c r="I759">
        <f t="shared" ca="1" si="47"/>
        <v>8.1884107687927994</v>
      </c>
    </row>
    <row r="760" spans="5:9" x14ac:dyDescent="0.75">
      <c r="E760">
        <v>754</v>
      </c>
      <c r="F760">
        <f t="shared" ca="1" si="44"/>
        <v>1.2136386666138541</v>
      </c>
      <c r="G760">
        <f t="shared" ca="1" si="45"/>
        <v>131.35425622656007</v>
      </c>
      <c r="H760">
        <f t="shared" ca="1" si="46"/>
        <v>31.354256226560068</v>
      </c>
      <c r="I760">
        <f t="shared" ca="1" si="47"/>
        <v>29.825091106038663</v>
      </c>
    </row>
    <row r="761" spans="5:9" x14ac:dyDescent="0.75">
      <c r="E761">
        <v>755</v>
      </c>
      <c r="F761">
        <f t="shared" ca="1" si="44"/>
        <v>0.2556070639899416</v>
      </c>
      <c r="G761">
        <f t="shared" ca="1" si="45"/>
        <v>108.45025610640855</v>
      </c>
      <c r="H761">
        <f t="shared" ca="1" si="46"/>
        <v>8.4502561064085455</v>
      </c>
      <c r="I761">
        <f t="shared" ca="1" si="47"/>
        <v>8.0381322529826456</v>
      </c>
    </row>
    <row r="762" spans="5:9" x14ac:dyDescent="0.75">
      <c r="E762">
        <v>756</v>
      </c>
      <c r="F762">
        <f t="shared" ca="1" si="44"/>
        <v>-0.60361006361798886</v>
      </c>
      <c r="G762">
        <f t="shared" ca="1" si="45"/>
        <v>91.327155348689587</v>
      </c>
      <c r="H762">
        <f t="shared" ca="1" si="46"/>
        <v>0</v>
      </c>
      <c r="I762">
        <f t="shared" ca="1" si="47"/>
        <v>0</v>
      </c>
    </row>
    <row r="763" spans="5:9" x14ac:dyDescent="0.75">
      <c r="E763">
        <v>757</v>
      </c>
      <c r="F763">
        <f t="shared" ca="1" si="44"/>
        <v>0.30827369153122541</v>
      </c>
      <c r="G763">
        <f t="shared" ca="1" si="45"/>
        <v>109.59863546442858</v>
      </c>
      <c r="H763">
        <f t="shared" ca="1" si="46"/>
        <v>9.5986354644285825</v>
      </c>
      <c r="I763">
        <f t="shared" ca="1" si="47"/>
        <v>9.1305044888205451</v>
      </c>
    </row>
    <row r="764" spans="5:9" x14ac:dyDescent="0.75">
      <c r="E764">
        <v>758</v>
      </c>
      <c r="F764">
        <f t="shared" ca="1" si="44"/>
        <v>-0.35726283109382501</v>
      </c>
      <c r="G764">
        <f t="shared" ca="1" si="45"/>
        <v>95.939484198724045</v>
      </c>
      <c r="H764">
        <f t="shared" ca="1" si="46"/>
        <v>0</v>
      </c>
      <c r="I764">
        <f t="shared" ca="1" si="47"/>
        <v>0</v>
      </c>
    </row>
    <row r="765" spans="5:9" x14ac:dyDescent="0.75">
      <c r="E765">
        <v>759</v>
      </c>
      <c r="F765">
        <f t="shared" ca="1" si="44"/>
        <v>-1.6918192270831316</v>
      </c>
      <c r="G765">
        <f t="shared" ca="1" si="45"/>
        <v>73.464797107842969</v>
      </c>
      <c r="H765">
        <f t="shared" ca="1" si="46"/>
        <v>0</v>
      </c>
      <c r="I765">
        <f t="shared" ca="1" si="47"/>
        <v>0</v>
      </c>
    </row>
    <row r="766" spans="5:9" x14ac:dyDescent="0.75">
      <c r="E766">
        <v>760</v>
      </c>
      <c r="F766">
        <f t="shared" ca="1" si="44"/>
        <v>0.13811007257961833</v>
      </c>
      <c r="G766">
        <f t="shared" ca="1" si="45"/>
        <v>105.9314514517458</v>
      </c>
      <c r="H766">
        <f t="shared" ca="1" si="46"/>
        <v>5.9314514517458008</v>
      </c>
      <c r="I766">
        <f t="shared" ca="1" si="47"/>
        <v>5.6421711508980827</v>
      </c>
    </row>
    <row r="767" spans="5:9" x14ac:dyDescent="0.75">
      <c r="E767">
        <v>761</v>
      </c>
      <c r="F767">
        <f t="shared" ca="1" si="44"/>
        <v>-0.26945768635929301</v>
      </c>
      <c r="G767">
        <f t="shared" ca="1" si="45"/>
        <v>97.639160611223502</v>
      </c>
      <c r="H767">
        <f t="shared" ca="1" si="46"/>
        <v>0</v>
      </c>
      <c r="I767">
        <f t="shared" ca="1" si="47"/>
        <v>0</v>
      </c>
    </row>
    <row r="768" spans="5:9" x14ac:dyDescent="0.75">
      <c r="E768">
        <v>762</v>
      </c>
      <c r="F768">
        <f t="shared" ca="1" si="44"/>
        <v>-1.564416825285482</v>
      </c>
      <c r="G768">
        <f t="shared" ca="1" si="45"/>
        <v>75.360767972268249</v>
      </c>
      <c r="H768">
        <f t="shared" ca="1" si="46"/>
        <v>0</v>
      </c>
      <c r="I768">
        <f t="shared" ca="1" si="47"/>
        <v>0</v>
      </c>
    </row>
    <row r="769" spans="5:9" x14ac:dyDescent="0.75">
      <c r="E769">
        <v>763</v>
      </c>
      <c r="F769">
        <f t="shared" ca="1" si="44"/>
        <v>-0.10924529297394533</v>
      </c>
      <c r="G769">
        <f t="shared" ca="1" si="45"/>
        <v>100.81842507674877</v>
      </c>
      <c r="H769">
        <f t="shared" ca="1" si="46"/>
        <v>0.81842507674876686</v>
      </c>
      <c r="I769">
        <f t="shared" ca="1" si="47"/>
        <v>0.77851001475268222</v>
      </c>
    </row>
    <row r="770" spans="5:9" x14ac:dyDescent="0.75">
      <c r="E770">
        <v>764</v>
      </c>
      <c r="F770">
        <f t="shared" ca="1" si="44"/>
        <v>-1.0763090788879144</v>
      </c>
      <c r="G770">
        <f t="shared" ca="1" si="45"/>
        <v>83.088671612037174</v>
      </c>
      <c r="H770">
        <f t="shared" ca="1" si="46"/>
        <v>0</v>
      </c>
      <c r="I770">
        <f t="shared" ca="1" si="47"/>
        <v>0</v>
      </c>
    </row>
    <row r="771" spans="5:9" x14ac:dyDescent="0.75">
      <c r="E771">
        <v>765</v>
      </c>
      <c r="F771">
        <f t="shared" ca="1" si="44"/>
        <v>-0.25365882663479494</v>
      </c>
      <c r="G771">
        <f t="shared" ca="1" si="45"/>
        <v>97.948166027873015</v>
      </c>
      <c r="H771">
        <f t="shared" ca="1" si="46"/>
        <v>0</v>
      </c>
      <c r="I771">
        <f t="shared" ca="1" si="47"/>
        <v>0</v>
      </c>
    </row>
    <row r="772" spans="5:9" x14ac:dyDescent="0.75">
      <c r="E772">
        <v>766</v>
      </c>
      <c r="F772">
        <f t="shared" ca="1" si="44"/>
        <v>-2.3290498114862563</v>
      </c>
      <c r="G772">
        <f t="shared" ca="1" si="45"/>
        <v>64.674061935945517</v>
      </c>
      <c r="H772">
        <f t="shared" ca="1" si="46"/>
        <v>0</v>
      </c>
      <c r="I772">
        <f t="shared" ca="1" si="47"/>
        <v>0</v>
      </c>
    </row>
    <row r="773" spans="5:9" x14ac:dyDescent="0.75">
      <c r="E773">
        <v>767</v>
      </c>
      <c r="F773">
        <f t="shared" ca="1" si="44"/>
        <v>1.3094165706734993</v>
      </c>
      <c r="G773">
        <f t="shared" ca="1" si="45"/>
        <v>133.89467723609394</v>
      </c>
      <c r="H773">
        <f t="shared" ca="1" si="46"/>
        <v>33.894677236093941</v>
      </c>
      <c r="I773">
        <f t="shared" ca="1" si="47"/>
        <v>32.241614320927091</v>
      </c>
    </row>
    <row r="774" spans="5:9" x14ac:dyDescent="0.75">
      <c r="E774">
        <v>768</v>
      </c>
      <c r="F774">
        <f t="shared" ca="1" si="44"/>
        <v>-1.3399658857540511</v>
      </c>
      <c r="G774">
        <f t="shared" ca="1" si="45"/>
        <v>78.820806890020862</v>
      </c>
      <c r="H774">
        <f t="shared" ca="1" si="46"/>
        <v>0</v>
      </c>
      <c r="I774">
        <f t="shared" ca="1" si="47"/>
        <v>0</v>
      </c>
    </row>
    <row r="775" spans="5:9" x14ac:dyDescent="0.75">
      <c r="E775">
        <v>769</v>
      </c>
      <c r="F775">
        <f t="shared" ca="1" si="44"/>
        <v>-0.35857731237775353</v>
      </c>
      <c r="G775">
        <f t="shared" ca="1" si="45"/>
        <v>95.91426538256168</v>
      </c>
      <c r="H775">
        <f t="shared" ca="1" si="46"/>
        <v>0</v>
      </c>
      <c r="I775">
        <f t="shared" ca="1" si="47"/>
        <v>0</v>
      </c>
    </row>
    <row r="776" spans="5:9" x14ac:dyDescent="0.75">
      <c r="E776">
        <v>770</v>
      </c>
      <c r="F776">
        <f t="shared" ref="F776:F839" ca="1" si="48">NORMINV(RAND(), 0,1)</f>
        <v>-0.76874626411106051</v>
      </c>
      <c r="G776">
        <f t="shared" ref="G776:G839" ca="1" si="49">$C$5*EXP(($C$6-0.5*$C$7^2)*$C$8+$C$7*SQRT($C$8)*F776)</f>
        <v>88.360137365796533</v>
      </c>
      <c r="H776">
        <f t="shared" ref="H776:H839" ca="1" si="50">MAX(G776-$C$9,0)</f>
        <v>0</v>
      </c>
      <c r="I776">
        <f t="shared" ref="I776:I839" ca="1" si="51">EXP(-$C$6*$C$8)*H776</f>
        <v>0</v>
      </c>
    </row>
    <row r="777" spans="5:9" x14ac:dyDescent="0.75">
      <c r="E777">
        <v>771</v>
      </c>
      <c r="F777">
        <f t="shared" ca="1" si="48"/>
        <v>9.5404446906825938E-2</v>
      </c>
      <c r="G777">
        <f t="shared" ca="1" si="49"/>
        <v>105.03053058504335</v>
      </c>
      <c r="H777">
        <f t="shared" ca="1" si="50"/>
        <v>5.0305305850433513</v>
      </c>
      <c r="I777">
        <f t="shared" ca="1" si="51"/>
        <v>4.7851887133440272</v>
      </c>
    </row>
    <row r="778" spans="5:9" x14ac:dyDescent="0.75">
      <c r="E778">
        <v>772</v>
      </c>
      <c r="F778">
        <f t="shared" ca="1" si="48"/>
        <v>-0.20835286388444413</v>
      </c>
      <c r="G778">
        <f t="shared" ca="1" si="49"/>
        <v>98.839726420232623</v>
      </c>
      <c r="H778">
        <f t="shared" ca="1" si="50"/>
        <v>0</v>
      </c>
      <c r="I778">
        <f t="shared" ca="1" si="51"/>
        <v>0</v>
      </c>
    </row>
    <row r="779" spans="5:9" x14ac:dyDescent="0.75">
      <c r="E779">
        <v>773</v>
      </c>
      <c r="F779">
        <f t="shared" ca="1" si="48"/>
        <v>0.44511730238622327</v>
      </c>
      <c r="G779">
        <f t="shared" ca="1" si="49"/>
        <v>112.6396343774166</v>
      </c>
      <c r="H779">
        <f t="shared" ca="1" si="50"/>
        <v>12.639634377416598</v>
      </c>
      <c r="I779">
        <f t="shared" ca="1" si="51"/>
        <v>12.023192134729431</v>
      </c>
    </row>
    <row r="780" spans="5:9" x14ac:dyDescent="0.75">
      <c r="E780">
        <v>774</v>
      </c>
      <c r="F780">
        <f t="shared" ca="1" si="48"/>
        <v>-0.91481221496658116</v>
      </c>
      <c r="G780">
        <f t="shared" ca="1" si="49"/>
        <v>85.816195120030727</v>
      </c>
      <c r="H780">
        <f t="shared" ca="1" si="50"/>
        <v>0</v>
      </c>
      <c r="I780">
        <f t="shared" ca="1" si="51"/>
        <v>0</v>
      </c>
    </row>
    <row r="781" spans="5:9" x14ac:dyDescent="0.75">
      <c r="E781">
        <v>775</v>
      </c>
      <c r="F781">
        <f t="shared" ca="1" si="48"/>
        <v>2.4994993073052889</v>
      </c>
      <c r="G781">
        <f t="shared" ca="1" si="49"/>
        <v>169.87621885373343</v>
      </c>
      <c r="H781">
        <f t="shared" ca="1" si="50"/>
        <v>69.876218853733434</v>
      </c>
      <c r="I781">
        <f t="shared" ca="1" si="51"/>
        <v>66.468315446522794</v>
      </c>
    </row>
    <row r="782" spans="5:9" x14ac:dyDescent="0.75">
      <c r="E782">
        <v>776</v>
      </c>
      <c r="F782">
        <f t="shared" ca="1" si="48"/>
        <v>1.0408818714518122</v>
      </c>
      <c r="G782">
        <f t="shared" ca="1" si="49"/>
        <v>126.89329802430652</v>
      </c>
      <c r="H782">
        <f t="shared" ca="1" si="50"/>
        <v>26.893298024306517</v>
      </c>
      <c r="I782">
        <f t="shared" ca="1" si="51"/>
        <v>25.581696402587276</v>
      </c>
    </row>
    <row r="783" spans="5:9" x14ac:dyDescent="0.75">
      <c r="E783">
        <v>777</v>
      </c>
      <c r="F783">
        <f t="shared" ca="1" si="48"/>
        <v>3.8504935475023438E-3</v>
      </c>
      <c r="G783">
        <f t="shared" ca="1" si="49"/>
        <v>103.12483912953374</v>
      </c>
      <c r="H783">
        <f t="shared" ca="1" si="50"/>
        <v>3.1248391295337399</v>
      </c>
      <c r="I783">
        <f t="shared" ca="1" si="51"/>
        <v>2.9724389268436915</v>
      </c>
    </row>
    <row r="784" spans="5:9" x14ac:dyDescent="0.75">
      <c r="E784">
        <v>778</v>
      </c>
      <c r="F784">
        <f t="shared" ca="1" si="48"/>
        <v>-0.69431678101500183</v>
      </c>
      <c r="G784">
        <f t="shared" ca="1" si="49"/>
        <v>89.685295851941206</v>
      </c>
      <c r="H784">
        <f t="shared" ca="1" si="50"/>
        <v>0</v>
      </c>
      <c r="I784">
        <f t="shared" ca="1" si="51"/>
        <v>0</v>
      </c>
    </row>
    <row r="785" spans="5:9" x14ac:dyDescent="0.75">
      <c r="E785">
        <v>779</v>
      </c>
      <c r="F785">
        <f t="shared" ca="1" si="48"/>
        <v>-7.6743296789850868E-2</v>
      </c>
      <c r="G785">
        <f t="shared" ca="1" si="49"/>
        <v>101.4759197639444</v>
      </c>
      <c r="H785">
        <f t="shared" ca="1" si="50"/>
        <v>1.4759197639444039</v>
      </c>
      <c r="I785">
        <f t="shared" ca="1" si="51"/>
        <v>1.403938307666065</v>
      </c>
    </row>
    <row r="786" spans="5:9" x14ac:dyDescent="0.75">
      <c r="E786">
        <v>780</v>
      </c>
      <c r="F786">
        <f t="shared" ca="1" si="48"/>
        <v>-1.007349761242597</v>
      </c>
      <c r="G786">
        <f t="shared" ca="1" si="49"/>
        <v>84.242558063421654</v>
      </c>
      <c r="H786">
        <f t="shared" ca="1" si="50"/>
        <v>0</v>
      </c>
      <c r="I786">
        <f t="shared" ca="1" si="51"/>
        <v>0</v>
      </c>
    </row>
    <row r="787" spans="5:9" x14ac:dyDescent="0.75">
      <c r="E787">
        <v>781</v>
      </c>
      <c r="F787">
        <f t="shared" ca="1" si="48"/>
        <v>-1.7099484852878375</v>
      </c>
      <c r="G787">
        <f t="shared" ca="1" si="49"/>
        <v>73.198906983070984</v>
      </c>
      <c r="H787">
        <f t="shared" ca="1" si="50"/>
        <v>0</v>
      </c>
      <c r="I787">
        <f t="shared" ca="1" si="51"/>
        <v>0</v>
      </c>
    </row>
    <row r="788" spans="5:9" x14ac:dyDescent="0.75">
      <c r="E788">
        <v>782</v>
      </c>
      <c r="F788">
        <f t="shared" ca="1" si="48"/>
        <v>-0.11807357191063227</v>
      </c>
      <c r="G788">
        <f t="shared" ca="1" si="49"/>
        <v>100.64057150134458</v>
      </c>
      <c r="H788">
        <f t="shared" ca="1" si="50"/>
        <v>0.64057150134458141</v>
      </c>
      <c r="I788">
        <f t="shared" ca="1" si="51"/>
        <v>0.6093304605755645</v>
      </c>
    </row>
    <row r="789" spans="5:9" x14ac:dyDescent="0.75">
      <c r="E789">
        <v>783</v>
      </c>
      <c r="F789">
        <f t="shared" ca="1" si="48"/>
        <v>0.1605515265791817</v>
      </c>
      <c r="G789">
        <f t="shared" ca="1" si="49"/>
        <v>106.40797119034995</v>
      </c>
      <c r="H789">
        <f t="shared" ca="1" si="50"/>
        <v>6.4079711903499543</v>
      </c>
      <c r="I789">
        <f t="shared" ca="1" si="51"/>
        <v>6.0954507476137421</v>
      </c>
    </row>
    <row r="790" spans="5:9" x14ac:dyDescent="0.75">
      <c r="E790">
        <v>784</v>
      </c>
      <c r="F790">
        <f t="shared" ca="1" si="48"/>
        <v>-1.8603572093651901</v>
      </c>
      <c r="G790">
        <f t="shared" ca="1" si="49"/>
        <v>71.02974579156681</v>
      </c>
      <c r="H790">
        <f t="shared" ca="1" si="50"/>
        <v>0</v>
      </c>
      <c r="I790">
        <f t="shared" ca="1" si="51"/>
        <v>0</v>
      </c>
    </row>
    <row r="791" spans="5:9" x14ac:dyDescent="0.75">
      <c r="E791">
        <v>785</v>
      </c>
      <c r="F791">
        <f t="shared" ca="1" si="48"/>
        <v>0.47051744242257471</v>
      </c>
      <c r="G791">
        <f t="shared" ca="1" si="49"/>
        <v>113.21330276681903</v>
      </c>
      <c r="H791">
        <f t="shared" ca="1" si="50"/>
        <v>13.213302766819027</v>
      </c>
      <c r="I791">
        <f t="shared" ca="1" si="51"/>
        <v>12.568882386634955</v>
      </c>
    </row>
    <row r="792" spans="5:9" x14ac:dyDescent="0.75">
      <c r="E792">
        <v>786</v>
      </c>
      <c r="F792">
        <f t="shared" ca="1" si="48"/>
        <v>0.84272830931903298</v>
      </c>
      <c r="G792">
        <f t="shared" ca="1" si="49"/>
        <v>121.96277166174958</v>
      </c>
      <c r="H792">
        <f t="shared" ca="1" si="50"/>
        <v>21.962771661749585</v>
      </c>
      <c r="I792">
        <f t="shared" ca="1" si="51"/>
        <v>20.891634648246647</v>
      </c>
    </row>
    <row r="793" spans="5:9" x14ac:dyDescent="0.75">
      <c r="E793">
        <v>787</v>
      </c>
      <c r="F793">
        <f t="shared" ca="1" si="48"/>
        <v>-1.5838878990172534</v>
      </c>
      <c r="G793">
        <f t="shared" ca="1" si="49"/>
        <v>75.067867636887158</v>
      </c>
      <c r="H793">
        <f t="shared" ca="1" si="50"/>
        <v>0</v>
      </c>
      <c r="I793">
        <f t="shared" ca="1" si="51"/>
        <v>0</v>
      </c>
    </row>
    <row r="794" spans="5:9" x14ac:dyDescent="0.75">
      <c r="E794">
        <v>788</v>
      </c>
      <c r="F794">
        <f t="shared" ca="1" si="48"/>
        <v>-1.3559074664898407</v>
      </c>
      <c r="G794">
        <f t="shared" ca="1" si="49"/>
        <v>78.569901434184843</v>
      </c>
      <c r="H794">
        <f t="shared" ca="1" si="50"/>
        <v>0</v>
      </c>
      <c r="I794">
        <f t="shared" ca="1" si="51"/>
        <v>0</v>
      </c>
    </row>
    <row r="795" spans="5:9" x14ac:dyDescent="0.75">
      <c r="E795">
        <v>789</v>
      </c>
      <c r="F795">
        <f t="shared" ca="1" si="48"/>
        <v>-5.881513410597794E-2</v>
      </c>
      <c r="G795">
        <f t="shared" ca="1" si="49"/>
        <v>101.84042822972346</v>
      </c>
      <c r="H795">
        <f t="shared" ca="1" si="50"/>
        <v>1.8404282297234573</v>
      </c>
      <c r="I795">
        <f t="shared" ca="1" si="51"/>
        <v>1.7506694857947123</v>
      </c>
    </row>
    <row r="796" spans="5:9" x14ac:dyDescent="0.75">
      <c r="E796">
        <v>790</v>
      </c>
      <c r="F796">
        <f t="shared" ca="1" si="48"/>
        <v>-0.18986371405975214</v>
      </c>
      <c r="G796">
        <f t="shared" ca="1" si="49"/>
        <v>99.205895520603505</v>
      </c>
      <c r="H796">
        <f t="shared" ca="1" si="50"/>
        <v>0</v>
      </c>
      <c r="I796">
        <f t="shared" ca="1" si="51"/>
        <v>0</v>
      </c>
    </row>
    <row r="797" spans="5:9" x14ac:dyDescent="0.75">
      <c r="E797">
        <v>791</v>
      </c>
      <c r="F797">
        <f t="shared" ca="1" si="48"/>
        <v>-2.4640636657387815E-2</v>
      </c>
      <c r="G797">
        <f t="shared" ca="1" si="49"/>
        <v>102.53888153065058</v>
      </c>
      <c r="H797">
        <f t="shared" ca="1" si="50"/>
        <v>2.5388815306505848</v>
      </c>
      <c r="I797">
        <f t="shared" ca="1" si="51"/>
        <v>2.4150588172762477</v>
      </c>
    </row>
    <row r="798" spans="5:9" x14ac:dyDescent="0.75">
      <c r="E798">
        <v>792</v>
      </c>
      <c r="F798">
        <f t="shared" ca="1" si="48"/>
        <v>-0.12427674252261224</v>
      </c>
      <c r="G798">
        <f t="shared" ca="1" si="49"/>
        <v>100.51579079384926</v>
      </c>
      <c r="H798">
        <f t="shared" ca="1" si="50"/>
        <v>0.51579079384926274</v>
      </c>
      <c r="I798">
        <f t="shared" ca="1" si="51"/>
        <v>0.4906353799960006</v>
      </c>
    </row>
    <row r="799" spans="5:9" x14ac:dyDescent="0.75">
      <c r="E799">
        <v>793</v>
      </c>
      <c r="F799">
        <f t="shared" ca="1" si="48"/>
        <v>-0.38828763032627678</v>
      </c>
      <c r="G799">
        <f t="shared" ca="1" si="49"/>
        <v>95.346026645805125</v>
      </c>
      <c r="H799">
        <f t="shared" ca="1" si="50"/>
        <v>0</v>
      </c>
      <c r="I799">
        <f t="shared" ca="1" si="51"/>
        <v>0</v>
      </c>
    </row>
    <row r="800" spans="5:9" x14ac:dyDescent="0.75">
      <c r="E800">
        <v>794</v>
      </c>
      <c r="F800">
        <f t="shared" ca="1" si="48"/>
        <v>-1.6861307754229353</v>
      </c>
      <c r="G800">
        <f t="shared" ca="1" si="49"/>
        <v>73.548424859479837</v>
      </c>
      <c r="H800">
        <f t="shared" ca="1" si="50"/>
        <v>0</v>
      </c>
      <c r="I800">
        <f t="shared" ca="1" si="51"/>
        <v>0</v>
      </c>
    </row>
    <row r="801" spans="5:9" x14ac:dyDescent="0.75">
      <c r="E801">
        <v>795</v>
      </c>
      <c r="F801">
        <f t="shared" ca="1" si="48"/>
        <v>0.2415850503426264</v>
      </c>
      <c r="G801">
        <f t="shared" ca="1" si="49"/>
        <v>108.14654397678514</v>
      </c>
      <c r="H801">
        <f t="shared" ca="1" si="50"/>
        <v>8.1465439767851393</v>
      </c>
      <c r="I801">
        <f t="shared" ca="1" si="51"/>
        <v>7.7492323387070865</v>
      </c>
    </row>
    <row r="802" spans="5:9" x14ac:dyDescent="0.75">
      <c r="E802">
        <v>796</v>
      </c>
      <c r="F802">
        <f t="shared" ca="1" si="48"/>
        <v>0.29262786406732821</v>
      </c>
      <c r="G802">
        <f t="shared" ca="1" si="49"/>
        <v>109.25621921423709</v>
      </c>
      <c r="H802">
        <f t="shared" ca="1" si="50"/>
        <v>9.2562192142370918</v>
      </c>
      <c r="I802">
        <f t="shared" ca="1" si="51"/>
        <v>8.8047880762111994</v>
      </c>
    </row>
    <row r="803" spans="5:9" x14ac:dyDescent="0.75">
      <c r="E803">
        <v>797</v>
      </c>
      <c r="F803">
        <f t="shared" ca="1" si="48"/>
        <v>-0.55311817664680996</v>
      </c>
      <c r="G803">
        <f t="shared" ca="1" si="49"/>
        <v>92.254083789228446</v>
      </c>
      <c r="H803">
        <f t="shared" ca="1" si="50"/>
        <v>0</v>
      </c>
      <c r="I803">
        <f t="shared" ca="1" si="51"/>
        <v>0</v>
      </c>
    </row>
    <row r="804" spans="5:9" x14ac:dyDescent="0.75">
      <c r="E804">
        <v>798</v>
      </c>
      <c r="F804">
        <f t="shared" ca="1" si="48"/>
        <v>0.33317590272789976</v>
      </c>
      <c r="G804">
        <f t="shared" ca="1" si="49"/>
        <v>110.14584668368236</v>
      </c>
      <c r="H804">
        <f t="shared" ca="1" si="50"/>
        <v>10.145846683682365</v>
      </c>
      <c r="I804">
        <f t="shared" ca="1" si="51"/>
        <v>9.6510279019916538</v>
      </c>
    </row>
    <row r="805" spans="5:9" x14ac:dyDescent="0.75">
      <c r="E805">
        <v>799</v>
      </c>
      <c r="F805">
        <f t="shared" ca="1" si="48"/>
        <v>-0.49306463123875882</v>
      </c>
      <c r="G805">
        <f t="shared" ca="1" si="49"/>
        <v>93.368801626569876</v>
      </c>
      <c r="H805">
        <f t="shared" ca="1" si="50"/>
        <v>0</v>
      </c>
      <c r="I805">
        <f t="shared" ca="1" si="51"/>
        <v>0</v>
      </c>
    </row>
    <row r="806" spans="5:9" x14ac:dyDescent="0.75">
      <c r="E806">
        <v>800</v>
      </c>
      <c r="F806">
        <f t="shared" ca="1" si="48"/>
        <v>0.81123711185822345</v>
      </c>
      <c r="G806">
        <f t="shared" ca="1" si="49"/>
        <v>121.19703484488389</v>
      </c>
      <c r="H806">
        <f t="shared" ca="1" si="50"/>
        <v>21.197034844883888</v>
      </c>
      <c r="I806">
        <f t="shared" ca="1" si="51"/>
        <v>20.163243256620483</v>
      </c>
    </row>
    <row r="807" spans="5:9" x14ac:dyDescent="0.75">
      <c r="E807">
        <v>801</v>
      </c>
      <c r="F807">
        <f t="shared" ca="1" si="48"/>
        <v>0.14557280112978391</v>
      </c>
      <c r="G807">
        <f t="shared" ca="1" si="49"/>
        <v>106.08967703525245</v>
      </c>
      <c r="H807">
        <f t="shared" ca="1" si="50"/>
        <v>6.0896770352524499</v>
      </c>
      <c r="I807">
        <f t="shared" ca="1" si="51"/>
        <v>5.7926799816384023</v>
      </c>
    </row>
    <row r="808" spans="5:9" x14ac:dyDescent="0.75">
      <c r="E808">
        <v>802</v>
      </c>
      <c r="F808">
        <f t="shared" ca="1" si="48"/>
        <v>-0.66693863836868383</v>
      </c>
      <c r="G808">
        <f t="shared" ca="1" si="49"/>
        <v>90.177726168952418</v>
      </c>
      <c r="H808">
        <f t="shared" ca="1" si="50"/>
        <v>0</v>
      </c>
      <c r="I808">
        <f t="shared" ca="1" si="51"/>
        <v>0</v>
      </c>
    </row>
    <row r="809" spans="5:9" x14ac:dyDescent="0.75">
      <c r="E809">
        <v>803</v>
      </c>
      <c r="F809">
        <f t="shared" ca="1" si="48"/>
        <v>1.9602300323379147</v>
      </c>
      <c r="G809">
        <f t="shared" ca="1" si="49"/>
        <v>152.50786865524714</v>
      </c>
      <c r="H809">
        <f t="shared" ca="1" si="50"/>
        <v>52.507868655247137</v>
      </c>
      <c r="I809">
        <f t="shared" ca="1" si="51"/>
        <v>49.947029682689816</v>
      </c>
    </row>
    <row r="810" spans="5:9" x14ac:dyDescent="0.75">
      <c r="E810">
        <v>804</v>
      </c>
      <c r="F810">
        <f t="shared" ca="1" si="48"/>
        <v>-0.61314143846510938</v>
      </c>
      <c r="G810">
        <f t="shared" ca="1" si="49"/>
        <v>91.153226509186041</v>
      </c>
      <c r="H810">
        <f t="shared" ca="1" si="50"/>
        <v>0</v>
      </c>
      <c r="I810">
        <f t="shared" ca="1" si="51"/>
        <v>0</v>
      </c>
    </row>
    <row r="811" spans="5:9" x14ac:dyDescent="0.75">
      <c r="E811">
        <v>805</v>
      </c>
      <c r="F811">
        <f t="shared" ca="1" si="48"/>
        <v>-1.2573986271129167</v>
      </c>
      <c r="G811">
        <f t="shared" ca="1" si="49"/>
        <v>80.133216865432871</v>
      </c>
      <c r="H811">
        <f t="shared" ca="1" si="50"/>
        <v>0</v>
      </c>
      <c r="I811">
        <f t="shared" ca="1" si="51"/>
        <v>0</v>
      </c>
    </row>
    <row r="812" spans="5:9" x14ac:dyDescent="0.75">
      <c r="E812">
        <v>806</v>
      </c>
      <c r="F812">
        <f t="shared" ca="1" si="48"/>
        <v>-1.0912227233926701</v>
      </c>
      <c r="G812">
        <f t="shared" ca="1" si="49"/>
        <v>82.841209868990205</v>
      </c>
      <c r="H812">
        <f t="shared" ca="1" si="50"/>
        <v>0</v>
      </c>
      <c r="I812">
        <f t="shared" ca="1" si="51"/>
        <v>0</v>
      </c>
    </row>
    <row r="813" spans="5:9" x14ac:dyDescent="0.75">
      <c r="E813">
        <v>807</v>
      </c>
      <c r="F813">
        <f t="shared" ca="1" si="48"/>
        <v>-0.96328719382574945</v>
      </c>
      <c r="G813">
        <f t="shared" ca="1" si="49"/>
        <v>84.988227527590212</v>
      </c>
      <c r="H813">
        <f t="shared" ca="1" si="50"/>
        <v>0</v>
      </c>
      <c r="I813">
        <f t="shared" ca="1" si="51"/>
        <v>0</v>
      </c>
    </row>
    <row r="814" spans="5:9" x14ac:dyDescent="0.75">
      <c r="E814">
        <v>808</v>
      </c>
      <c r="F814">
        <f t="shared" ca="1" si="48"/>
        <v>-7.2570810210782592E-3</v>
      </c>
      <c r="G814">
        <f t="shared" ca="1" si="49"/>
        <v>102.89600004027024</v>
      </c>
      <c r="H814">
        <f t="shared" ca="1" si="50"/>
        <v>2.8960000402702377</v>
      </c>
      <c r="I814">
        <f t="shared" ca="1" si="51"/>
        <v>2.754760451660303</v>
      </c>
    </row>
    <row r="815" spans="5:9" x14ac:dyDescent="0.75">
      <c r="E815">
        <v>809</v>
      </c>
      <c r="F815">
        <f t="shared" ca="1" si="48"/>
        <v>-0.93515418963831121</v>
      </c>
      <c r="G815">
        <f t="shared" ca="1" si="49"/>
        <v>85.467770192214473</v>
      </c>
      <c r="H815">
        <f t="shared" ca="1" si="50"/>
        <v>0</v>
      </c>
      <c r="I815">
        <f t="shared" ca="1" si="51"/>
        <v>0</v>
      </c>
    </row>
    <row r="816" spans="5:9" x14ac:dyDescent="0.75">
      <c r="E816">
        <v>810</v>
      </c>
      <c r="F816">
        <f t="shared" ca="1" si="48"/>
        <v>0.46559748284355812</v>
      </c>
      <c r="G816">
        <f t="shared" ca="1" si="49"/>
        <v>113.1019565829916</v>
      </c>
      <c r="H816">
        <f t="shared" ca="1" si="50"/>
        <v>13.101956582991605</v>
      </c>
      <c r="I816">
        <f t="shared" ca="1" si="51"/>
        <v>12.462966620272447</v>
      </c>
    </row>
    <row r="817" spans="5:9" x14ac:dyDescent="0.75">
      <c r="E817">
        <v>811</v>
      </c>
      <c r="F817">
        <f t="shared" ca="1" si="48"/>
        <v>-0.27742131958619015</v>
      </c>
      <c r="G817">
        <f t="shared" ca="1" si="49"/>
        <v>97.483771897207021</v>
      </c>
      <c r="H817">
        <f t="shared" ca="1" si="50"/>
        <v>0</v>
      </c>
      <c r="I817">
        <f t="shared" ca="1" si="51"/>
        <v>0</v>
      </c>
    </row>
    <row r="818" spans="5:9" x14ac:dyDescent="0.75">
      <c r="E818">
        <v>812</v>
      </c>
      <c r="F818">
        <f t="shared" ca="1" si="48"/>
        <v>-0.19806537262693483</v>
      </c>
      <c r="G818">
        <f t="shared" ca="1" si="49"/>
        <v>99.043298337137657</v>
      </c>
      <c r="H818">
        <f t="shared" ca="1" si="50"/>
        <v>0</v>
      </c>
      <c r="I818">
        <f t="shared" ca="1" si="51"/>
        <v>0</v>
      </c>
    </row>
    <row r="819" spans="5:9" x14ac:dyDescent="0.75">
      <c r="E819">
        <v>813</v>
      </c>
      <c r="F819">
        <f t="shared" ca="1" si="48"/>
        <v>-1.0475714449838884</v>
      </c>
      <c r="G819">
        <f t="shared" ca="1" si="49"/>
        <v>83.56760098860326</v>
      </c>
      <c r="H819">
        <f t="shared" ca="1" si="50"/>
        <v>0</v>
      </c>
      <c r="I819">
        <f t="shared" ca="1" si="51"/>
        <v>0</v>
      </c>
    </row>
    <row r="820" spans="5:9" x14ac:dyDescent="0.75">
      <c r="E820">
        <v>814</v>
      </c>
      <c r="F820">
        <f t="shared" ca="1" si="48"/>
        <v>0.43646531063931432</v>
      </c>
      <c r="G820">
        <f t="shared" ca="1" si="49"/>
        <v>112.44489148000194</v>
      </c>
      <c r="H820">
        <f t="shared" ca="1" si="50"/>
        <v>12.444891480001942</v>
      </c>
      <c r="I820">
        <f t="shared" ca="1" si="51"/>
        <v>11.837946960496087</v>
      </c>
    </row>
    <row r="821" spans="5:9" x14ac:dyDescent="0.75">
      <c r="E821">
        <v>815</v>
      </c>
      <c r="F821">
        <f t="shared" ca="1" si="48"/>
        <v>-0.22771190823358123</v>
      </c>
      <c r="G821">
        <f t="shared" ca="1" si="49"/>
        <v>98.457777783992412</v>
      </c>
      <c r="H821">
        <f t="shared" ca="1" si="50"/>
        <v>0</v>
      </c>
      <c r="I821">
        <f t="shared" ca="1" si="51"/>
        <v>0</v>
      </c>
    </row>
    <row r="822" spans="5:9" x14ac:dyDescent="0.75">
      <c r="E822">
        <v>816</v>
      </c>
      <c r="F822">
        <f t="shared" ca="1" si="48"/>
        <v>1.4918663097753089</v>
      </c>
      <c r="G822">
        <f t="shared" ca="1" si="49"/>
        <v>138.87072271355959</v>
      </c>
      <c r="H822">
        <f t="shared" ca="1" si="50"/>
        <v>38.870722713559587</v>
      </c>
      <c r="I822">
        <f t="shared" ca="1" si="51"/>
        <v>36.974975196746122</v>
      </c>
    </row>
    <row r="823" spans="5:9" x14ac:dyDescent="0.75">
      <c r="E823">
        <v>817</v>
      </c>
      <c r="F823">
        <f t="shared" ca="1" si="48"/>
        <v>-1.7906010488775035</v>
      </c>
      <c r="G823">
        <f t="shared" ca="1" si="49"/>
        <v>72.027643023297841</v>
      </c>
      <c r="H823">
        <f t="shared" ca="1" si="50"/>
        <v>0</v>
      </c>
      <c r="I823">
        <f t="shared" ca="1" si="51"/>
        <v>0</v>
      </c>
    </row>
    <row r="824" spans="5:9" x14ac:dyDescent="0.75">
      <c r="E824">
        <v>818</v>
      </c>
      <c r="F824">
        <f t="shared" ca="1" si="48"/>
        <v>-1.3650292312115575</v>
      </c>
      <c r="G824">
        <f t="shared" ca="1" si="49"/>
        <v>78.426692874365159</v>
      </c>
      <c r="H824">
        <f t="shared" ca="1" si="50"/>
        <v>0</v>
      </c>
      <c r="I824">
        <f t="shared" ca="1" si="51"/>
        <v>0</v>
      </c>
    </row>
    <row r="825" spans="5:9" x14ac:dyDescent="0.75">
      <c r="E825">
        <v>819</v>
      </c>
      <c r="F825">
        <f t="shared" ca="1" si="48"/>
        <v>-9.7427699976157509E-2</v>
      </c>
      <c r="G825">
        <f t="shared" ca="1" si="49"/>
        <v>101.05699311853998</v>
      </c>
      <c r="H825">
        <f t="shared" ca="1" si="50"/>
        <v>1.0569931185399781</v>
      </c>
      <c r="I825">
        <f t="shared" ca="1" si="51"/>
        <v>1.0054429558499984</v>
      </c>
    </row>
    <row r="826" spans="5:9" x14ac:dyDescent="0.75">
      <c r="E826">
        <v>820</v>
      </c>
      <c r="F826">
        <f t="shared" ca="1" si="48"/>
        <v>1.7738906708485813</v>
      </c>
      <c r="G826">
        <f t="shared" ca="1" si="49"/>
        <v>146.92883004073221</v>
      </c>
      <c r="H826">
        <f t="shared" ca="1" si="50"/>
        <v>46.928830040732208</v>
      </c>
      <c r="I826">
        <f t="shared" ca="1" si="51"/>
        <v>44.640083992137519</v>
      </c>
    </row>
    <row r="827" spans="5:9" x14ac:dyDescent="0.75">
      <c r="E827">
        <v>821</v>
      </c>
      <c r="F827">
        <f t="shared" ca="1" si="48"/>
        <v>-0.66682548785724138</v>
      </c>
      <c r="G827">
        <f t="shared" ca="1" si="49"/>
        <v>90.17976692321092</v>
      </c>
      <c r="H827">
        <f t="shared" ca="1" si="50"/>
        <v>0</v>
      </c>
      <c r="I827">
        <f t="shared" ca="1" si="51"/>
        <v>0</v>
      </c>
    </row>
    <row r="828" spans="5:9" x14ac:dyDescent="0.75">
      <c r="E828">
        <v>822</v>
      </c>
      <c r="F828">
        <f t="shared" ca="1" si="48"/>
        <v>0.40586272028838599</v>
      </c>
      <c r="G828">
        <f t="shared" ca="1" si="49"/>
        <v>111.75877233399059</v>
      </c>
      <c r="H828">
        <f t="shared" ca="1" si="50"/>
        <v>11.758772333990592</v>
      </c>
      <c r="I828">
        <f t="shared" ca="1" si="51"/>
        <v>11.185290240096789</v>
      </c>
    </row>
    <row r="829" spans="5:9" x14ac:dyDescent="0.75">
      <c r="E829">
        <v>823</v>
      </c>
      <c r="F829">
        <f t="shared" ca="1" si="48"/>
        <v>-0.20979385008724827</v>
      </c>
      <c r="G829">
        <f t="shared" ca="1" si="49"/>
        <v>98.811245188123905</v>
      </c>
      <c r="H829">
        <f t="shared" ca="1" si="50"/>
        <v>0</v>
      </c>
      <c r="I829">
        <f t="shared" ca="1" si="51"/>
        <v>0</v>
      </c>
    </row>
    <row r="830" spans="5:9" x14ac:dyDescent="0.75">
      <c r="E830">
        <v>824</v>
      </c>
      <c r="F830">
        <f t="shared" ca="1" si="48"/>
        <v>-0.89763132385632027</v>
      </c>
      <c r="G830">
        <f t="shared" ca="1" si="49"/>
        <v>86.111582071262021</v>
      </c>
      <c r="H830">
        <f t="shared" ca="1" si="50"/>
        <v>0</v>
      </c>
      <c r="I830">
        <f t="shared" ca="1" si="51"/>
        <v>0</v>
      </c>
    </row>
    <row r="831" spans="5:9" x14ac:dyDescent="0.75">
      <c r="E831">
        <v>825</v>
      </c>
      <c r="F831">
        <f t="shared" ca="1" si="48"/>
        <v>-0.10456825943917653</v>
      </c>
      <c r="G831">
        <f t="shared" ca="1" si="49"/>
        <v>100.91277542884653</v>
      </c>
      <c r="H831">
        <f t="shared" ca="1" si="50"/>
        <v>0.91277542884652973</v>
      </c>
      <c r="I831">
        <f t="shared" ca="1" si="51"/>
        <v>0.86825884588007696</v>
      </c>
    </row>
    <row r="832" spans="5:9" x14ac:dyDescent="0.75">
      <c r="E832">
        <v>826</v>
      </c>
      <c r="F832">
        <f t="shared" ca="1" si="48"/>
        <v>-0.40781812279955099</v>
      </c>
      <c r="G832">
        <f t="shared" ca="1" si="49"/>
        <v>94.974322104537151</v>
      </c>
      <c r="H832">
        <f t="shared" ca="1" si="50"/>
        <v>0</v>
      </c>
      <c r="I832">
        <f t="shared" ca="1" si="51"/>
        <v>0</v>
      </c>
    </row>
    <row r="833" spans="5:9" x14ac:dyDescent="0.75">
      <c r="E833">
        <v>827</v>
      </c>
      <c r="F833">
        <f t="shared" ca="1" si="48"/>
        <v>-0.9723252824297326</v>
      </c>
      <c r="G833">
        <f t="shared" ca="1" si="49"/>
        <v>84.834740066572593</v>
      </c>
      <c r="H833">
        <f t="shared" ca="1" si="50"/>
        <v>0</v>
      </c>
      <c r="I833">
        <f t="shared" ca="1" si="51"/>
        <v>0</v>
      </c>
    </row>
    <row r="834" spans="5:9" x14ac:dyDescent="0.75">
      <c r="E834">
        <v>828</v>
      </c>
      <c r="F834">
        <f t="shared" ca="1" si="48"/>
        <v>-1.3022194317600693</v>
      </c>
      <c r="G834">
        <f t="shared" ca="1" si="49"/>
        <v>79.418099814488713</v>
      </c>
      <c r="H834">
        <f t="shared" ca="1" si="50"/>
        <v>0</v>
      </c>
      <c r="I834">
        <f t="shared" ca="1" si="51"/>
        <v>0</v>
      </c>
    </row>
    <row r="835" spans="5:9" x14ac:dyDescent="0.75">
      <c r="E835">
        <v>829</v>
      </c>
      <c r="F835">
        <f t="shared" ca="1" si="48"/>
        <v>-3.0218259239571572</v>
      </c>
      <c r="G835">
        <f t="shared" ca="1" si="49"/>
        <v>56.30621958219217</v>
      </c>
      <c r="H835">
        <f t="shared" ca="1" si="50"/>
        <v>0</v>
      </c>
      <c r="I835">
        <f t="shared" ca="1" si="51"/>
        <v>0</v>
      </c>
    </row>
    <row r="836" spans="5:9" x14ac:dyDescent="0.75">
      <c r="E836">
        <v>830</v>
      </c>
      <c r="F836">
        <f t="shared" ca="1" si="48"/>
        <v>-0.55418889292481643</v>
      </c>
      <c r="G836">
        <f t="shared" ca="1" si="49"/>
        <v>92.234330314495494</v>
      </c>
      <c r="H836">
        <f t="shared" ca="1" si="50"/>
        <v>0</v>
      </c>
      <c r="I836">
        <f t="shared" ca="1" si="51"/>
        <v>0</v>
      </c>
    </row>
    <row r="837" spans="5:9" x14ac:dyDescent="0.75">
      <c r="E837">
        <v>831</v>
      </c>
      <c r="F837">
        <f t="shared" ca="1" si="48"/>
        <v>0.7942312589711551</v>
      </c>
      <c r="G837">
        <f t="shared" ca="1" si="49"/>
        <v>120.78552326313749</v>
      </c>
      <c r="H837">
        <f t="shared" ca="1" si="50"/>
        <v>20.785523263137492</v>
      </c>
      <c r="I837">
        <f t="shared" ca="1" si="51"/>
        <v>19.77180133154048</v>
      </c>
    </row>
    <row r="838" spans="5:9" x14ac:dyDescent="0.75">
      <c r="E838">
        <v>832</v>
      </c>
      <c r="F838">
        <f t="shared" ca="1" si="48"/>
        <v>-0.80369274699606497</v>
      </c>
      <c r="G838">
        <f t="shared" ca="1" si="49"/>
        <v>87.744715348952411</v>
      </c>
      <c r="H838">
        <f t="shared" ca="1" si="50"/>
        <v>0</v>
      </c>
      <c r="I838">
        <f t="shared" ca="1" si="51"/>
        <v>0</v>
      </c>
    </row>
    <row r="839" spans="5:9" x14ac:dyDescent="0.75">
      <c r="E839">
        <v>833</v>
      </c>
      <c r="F839">
        <f t="shared" ca="1" si="48"/>
        <v>0.2544125226260549</v>
      </c>
      <c r="G839">
        <f t="shared" ca="1" si="49"/>
        <v>108.4243495378099</v>
      </c>
      <c r="H839">
        <f t="shared" ca="1" si="50"/>
        <v>8.4243495378099027</v>
      </c>
      <c r="I839">
        <f t="shared" ca="1" si="51"/>
        <v>8.0134891626437703</v>
      </c>
    </row>
    <row r="840" spans="5:9" x14ac:dyDescent="0.75">
      <c r="E840">
        <v>834</v>
      </c>
      <c r="F840">
        <f t="shared" ref="F840:F903" ca="1" si="52">NORMINV(RAND(), 0,1)</f>
        <v>2.0057871113284058</v>
      </c>
      <c r="G840">
        <f t="shared" ref="G840:G903" ca="1" si="53">$C$5*EXP(($C$6-0.5*$C$7^2)*$C$8+$C$7*SQRT($C$8)*F840)</f>
        <v>153.90378097067986</v>
      </c>
      <c r="H840">
        <f t="shared" ref="H840:H903" ca="1" si="54">MAX(G840-$C$9,0)</f>
        <v>53.903780970679861</v>
      </c>
      <c r="I840">
        <f t="shared" ref="I840:I903" ca="1" si="55">EXP(-$C$6*$C$8)*H840</f>
        <v>51.274862551152346</v>
      </c>
    </row>
    <row r="841" spans="5:9" x14ac:dyDescent="0.75">
      <c r="E841">
        <v>835</v>
      </c>
      <c r="F841">
        <f t="shared" ca="1" si="52"/>
        <v>-1.7534481842582401</v>
      </c>
      <c r="G841">
        <f t="shared" ca="1" si="53"/>
        <v>72.564843057612123</v>
      </c>
      <c r="H841">
        <f t="shared" ca="1" si="54"/>
        <v>0</v>
      </c>
      <c r="I841">
        <f t="shared" ca="1" si="55"/>
        <v>0</v>
      </c>
    </row>
    <row r="842" spans="5:9" x14ac:dyDescent="0.75">
      <c r="E842">
        <v>836</v>
      </c>
      <c r="F842">
        <f t="shared" ca="1" si="52"/>
        <v>0.47336768769618909</v>
      </c>
      <c r="G842">
        <f t="shared" ca="1" si="53"/>
        <v>113.27785830120585</v>
      </c>
      <c r="H842">
        <f t="shared" ca="1" si="54"/>
        <v>13.277858301205853</v>
      </c>
      <c r="I842">
        <f t="shared" ca="1" si="55"/>
        <v>12.630289510458072</v>
      </c>
    </row>
    <row r="843" spans="5:9" x14ac:dyDescent="0.75">
      <c r="E843">
        <v>837</v>
      </c>
      <c r="F843">
        <f t="shared" ca="1" si="52"/>
        <v>-9.5262180656647419E-2</v>
      </c>
      <c r="G843">
        <f t="shared" ca="1" si="53"/>
        <v>101.10077077218509</v>
      </c>
      <c r="H843">
        <f t="shared" ca="1" si="54"/>
        <v>1.1007707721850863</v>
      </c>
      <c r="I843">
        <f t="shared" ca="1" si="55"/>
        <v>1.0470855481328263</v>
      </c>
    </row>
    <row r="844" spans="5:9" x14ac:dyDescent="0.75">
      <c r="E844">
        <v>838</v>
      </c>
      <c r="F844">
        <f t="shared" ca="1" si="52"/>
        <v>0.14110358407029006</v>
      </c>
      <c r="G844">
        <f t="shared" ca="1" si="53"/>
        <v>105.99489184423408</v>
      </c>
      <c r="H844">
        <f t="shared" ca="1" si="54"/>
        <v>5.9948918442340755</v>
      </c>
      <c r="I844">
        <f t="shared" ca="1" si="55"/>
        <v>5.7025175189348039</v>
      </c>
    </row>
    <row r="845" spans="5:9" x14ac:dyDescent="0.75">
      <c r="E845">
        <v>839</v>
      </c>
      <c r="F845">
        <f t="shared" ca="1" si="52"/>
        <v>0.25813426325439259</v>
      </c>
      <c r="G845">
        <f t="shared" ca="1" si="53"/>
        <v>108.50508504309846</v>
      </c>
      <c r="H845">
        <f t="shared" ca="1" si="54"/>
        <v>8.505085043098461</v>
      </c>
      <c r="I845">
        <f t="shared" ca="1" si="55"/>
        <v>8.0902871508761791</v>
      </c>
    </row>
    <row r="846" spans="5:9" x14ac:dyDescent="0.75">
      <c r="E846">
        <v>840</v>
      </c>
      <c r="F846">
        <f t="shared" ca="1" si="52"/>
        <v>0.37666167464113992</v>
      </c>
      <c r="G846">
        <f t="shared" ca="1" si="53"/>
        <v>111.10797996305276</v>
      </c>
      <c r="H846">
        <f t="shared" ca="1" si="54"/>
        <v>11.107979963052756</v>
      </c>
      <c r="I846">
        <f t="shared" ca="1" si="55"/>
        <v>10.566237387620136</v>
      </c>
    </row>
    <row r="847" spans="5:9" x14ac:dyDescent="0.75">
      <c r="E847">
        <v>841</v>
      </c>
      <c r="F847">
        <f t="shared" ca="1" si="52"/>
        <v>0.28225069460989055</v>
      </c>
      <c r="G847">
        <f t="shared" ca="1" si="53"/>
        <v>109.02970029785159</v>
      </c>
      <c r="H847">
        <f t="shared" ca="1" si="54"/>
        <v>9.0297002978515906</v>
      </c>
      <c r="I847">
        <f t="shared" ca="1" si="55"/>
        <v>8.5893166177392946</v>
      </c>
    </row>
    <row r="848" spans="5:9" x14ac:dyDescent="0.75">
      <c r="E848">
        <v>842</v>
      </c>
      <c r="F848">
        <f t="shared" ca="1" si="52"/>
        <v>-0.18160870317030361</v>
      </c>
      <c r="G848">
        <f t="shared" ca="1" si="53"/>
        <v>99.369819952729202</v>
      </c>
      <c r="H848">
        <f t="shared" ca="1" si="54"/>
        <v>0</v>
      </c>
      <c r="I848">
        <f t="shared" ca="1" si="55"/>
        <v>0</v>
      </c>
    </row>
    <row r="849" spans="5:9" x14ac:dyDescent="0.75">
      <c r="E849">
        <v>843</v>
      </c>
      <c r="F849">
        <f t="shared" ca="1" si="52"/>
        <v>3.71691758410009E-2</v>
      </c>
      <c r="G849">
        <f t="shared" ca="1" si="53"/>
        <v>103.81433062321499</v>
      </c>
      <c r="H849">
        <f t="shared" ca="1" si="54"/>
        <v>3.8143306232149854</v>
      </c>
      <c r="I849">
        <f t="shared" ca="1" si="55"/>
        <v>3.6283035235762404</v>
      </c>
    </row>
    <row r="850" spans="5:9" x14ac:dyDescent="0.75">
      <c r="E850">
        <v>844</v>
      </c>
      <c r="F850">
        <f t="shared" ca="1" si="52"/>
        <v>-0.49162433964667202</v>
      </c>
      <c r="G850">
        <f t="shared" ca="1" si="53"/>
        <v>93.395701160690336</v>
      </c>
      <c r="H850">
        <f t="shared" ca="1" si="54"/>
        <v>0</v>
      </c>
      <c r="I850">
        <f t="shared" ca="1" si="55"/>
        <v>0</v>
      </c>
    </row>
    <row r="851" spans="5:9" x14ac:dyDescent="0.75">
      <c r="E851">
        <v>845</v>
      </c>
      <c r="F851">
        <f t="shared" ca="1" si="52"/>
        <v>0.24636156154444008</v>
      </c>
      <c r="G851">
        <f t="shared" ca="1" si="53"/>
        <v>108.24990597564748</v>
      </c>
      <c r="H851">
        <f t="shared" ca="1" si="54"/>
        <v>8.2499059756474793</v>
      </c>
      <c r="I851">
        <f t="shared" ca="1" si="55"/>
        <v>7.8475533134001534</v>
      </c>
    </row>
    <row r="852" spans="5:9" x14ac:dyDescent="0.75">
      <c r="E852">
        <v>846</v>
      </c>
      <c r="F852">
        <f t="shared" ca="1" si="52"/>
        <v>0.22618094206300801</v>
      </c>
      <c r="G852">
        <f t="shared" ca="1" si="53"/>
        <v>107.813876469843</v>
      </c>
      <c r="H852">
        <f t="shared" ca="1" si="54"/>
        <v>7.8138764698429952</v>
      </c>
      <c r="I852">
        <f t="shared" ca="1" si="55"/>
        <v>7.4327892175284234</v>
      </c>
    </row>
    <row r="853" spans="5:9" x14ac:dyDescent="0.75">
      <c r="E853">
        <v>847</v>
      </c>
      <c r="F853">
        <f t="shared" ca="1" si="52"/>
        <v>-0.1395022077641779</v>
      </c>
      <c r="G853">
        <f t="shared" ca="1" si="53"/>
        <v>100.21017640633376</v>
      </c>
      <c r="H853">
        <f t="shared" ca="1" si="54"/>
        <v>0.21017640633375834</v>
      </c>
      <c r="I853">
        <f t="shared" ca="1" si="55"/>
        <v>0.19992598204048917</v>
      </c>
    </row>
    <row r="854" spans="5:9" x14ac:dyDescent="0.75">
      <c r="E854">
        <v>848</v>
      </c>
      <c r="F854">
        <f t="shared" ca="1" si="52"/>
        <v>-0.71997354713967154</v>
      </c>
      <c r="G854">
        <f t="shared" ca="1" si="53"/>
        <v>89.226267644991225</v>
      </c>
      <c r="H854">
        <f t="shared" ca="1" si="54"/>
        <v>0</v>
      </c>
      <c r="I854">
        <f t="shared" ca="1" si="55"/>
        <v>0</v>
      </c>
    </row>
    <row r="855" spans="5:9" x14ac:dyDescent="0.75">
      <c r="E855">
        <v>849</v>
      </c>
      <c r="F855">
        <f t="shared" ca="1" si="52"/>
        <v>-1.9831932558474237</v>
      </c>
      <c r="G855">
        <f t="shared" ca="1" si="53"/>
        <v>69.306003623595586</v>
      </c>
      <c r="H855">
        <f t="shared" ca="1" si="54"/>
        <v>0</v>
      </c>
      <c r="I855">
        <f t="shared" ca="1" si="55"/>
        <v>0</v>
      </c>
    </row>
    <row r="856" spans="5:9" x14ac:dyDescent="0.75">
      <c r="E856">
        <v>850</v>
      </c>
      <c r="F856">
        <f t="shared" ca="1" si="52"/>
        <v>-1.411651457248132</v>
      </c>
      <c r="G856">
        <f t="shared" ca="1" si="53"/>
        <v>77.698806316879072</v>
      </c>
      <c r="H856">
        <f t="shared" ca="1" si="54"/>
        <v>0</v>
      </c>
      <c r="I856">
        <f t="shared" ca="1" si="55"/>
        <v>0</v>
      </c>
    </row>
    <row r="857" spans="5:9" x14ac:dyDescent="0.75">
      <c r="E857">
        <v>851</v>
      </c>
      <c r="F857">
        <f t="shared" ca="1" si="52"/>
        <v>0.72602688236951352</v>
      </c>
      <c r="G857">
        <f t="shared" ca="1" si="53"/>
        <v>119.14908956846784</v>
      </c>
      <c r="H857">
        <f t="shared" ca="1" si="54"/>
        <v>19.149089568467843</v>
      </c>
      <c r="I857">
        <f t="shared" ca="1" si="55"/>
        <v>18.215177449926294</v>
      </c>
    </row>
    <row r="858" spans="5:9" x14ac:dyDescent="0.75">
      <c r="E858">
        <v>852</v>
      </c>
      <c r="F858">
        <f t="shared" ca="1" si="52"/>
        <v>0.9564259446612714</v>
      </c>
      <c r="G858">
        <f t="shared" ca="1" si="53"/>
        <v>124.76792041303335</v>
      </c>
      <c r="H858">
        <f t="shared" ca="1" si="54"/>
        <v>24.767920413033352</v>
      </c>
      <c r="I858">
        <f t="shared" ca="1" si="55"/>
        <v>23.559974680569201</v>
      </c>
    </row>
    <row r="859" spans="5:9" x14ac:dyDescent="0.75">
      <c r="E859">
        <v>853</v>
      </c>
      <c r="F859">
        <f t="shared" ca="1" si="52"/>
        <v>-0.81080148931814666</v>
      </c>
      <c r="G859">
        <f t="shared" ca="1" si="53"/>
        <v>87.620053074841806</v>
      </c>
      <c r="H859">
        <f t="shared" ca="1" si="54"/>
        <v>0</v>
      </c>
      <c r="I859">
        <f t="shared" ca="1" si="55"/>
        <v>0</v>
      </c>
    </row>
    <row r="860" spans="5:9" x14ac:dyDescent="0.75">
      <c r="E860">
        <v>854</v>
      </c>
      <c r="F860">
        <f t="shared" ca="1" si="52"/>
        <v>0.35667985143008663</v>
      </c>
      <c r="G860">
        <f t="shared" ca="1" si="53"/>
        <v>110.66483802862233</v>
      </c>
      <c r="H860">
        <f t="shared" ca="1" si="54"/>
        <v>10.664838028622327</v>
      </c>
      <c r="I860">
        <f t="shared" ca="1" si="55"/>
        <v>10.144707740359745</v>
      </c>
    </row>
    <row r="861" spans="5:9" x14ac:dyDescent="0.75">
      <c r="E861">
        <v>855</v>
      </c>
      <c r="F861">
        <f t="shared" ca="1" si="52"/>
        <v>-0.81524259924876386</v>
      </c>
      <c r="G861">
        <f t="shared" ca="1" si="53"/>
        <v>87.542261570452098</v>
      </c>
      <c r="H861">
        <f t="shared" ca="1" si="54"/>
        <v>0</v>
      </c>
      <c r="I861">
        <f t="shared" ca="1" si="55"/>
        <v>0</v>
      </c>
    </row>
    <row r="862" spans="5:9" x14ac:dyDescent="0.75">
      <c r="E862">
        <v>856</v>
      </c>
      <c r="F862">
        <f t="shared" ca="1" si="52"/>
        <v>0.70542213730477321</v>
      </c>
      <c r="G862">
        <f t="shared" ca="1" si="53"/>
        <v>118.65909256518677</v>
      </c>
      <c r="H862">
        <f t="shared" ca="1" si="54"/>
        <v>18.659092565186768</v>
      </c>
      <c r="I862">
        <f t="shared" ca="1" si="55"/>
        <v>17.749077882488162</v>
      </c>
    </row>
    <row r="863" spans="5:9" x14ac:dyDescent="0.75">
      <c r="E863">
        <v>857</v>
      </c>
      <c r="F863">
        <f t="shared" ca="1" si="52"/>
        <v>-0.69004712300714333</v>
      </c>
      <c r="G863">
        <f t="shared" ca="1" si="53"/>
        <v>89.761913668797206</v>
      </c>
      <c r="H863">
        <f t="shared" ca="1" si="54"/>
        <v>0</v>
      </c>
      <c r="I863">
        <f t="shared" ca="1" si="55"/>
        <v>0</v>
      </c>
    </row>
    <row r="864" spans="5:9" x14ac:dyDescent="0.75">
      <c r="E864">
        <v>858</v>
      </c>
      <c r="F864">
        <f t="shared" ca="1" si="52"/>
        <v>-0.20070406423453646</v>
      </c>
      <c r="G864">
        <f t="shared" ca="1" si="53"/>
        <v>98.991043182851882</v>
      </c>
      <c r="H864">
        <f t="shared" ca="1" si="54"/>
        <v>0</v>
      </c>
      <c r="I864">
        <f t="shared" ca="1" si="55"/>
        <v>0</v>
      </c>
    </row>
    <row r="865" spans="5:9" x14ac:dyDescent="0.75">
      <c r="E865">
        <v>859</v>
      </c>
      <c r="F865">
        <f t="shared" ca="1" si="52"/>
        <v>-0.41695798792870803</v>
      </c>
      <c r="G865">
        <f t="shared" ca="1" si="53"/>
        <v>94.800870186596001</v>
      </c>
      <c r="H865">
        <f t="shared" ca="1" si="54"/>
        <v>0</v>
      </c>
      <c r="I865">
        <f t="shared" ca="1" si="55"/>
        <v>0</v>
      </c>
    </row>
    <row r="866" spans="5:9" x14ac:dyDescent="0.75">
      <c r="E866">
        <v>860</v>
      </c>
      <c r="F866">
        <f t="shared" ca="1" si="52"/>
        <v>0.97369103901725296</v>
      </c>
      <c r="G866">
        <f t="shared" ca="1" si="53"/>
        <v>125.19949107875243</v>
      </c>
      <c r="H866">
        <f t="shared" ca="1" si="54"/>
        <v>25.19949107875243</v>
      </c>
      <c r="I866">
        <f t="shared" ca="1" si="55"/>
        <v>23.970497396552553</v>
      </c>
    </row>
    <row r="867" spans="5:9" x14ac:dyDescent="0.75">
      <c r="E867">
        <v>861</v>
      </c>
      <c r="F867">
        <f t="shared" ca="1" si="52"/>
        <v>1.6724647337142937</v>
      </c>
      <c r="G867">
        <f t="shared" ca="1" si="53"/>
        <v>143.97837759783732</v>
      </c>
      <c r="H867">
        <f t="shared" ca="1" si="54"/>
        <v>43.978377597837323</v>
      </c>
      <c r="I867">
        <f t="shared" ca="1" si="55"/>
        <v>41.833526812865891</v>
      </c>
    </row>
    <row r="868" spans="5:9" x14ac:dyDescent="0.75">
      <c r="E868">
        <v>862</v>
      </c>
      <c r="F868">
        <f t="shared" ca="1" si="52"/>
        <v>-5.5763886153482517E-2</v>
      </c>
      <c r="G868">
        <f t="shared" ca="1" si="53"/>
        <v>101.90259527612493</v>
      </c>
      <c r="H868">
        <f t="shared" ca="1" si="54"/>
        <v>1.9025952761249272</v>
      </c>
      <c r="I868">
        <f t="shared" ca="1" si="55"/>
        <v>1.8098046095660916</v>
      </c>
    </row>
    <row r="869" spans="5:9" x14ac:dyDescent="0.75">
      <c r="E869">
        <v>863</v>
      </c>
      <c r="F869">
        <f t="shared" ca="1" si="52"/>
        <v>-7.6755439463180183E-2</v>
      </c>
      <c r="G869">
        <f t="shared" ca="1" si="53"/>
        <v>101.47567332645475</v>
      </c>
      <c r="H869">
        <f t="shared" ca="1" si="54"/>
        <v>1.4756733264547535</v>
      </c>
      <c r="I869">
        <f t="shared" ca="1" si="55"/>
        <v>1.4037038890746094</v>
      </c>
    </row>
    <row r="870" spans="5:9" x14ac:dyDescent="0.75">
      <c r="E870">
        <v>864</v>
      </c>
      <c r="F870">
        <f t="shared" ca="1" si="52"/>
        <v>-1.3148277241461483</v>
      </c>
      <c r="G870">
        <f t="shared" ca="1" si="53"/>
        <v>79.218086778117751</v>
      </c>
      <c r="H870">
        <f t="shared" ca="1" si="54"/>
        <v>0</v>
      </c>
      <c r="I870">
        <f t="shared" ca="1" si="55"/>
        <v>0</v>
      </c>
    </row>
    <row r="871" spans="5:9" x14ac:dyDescent="0.75">
      <c r="E871">
        <v>865</v>
      </c>
      <c r="F871">
        <f t="shared" ca="1" si="52"/>
        <v>-0.7782071240434848</v>
      </c>
      <c r="G871">
        <f t="shared" ca="1" si="53"/>
        <v>88.193102867986113</v>
      </c>
      <c r="H871">
        <f t="shared" ca="1" si="54"/>
        <v>0</v>
      </c>
      <c r="I871">
        <f t="shared" ca="1" si="55"/>
        <v>0</v>
      </c>
    </row>
    <row r="872" spans="5:9" x14ac:dyDescent="0.75">
      <c r="E872">
        <v>866</v>
      </c>
      <c r="F872">
        <f t="shared" ca="1" si="52"/>
        <v>0.29467040914198367</v>
      </c>
      <c r="G872">
        <f t="shared" ca="1" si="53"/>
        <v>109.3008604822828</v>
      </c>
      <c r="H872">
        <f t="shared" ca="1" si="54"/>
        <v>9.3008604822828005</v>
      </c>
      <c r="I872">
        <f t="shared" ca="1" si="55"/>
        <v>8.8472521639233026</v>
      </c>
    </row>
    <row r="873" spans="5:9" x14ac:dyDescent="0.75">
      <c r="E873">
        <v>867</v>
      </c>
      <c r="F873">
        <f t="shared" ca="1" si="52"/>
        <v>-1.2834429156979312</v>
      </c>
      <c r="G873">
        <f t="shared" ca="1" si="53"/>
        <v>79.716899550504294</v>
      </c>
      <c r="H873">
        <f t="shared" ca="1" si="54"/>
        <v>0</v>
      </c>
      <c r="I873">
        <f t="shared" ca="1" si="55"/>
        <v>0</v>
      </c>
    </row>
    <row r="874" spans="5:9" x14ac:dyDescent="0.75">
      <c r="E874">
        <v>868</v>
      </c>
      <c r="F874">
        <f t="shared" ca="1" si="52"/>
        <v>-0.48363564846363111</v>
      </c>
      <c r="G874">
        <f t="shared" ca="1" si="53"/>
        <v>93.545042315837108</v>
      </c>
      <c r="H874">
        <f t="shared" ca="1" si="54"/>
        <v>0</v>
      </c>
      <c r="I874">
        <f t="shared" ca="1" si="55"/>
        <v>0</v>
      </c>
    </row>
    <row r="875" spans="5:9" x14ac:dyDescent="0.75">
      <c r="E875">
        <v>869</v>
      </c>
      <c r="F875">
        <f t="shared" ca="1" si="52"/>
        <v>-1.8306128680532434</v>
      </c>
      <c r="G875">
        <f t="shared" ca="1" si="53"/>
        <v>71.453551724985758</v>
      </c>
      <c r="H875">
        <f t="shared" ca="1" si="54"/>
        <v>0</v>
      </c>
      <c r="I875">
        <f t="shared" ca="1" si="55"/>
        <v>0</v>
      </c>
    </row>
    <row r="876" spans="5:9" x14ac:dyDescent="0.75">
      <c r="E876">
        <v>870</v>
      </c>
      <c r="F876">
        <f t="shared" ca="1" si="52"/>
        <v>-1.0058681268610872</v>
      </c>
      <c r="G876">
        <f t="shared" ca="1" si="53"/>
        <v>84.267525096523045</v>
      </c>
      <c r="H876">
        <f t="shared" ca="1" si="54"/>
        <v>0</v>
      </c>
      <c r="I876">
        <f t="shared" ca="1" si="55"/>
        <v>0</v>
      </c>
    </row>
    <row r="877" spans="5:9" x14ac:dyDescent="0.75">
      <c r="E877">
        <v>871</v>
      </c>
      <c r="F877">
        <f t="shared" ca="1" si="52"/>
        <v>-0.17209241887884771</v>
      </c>
      <c r="G877">
        <f t="shared" ca="1" si="53"/>
        <v>99.559126336252703</v>
      </c>
      <c r="H877">
        <f t="shared" ca="1" si="54"/>
        <v>0</v>
      </c>
      <c r="I877">
        <f t="shared" ca="1" si="55"/>
        <v>0</v>
      </c>
    </row>
    <row r="878" spans="5:9" x14ac:dyDescent="0.75">
      <c r="E878">
        <v>872</v>
      </c>
      <c r="F878">
        <f t="shared" ca="1" si="52"/>
        <v>1.2396243269240972</v>
      </c>
      <c r="G878">
        <f t="shared" ca="1" si="53"/>
        <v>132.03869867139346</v>
      </c>
      <c r="H878">
        <f t="shared" ca="1" si="54"/>
        <v>32.038698671393462</v>
      </c>
      <c r="I878">
        <f t="shared" ca="1" si="55"/>
        <v>30.476152898941393</v>
      </c>
    </row>
    <row r="879" spans="5:9" x14ac:dyDescent="0.75">
      <c r="E879">
        <v>873</v>
      </c>
      <c r="F879">
        <f t="shared" ca="1" si="52"/>
        <v>-0.17593396471431683</v>
      </c>
      <c r="G879">
        <f t="shared" ca="1" si="53"/>
        <v>99.48266352412179</v>
      </c>
      <c r="H879">
        <f t="shared" ca="1" si="54"/>
        <v>0</v>
      </c>
      <c r="I879">
        <f t="shared" ca="1" si="55"/>
        <v>0</v>
      </c>
    </row>
    <row r="880" spans="5:9" x14ac:dyDescent="0.75">
      <c r="E880">
        <v>874</v>
      </c>
      <c r="F880">
        <f t="shared" ca="1" si="52"/>
        <v>-6.1842426838865051E-3</v>
      </c>
      <c r="G880">
        <f t="shared" ca="1" si="53"/>
        <v>102.91808056378611</v>
      </c>
      <c r="H880">
        <f t="shared" ca="1" si="54"/>
        <v>2.9180805637861056</v>
      </c>
      <c r="I880">
        <f t="shared" ca="1" si="55"/>
        <v>2.7757640953369762</v>
      </c>
    </row>
    <row r="881" spans="5:9" x14ac:dyDescent="0.75">
      <c r="E881">
        <v>875</v>
      </c>
      <c r="F881">
        <f t="shared" ca="1" si="52"/>
        <v>-0.82320064230272949</v>
      </c>
      <c r="G881">
        <f t="shared" ca="1" si="53"/>
        <v>87.403039376139915</v>
      </c>
      <c r="H881">
        <f t="shared" ca="1" si="54"/>
        <v>0</v>
      </c>
      <c r="I881">
        <f t="shared" ca="1" si="55"/>
        <v>0</v>
      </c>
    </row>
    <row r="882" spans="5:9" x14ac:dyDescent="0.75">
      <c r="E882">
        <v>876</v>
      </c>
      <c r="F882">
        <f t="shared" ca="1" si="52"/>
        <v>0.59853346530693208</v>
      </c>
      <c r="G882">
        <f t="shared" ca="1" si="53"/>
        <v>116.14935186541824</v>
      </c>
      <c r="H882">
        <f t="shared" ca="1" si="54"/>
        <v>16.14935186541824</v>
      </c>
      <c r="I882">
        <f t="shared" ca="1" si="55"/>
        <v>15.361738681001324</v>
      </c>
    </row>
    <row r="883" spans="5:9" x14ac:dyDescent="0.75">
      <c r="E883">
        <v>877</v>
      </c>
      <c r="F883">
        <f t="shared" ca="1" si="52"/>
        <v>1.2994191919861771</v>
      </c>
      <c r="G883">
        <f t="shared" ca="1" si="53"/>
        <v>133.62722554826894</v>
      </c>
      <c r="H883">
        <f t="shared" ca="1" si="54"/>
        <v>33.627225548268939</v>
      </c>
      <c r="I883">
        <f t="shared" ca="1" si="55"/>
        <v>31.987206405835568</v>
      </c>
    </row>
    <row r="884" spans="5:9" x14ac:dyDescent="0.75">
      <c r="E884">
        <v>878</v>
      </c>
      <c r="F884">
        <f t="shared" ca="1" si="52"/>
        <v>-0.47731348764790799</v>
      </c>
      <c r="G884">
        <f t="shared" ca="1" si="53"/>
        <v>93.663398486949831</v>
      </c>
      <c r="H884">
        <f t="shared" ca="1" si="54"/>
        <v>0</v>
      </c>
      <c r="I884">
        <f t="shared" ca="1" si="55"/>
        <v>0</v>
      </c>
    </row>
    <row r="885" spans="5:9" x14ac:dyDescent="0.75">
      <c r="E885">
        <v>879</v>
      </c>
      <c r="F885">
        <f t="shared" ca="1" si="52"/>
        <v>-0.45503642079650397</v>
      </c>
      <c r="G885">
        <f t="shared" ca="1" si="53"/>
        <v>94.081638669461682</v>
      </c>
      <c r="H885">
        <f t="shared" ca="1" si="54"/>
        <v>0</v>
      </c>
      <c r="I885">
        <f t="shared" ca="1" si="55"/>
        <v>0</v>
      </c>
    </row>
    <row r="886" spans="5:9" x14ac:dyDescent="0.75">
      <c r="E886">
        <v>880</v>
      </c>
      <c r="F886">
        <f t="shared" ca="1" si="52"/>
        <v>1.6216307480846004</v>
      </c>
      <c r="G886">
        <f t="shared" ca="1" si="53"/>
        <v>142.52199456245523</v>
      </c>
      <c r="H886">
        <f t="shared" ca="1" si="54"/>
        <v>42.521994562455234</v>
      </c>
      <c r="I886">
        <f t="shared" ca="1" si="55"/>
        <v>40.448172416266786</v>
      </c>
    </row>
    <row r="887" spans="5:9" x14ac:dyDescent="0.75">
      <c r="E887">
        <v>881</v>
      </c>
      <c r="F887">
        <f t="shared" ca="1" si="52"/>
        <v>-0.64800062304052963</v>
      </c>
      <c r="G887">
        <f t="shared" ca="1" si="53"/>
        <v>90.519931260464119</v>
      </c>
      <c r="H887">
        <f t="shared" ca="1" si="54"/>
        <v>0</v>
      </c>
      <c r="I887">
        <f t="shared" ca="1" si="55"/>
        <v>0</v>
      </c>
    </row>
    <row r="888" spans="5:9" x14ac:dyDescent="0.75">
      <c r="E888">
        <v>882</v>
      </c>
      <c r="F888">
        <f t="shared" ca="1" si="52"/>
        <v>0.25964150065238639</v>
      </c>
      <c r="G888">
        <f t="shared" ca="1" si="53"/>
        <v>108.53779855796392</v>
      </c>
      <c r="H888">
        <f t="shared" ca="1" si="54"/>
        <v>8.5377985579639244</v>
      </c>
      <c r="I888">
        <f t="shared" ca="1" si="55"/>
        <v>8.1214052087950499</v>
      </c>
    </row>
    <row r="889" spans="5:9" x14ac:dyDescent="0.75">
      <c r="E889">
        <v>883</v>
      </c>
      <c r="F889">
        <f t="shared" ca="1" si="52"/>
        <v>-0.18368241764398044</v>
      </c>
      <c r="G889">
        <f t="shared" ca="1" si="53"/>
        <v>99.328615571155552</v>
      </c>
      <c r="H889">
        <f t="shared" ca="1" si="54"/>
        <v>0</v>
      </c>
      <c r="I889">
        <f t="shared" ca="1" si="55"/>
        <v>0</v>
      </c>
    </row>
    <row r="890" spans="5:9" x14ac:dyDescent="0.75">
      <c r="E890">
        <v>884</v>
      </c>
      <c r="F890">
        <f t="shared" ca="1" si="52"/>
        <v>0.33245819893974782</v>
      </c>
      <c r="G890">
        <f t="shared" ca="1" si="53"/>
        <v>110.13003740006495</v>
      </c>
      <c r="H890">
        <f t="shared" ca="1" si="54"/>
        <v>10.13003740006495</v>
      </c>
      <c r="I890">
        <f t="shared" ca="1" si="55"/>
        <v>9.6359896462344921</v>
      </c>
    </row>
    <row r="891" spans="5:9" x14ac:dyDescent="0.75">
      <c r="E891">
        <v>885</v>
      </c>
      <c r="F891">
        <f t="shared" ca="1" si="52"/>
        <v>0.42698630056688641</v>
      </c>
      <c r="G891">
        <f t="shared" ca="1" si="53"/>
        <v>112.23192016772303</v>
      </c>
      <c r="H891">
        <f t="shared" ca="1" si="54"/>
        <v>12.231920167723032</v>
      </c>
      <c r="I891">
        <f t="shared" ca="1" si="55"/>
        <v>11.635362381681858</v>
      </c>
    </row>
    <row r="892" spans="5:9" x14ac:dyDescent="0.75">
      <c r="E892">
        <v>886</v>
      </c>
      <c r="F892">
        <f t="shared" ca="1" si="52"/>
        <v>1.1257423815333558</v>
      </c>
      <c r="G892">
        <f t="shared" ca="1" si="53"/>
        <v>129.06532380732131</v>
      </c>
      <c r="H892">
        <f t="shared" ca="1" si="54"/>
        <v>29.065323807321306</v>
      </c>
      <c r="I892">
        <f t="shared" ca="1" si="55"/>
        <v>27.647791238165148</v>
      </c>
    </row>
    <row r="893" spans="5:9" x14ac:dyDescent="0.75">
      <c r="E893">
        <v>887</v>
      </c>
      <c r="F893">
        <f t="shared" ca="1" si="52"/>
        <v>-1.3028419245414018</v>
      </c>
      <c r="G893">
        <f t="shared" ca="1" si="53"/>
        <v>79.408212991180775</v>
      </c>
      <c r="H893">
        <f t="shared" ca="1" si="54"/>
        <v>0</v>
      </c>
      <c r="I893">
        <f t="shared" ca="1" si="55"/>
        <v>0</v>
      </c>
    </row>
    <row r="894" spans="5:9" x14ac:dyDescent="0.75">
      <c r="E894">
        <v>888</v>
      </c>
      <c r="F894">
        <f t="shared" ca="1" si="52"/>
        <v>-9.3315919894430235E-2</v>
      </c>
      <c r="G894">
        <f t="shared" ca="1" si="53"/>
        <v>101.14013212507054</v>
      </c>
      <c r="H894">
        <f t="shared" ca="1" si="54"/>
        <v>1.1401321250705365</v>
      </c>
      <c r="I894">
        <f t="shared" ca="1" si="55"/>
        <v>1.0845272251856226</v>
      </c>
    </row>
    <row r="895" spans="5:9" x14ac:dyDescent="0.75">
      <c r="E895">
        <v>889</v>
      </c>
      <c r="F895">
        <f t="shared" ca="1" si="52"/>
        <v>1.1621355078632758</v>
      </c>
      <c r="G895">
        <f t="shared" ca="1" si="53"/>
        <v>130.00816908032934</v>
      </c>
      <c r="H895">
        <f t="shared" ca="1" si="54"/>
        <v>30.008169080329338</v>
      </c>
      <c r="I895">
        <f t="shared" ca="1" si="55"/>
        <v>28.544653404601796</v>
      </c>
    </row>
    <row r="896" spans="5:9" x14ac:dyDescent="0.75">
      <c r="E896">
        <v>890</v>
      </c>
      <c r="F896">
        <f t="shared" ca="1" si="52"/>
        <v>-0.56468607758829759</v>
      </c>
      <c r="G896">
        <f t="shared" ca="1" si="53"/>
        <v>92.040893280447449</v>
      </c>
      <c r="H896">
        <f t="shared" ca="1" si="54"/>
        <v>0</v>
      </c>
      <c r="I896">
        <f t="shared" ca="1" si="55"/>
        <v>0</v>
      </c>
    </row>
    <row r="897" spans="5:9" x14ac:dyDescent="0.75">
      <c r="E897">
        <v>891</v>
      </c>
      <c r="F897">
        <f t="shared" ca="1" si="52"/>
        <v>-0.10929522267112901</v>
      </c>
      <c r="G897">
        <f t="shared" ca="1" si="53"/>
        <v>100.81741831508857</v>
      </c>
      <c r="H897">
        <f t="shared" ca="1" si="54"/>
        <v>0.81741831508857388</v>
      </c>
      <c r="I897">
        <f t="shared" ca="1" si="55"/>
        <v>0.77755235343804741</v>
      </c>
    </row>
    <row r="898" spans="5:9" x14ac:dyDescent="0.75">
      <c r="E898">
        <v>892</v>
      </c>
      <c r="F898">
        <f t="shared" ca="1" si="52"/>
        <v>-4.6805976176242083E-2</v>
      </c>
      <c r="G898">
        <f t="shared" ca="1" si="53"/>
        <v>102.08532577056614</v>
      </c>
      <c r="H898">
        <f t="shared" ca="1" si="54"/>
        <v>2.0853257705661434</v>
      </c>
      <c r="I898">
        <f t="shared" ca="1" si="55"/>
        <v>1.9836232326321406</v>
      </c>
    </row>
    <row r="899" spans="5:9" x14ac:dyDescent="0.75">
      <c r="E899">
        <v>893</v>
      </c>
      <c r="F899">
        <f t="shared" ca="1" si="52"/>
        <v>-1.2504615259299501</v>
      </c>
      <c r="G899">
        <f t="shared" ca="1" si="53"/>
        <v>80.244472473429624</v>
      </c>
      <c r="H899">
        <f t="shared" ca="1" si="54"/>
        <v>0</v>
      </c>
      <c r="I899">
        <f t="shared" ca="1" si="55"/>
        <v>0</v>
      </c>
    </row>
    <row r="900" spans="5:9" x14ac:dyDescent="0.75">
      <c r="E900">
        <v>894</v>
      </c>
      <c r="F900">
        <f t="shared" ca="1" si="52"/>
        <v>0.8332228027582923</v>
      </c>
      <c r="G900">
        <f t="shared" ca="1" si="53"/>
        <v>121.73112833499327</v>
      </c>
      <c r="H900">
        <f t="shared" ca="1" si="54"/>
        <v>21.731128334993272</v>
      </c>
      <c r="I900">
        <f t="shared" ca="1" si="55"/>
        <v>20.671288699846809</v>
      </c>
    </row>
    <row r="901" spans="5:9" x14ac:dyDescent="0.75">
      <c r="E901">
        <v>895</v>
      </c>
      <c r="F901">
        <f t="shared" ca="1" si="52"/>
        <v>0.93716757630281877</v>
      </c>
      <c r="G901">
        <f t="shared" ca="1" si="53"/>
        <v>124.28827940220518</v>
      </c>
      <c r="H901">
        <f t="shared" ca="1" si="54"/>
        <v>24.288279402205177</v>
      </c>
      <c r="I901">
        <f t="shared" ca="1" si="55"/>
        <v>23.103726037872178</v>
      </c>
    </row>
    <row r="902" spans="5:9" x14ac:dyDescent="0.75">
      <c r="E902">
        <v>896</v>
      </c>
      <c r="F902">
        <f t="shared" ca="1" si="52"/>
        <v>1.0977272652731702</v>
      </c>
      <c r="G902">
        <f t="shared" ca="1" si="53"/>
        <v>128.34418994848417</v>
      </c>
      <c r="H902">
        <f t="shared" ca="1" si="54"/>
        <v>28.344189948484171</v>
      </c>
      <c r="I902">
        <f t="shared" ca="1" si="55"/>
        <v>26.961827492635521</v>
      </c>
    </row>
    <row r="903" spans="5:9" x14ac:dyDescent="0.75">
      <c r="E903">
        <v>897</v>
      </c>
      <c r="F903">
        <f t="shared" ca="1" si="52"/>
        <v>-2.5244734120178558</v>
      </c>
      <c r="G903">
        <f t="shared" ca="1" si="53"/>
        <v>62.195055535345425</v>
      </c>
      <c r="H903">
        <f t="shared" ca="1" si="54"/>
        <v>0</v>
      </c>
      <c r="I903">
        <f t="shared" ca="1" si="55"/>
        <v>0</v>
      </c>
    </row>
    <row r="904" spans="5:9" x14ac:dyDescent="0.75">
      <c r="E904">
        <v>898</v>
      </c>
      <c r="F904">
        <f t="shared" ref="F904:F967" ca="1" si="56">NORMINV(RAND(), 0,1)</f>
        <v>-0.51314739579136848</v>
      </c>
      <c r="G904">
        <f t="shared" ref="G904:G967" ca="1" si="57">$C$5*EXP(($C$6-0.5*$C$7^2)*$C$8+$C$7*SQRT($C$8)*F904)</f>
        <v>92.994533032613276</v>
      </c>
      <c r="H904">
        <f t="shared" ref="H904:H967" ca="1" si="58">MAX(G904-$C$9,0)</f>
        <v>0</v>
      </c>
      <c r="I904">
        <f t="shared" ref="I904:I967" ca="1" si="59">EXP(-$C$6*$C$8)*H904</f>
        <v>0</v>
      </c>
    </row>
    <row r="905" spans="5:9" x14ac:dyDescent="0.75">
      <c r="E905">
        <v>899</v>
      </c>
      <c r="F905">
        <f t="shared" ca="1" si="56"/>
        <v>-0.15595116679376417</v>
      </c>
      <c r="G905">
        <f t="shared" ca="1" si="57"/>
        <v>99.88104746880299</v>
      </c>
      <c r="H905">
        <f t="shared" ca="1" si="58"/>
        <v>0</v>
      </c>
      <c r="I905">
        <f t="shared" ca="1" si="59"/>
        <v>0</v>
      </c>
    </row>
    <row r="906" spans="5:9" x14ac:dyDescent="0.75">
      <c r="E906">
        <v>900</v>
      </c>
      <c r="F906">
        <f t="shared" ca="1" si="56"/>
        <v>-1.5571754161056746E-2</v>
      </c>
      <c r="G906">
        <f t="shared" ca="1" si="57"/>
        <v>102.72503291169888</v>
      </c>
      <c r="H906">
        <f t="shared" ca="1" si="58"/>
        <v>2.7250329116988752</v>
      </c>
      <c r="I906">
        <f t="shared" ca="1" si="59"/>
        <v>2.5921314883408262</v>
      </c>
    </row>
    <row r="907" spans="5:9" x14ac:dyDescent="0.75">
      <c r="E907">
        <v>901</v>
      </c>
      <c r="F907">
        <f t="shared" ca="1" si="56"/>
        <v>1.5252768031712927</v>
      </c>
      <c r="G907">
        <f t="shared" ca="1" si="57"/>
        <v>139.80177782310918</v>
      </c>
      <c r="H907">
        <f t="shared" ca="1" si="58"/>
        <v>39.801777823109177</v>
      </c>
      <c r="I907">
        <f t="shared" ca="1" si="59"/>
        <v>37.860622212781422</v>
      </c>
    </row>
    <row r="908" spans="5:9" x14ac:dyDescent="0.75">
      <c r="E908">
        <v>902</v>
      </c>
      <c r="F908">
        <f t="shared" ca="1" si="56"/>
        <v>-1.0134161441709633</v>
      </c>
      <c r="G908">
        <f t="shared" ca="1" si="57"/>
        <v>84.140410519348279</v>
      </c>
      <c r="H908">
        <f t="shared" ca="1" si="58"/>
        <v>0</v>
      </c>
      <c r="I908">
        <f t="shared" ca="1" si="59"/>
        <v>0</v>
      </c>
    </row>
    <row r="909" spans="5:9" x14ac:dyDescent="0.75">
      <c r="E909">
        <v>903</v>
      </c>
      <c r="F909">
        <f t="shared" ca="1" si="56"/>
        <v>0.17299848639839049</v>
      </c>
      <c r="G909">
        <f t="shared" ca="1" si="57"/>
        <v>106.67319232142989</v>
      </c>
      <c r="H909">
        <f t="shared" ca="1" si="58"/>
        <v>6.6731923214298945</v>
      </c>
      <c r="I909">
        <f t="shared" ca="1" si="59"/>
        <v>6.3477368914963419</v>
      </c>
    </row>
    <row r="910" spans="5:9" x14ac:dyDescent="0.75">
      <c r="E910">
        <v>904</v>
      </c>
      <c r="F910">
        <f t="shared" ca="1" si="56"/>
        <v>0.33417909919049932</v>
      </c>
      <c r="G910">
        <f t="shared" ca="1" si="57"/>
        <v>110.16794848560578</v>
      </c>
      <c r="H910">
        <f t="shared" ca="1" si="58"/>
        <v>10.167948485605777</v>
      </c>
      <c r="I910">
        <f t="shared" ca="1" si="59"/>
        <v>9.6720517863156896</v>
      </c>
    </row>
    <row r="911" spans="5:9" x14ac:dyDescent="0.75">
      <c r="E911">
        <v>905</v>
      </c>
      <c r="F911">
        <f t="shared" ca="1" si="56"/>
        <v>0.27868264079434224</v>
      </c>
      <c r="G911">
        <f t="shared" ca="1" si="57"/>
        <v>108.95192328477785</v>
      </c>
      <c r="H911">
        <f t="shared" ca="1" si="58"/>
        <v>8.9519232847778483</v>
      </c>
      <c r="I911">
        <f t="shared" ca="1" si="59"/>
        <v>8.5153328343537744</v>
      </c>
    </row>
    <row r="912" spans="5:9" x14ac:dyDescent="0.75">
      <c r="E912">
        <v>906</v>
      </c>
      <c r="F912">
        <f t="shared" ca="1" si="56"/>
        <v>-0.18964413512743572</v>
      </c>
      <c r="G912">
        <f t="shared" ca="1" si="57"/>
        <v>99.210252321192556</v>
      </c>
      <c r="H912">
        <f t="shared" ca="1" si="58"/>
        <v>0</v>
      </c>
      <c r="I912">
        <f t="shared" ca="1" si="59"/>
        <v>0</v>
      </c>
    </row>
    <row r="913" spans="5:9" x14ac:dyDescent="0.75">
      <c r="E913">
        <v>907</v>
      </c>
      <c r="F913">
        <f t="shared" ca="1" si="56"/>
        <v>1.5593886457477542</v>
      </c>
      <c r="G913">
        <f t="shared" ca="1" si="57"/>
        <v>140.75881799879895</v>
      </c>
      <c r="H913">
        <f t="shared" ca="1" si="58"/>
        <v>40.758817998798946</v>
      </c>
      <c r="I913">
        <f t="shared" ca="1" si="59"/>
        <v>38.770986988326868</v>
      </c>
    </row>
    <row r="914" spans="5:9" x14ac:dyDescent="0.75">
      <c r="E914">
        <v>908</v>
      </c>
      <c r="F914">
        <f t="shared" ca="1" si="56"/>
        <v>-1.427833086177577</v>
      </c>
      <c r="G914">
        <f t="shared" ca="1" si="57"/>
        <v>77.447754128920295</v>
      </c>
      <c r="H914">
        <f t="shared" ca="1" si="58"/>
        <v>0</v>
      </c>
      <c r="I914">
        <f t="shared" ca="1" si="59"/>
        <v>0</v>
      </c>
    </row>
    <row r="915" spans="5:9" x14ac:dyDescent="0.75">
      <c r="E915">
        <v>909</v>
      </c>
      <c r="F915">
        <f t="shared" ca="1" si="56"/>
        <v>-1.1520403068065914</v>
      </c>
      <c r="G915">
        <f t="shared" ca="1" si="57"/>
        <v>81.839672884815357</v>
      </c>
      <c r="H915">
        <f t="shared" ca="1" si="58"/>
        <v>0</v>
      </c>
      <c r="I915">
        <f t="shared" ca="1" si="59"/>
        <v>0</v>
      </c>
    </row>
    <row r="916" spans="5:9" x14ac:dyDescent="0.75">
      <c r="E916">
        <v>910</v>
      </c>
      <c r="F916">
        <f t="shared" ca="1" si="56"/>
        <v>0.69223063723809974</v>
      </c>
      <c r="G916">
        <f t="shared" ca="1" si="57"/>
        <v>118.34644688758824</v>
      </c>
      <c r="H916">
        <f t="shared" ca="1" si="58"/>
        <v>18.346446887588243</v>
      </c>
      <c r="I916">
        <f t="shared" ca="1" si="59"/>
        <v>17.451680114513479</v>
      </c>
    </row>
    <row r="917" spans="5:9" x14ac:dyDescent="0.75">
      <c r="E917">
        <v>911</v>
      </c>
      <c r="F917">
        <f t="shared" ca="1" si="56"/>
        <v>0.86303258080653067</v>
      </c>
      <c r="G917">
        <f t="shared" ca="1" si="57"/>
        <v>122.45905168562751</v>
      </c>
      <c r="H917">
        <f t="shared" ca="1" si="58"/>
        <v>22.459051685627514</v>
      </c>
      <c r="I917">
        <f t="shared" ca="1" si="59"/>
        <v>21.36371080975125</v>
      </c>
    </row>
    <row r="918" spans="5:9" x14ac:dyDescent="0.75">
      <c r="E918">
        <v>912</v>
      </c>
      <c r="F918">
        <f t="shared" ca="1" si="56"/>
        <v>1.8616079082831538</v>
      </c>
      <c r="G918">
        <f t="shared" ca="1" si="57"/>
        <v>149.52921138818201</v>
      </c>
      <c r="H918">
        <f t="shared" ca="1" si="58"/>
        <v>49.529211388182006</v>
      </c>
      <c r="I918">
        <f t="shared" ca="1" si="59"/>
        <v>47.113643244754577</v>
      </c>
    </row>
    <row r="919" spans="5:9" x14ac:dyDescent="0.75">
      <c r="E919">
        <v>913</v>
      </c>
      <c r="F919">
        <f t="shared" ca="1" si="56"/>
        <v>-0.79421995346986285</v>
      </c>
      <c r="G919">
        <f t="shared" ca="1" si="57"/>
        <v>87.911110436115166</v>
      </c>
      <c r="H919">
        <f t="shared" ca="1" si="58"/>
        <v>0</v>
      </c>
      <c r="I919">
        <f t="shared" ca="1" si="59"/>
        <v>0</v>
      </c>
    </row>
    <row r="920" spans="5:9" x14ac:dyDescent="0.75">
      <c r="E920">
        <v>914</v>
      </c>
      <c r="F920">
        <f t="shared" ca="1" si="56"/>
        <v>-1.9070013400672339</v>
      </c>
      <c r="G920">
        <f t="shared" ca="1" si="57"/>
        <v>70.37020280636392</v>
      </c>
      <c r="H920">
        <f t="shared" ca="1" si="58"/>
        <v>0</v>
      </c>
      <c r="I920">
        <f t="shared" ca="1" si="59"/>
        <v>0</v>
      </c>
    </row>
    <row r="921" spans="5:9" x14ac:dyDescent="0.75">
      <c r="E921">
        <v>915</v>
      </c>
      <c r="F921">
        <f t="shared" ca="1" si="56"/>
        <v>0.76922653427171017</v>
      </c>
      <c r="G921">
        <f t="shared" ca="1" si="57"/>
        <v>120.18298938688554</v>
      </c>
      <c r="H921">
        <f t="shared" ca="1" si="58"/>
        <v>20.182989386885538</v>
      </c>
      <c r="I921">
        <f t="shared" ca="1" si="59"/>
        <v>19.19865337919115</v>
      </c>
    </row>
    <row r="922" spans="5:9" x14ac:dyDescent="0.75">
      <c r="E922">
        <v>916</v>
      </c>
      <c r="F922">
        <f t="shared" ca="1" si="56"/>
        <v>0.55550904807487911</v>
      </c>
      <c r="G922">
        <f t="shared" ca="1" si="57"/>
        <v>115.15418800524037</v>
      </c>
      <c r="H922">
        <f t="shared" ca="1" si="58"/>
        <v>15.154188005240371</v>
      </c>
      <c r="I922">
        <f t="shared" ca="1" si="59"/>
        <v>14.415109535000422</v>
      </c>
    </row>
    <row r="923" spans="5:9" x14ac:dyDescent="0.75">
      <c r="E923">
        <v>917</v>
      </c>
      <c r="F923">
        <f t="shared" ca="1" si="56"/>
        <v>0.55372639874618645</v>
      </c>
      <c r="G923">
        <f t="shared" ca="1" si="57"/>
        <v>115.11313941601047</v>
      </c>
      <c r="H923">
        <f t="shared" ca="1" si="58"/>
        <v>15.113139416010469</v>
      </c>
      <c r="I923">
        <f t="shared" ca="1" si="59"/>
        <v>14.376062909090695</v>
      </c>
    </row>
    <row r="924" spans="5:9" x14ac:dyDescent="0.75">
      <c r="E924">
        <v>918</v>
      </c>
      <c r="F924">
        <f t="shared" ca="1" si="56"/>
        <v>-0.64357505240599444</v>
      </c>
      <c r="G924">
        <f t="shared" ca="1" si="57"/>
        <v>90.600087198733021</v>
      </c>
      <c r="H924">
        <f t="shared" ca="1" si="58"/>
        <v>0</v>
      </c>
      <c r="I924">
        <f t="shared" ca="1" si="59"/>
        <v>0</v>
      </c>
    </row>
    <row r="925" spans="5:9" x14ac:dyDescent="0.75">
      <c r="E925">
        <v>919</v>
      </c>
      <c r="F925">
        <f t="shared" ca="1" si="56"/>
        <v>-1.0718450423685637</v>
      </c>
      <c r="G925">
        <f t="shared" ca="1" si="57"/>
        <v>83.162886909971519</v>
      </c>
      <c r="H925">
        <f t="shared" ca="1" si="58"/>
        <v>0</v>
      </c>
      <c r="I925">
        <f t="shared" ca="1" si="59"/>
        <v>0</v>
      </c>
    </row>
    <row r="926" spans="5:9" x14ac:dyDescent="0.75">
      <c r="E926">
        <v>920</v>
      </c>
      <c r="F926">
        <f t="shared" ca="1" si="56"/>
        <v>-0.54561515029058483</v>
      </c>
      <c r="G926">
        <f t="shared" ca="1" si="57"/>
        <v>92.392624675250985</v>
      </c>
      <c r="H926">
        <f t="shared" ca="1" si="58"/>
        <v>0</v>
      </c>
      <c r="I926">
        <f t="shared" ca="1" si="59"/>
        <v>0</v>
      </c>
    </row>
    <row r="927" spans="5:9" x14ac:dyDescent="0.75">
      <c r="E927">
        <v>921</v>
      </c>
      <c r="F927">
        <f t="shared" ca="1" si="56"/>
        <v>-1.0531872870567958</v>
      </c>
      <c r="G927">
        <f t="shared" ca="1" si="57"/>
        <v>83.473793189530596</v>
      </c>
      <c r="H927">
        <f t="shared" ca="1" si="58"/>
        <v>0</v>
      </c>
      <c r="I927">
        <f t="shared" ca="1" si="59"/>
        <v>0</v>
      </c>
    </row>
    <row r="928" spans="5:9" x14ac:dyDescent="0.75">
      <c r="E928">
        <v>922</v>
      </c>
      <c r="F928">
        <f t="shared" ca="1" si="56"/>
        <v>-0.19939455168272524</v>
      </c>
      <c r="G928">
        <f t="shared" ca="1" si="57"/>
        <v>99.016972580903854</v>
      </c>
      <c r="H928">
        <f t="shared" ca="1" si="58"/>
        <v>0</v>
      </c>
      <c r="I928">
        <f t="shared" ca="1" si="59"/>
        <v>0</v>
      </c>
    </row>
    <row r="929" spans="5:9" x14ac:dyDescent="0.75">
      <c r="E929">
        <v>923</v>
      </c>
      <c r="F929">
        <f t="shared" ca="1" si="56"/>
        <v>1.0697744621542207</v>
      </c>
      <c r="G929">
        <f t="shared" ca="1" si="57"/>
        <v>127.62867589977651</v>
      </c>
      <c r="H929">
        <f t="shared" ca="1" si="58"/>
        <v>27.628675899776511</v>
      </c>
      <c r="I929">
        <f t="shared" ca="1" si="59"/>
        <v>26.281209475861157</v>
      </c>
    </row>
    <row r="930" spans="5:9" x14ac:dyDescent="0.75">
      <c r="E930">
        <v>924</v>
      </c>
      <c r="F930">
        <f t="shared" ca="1" si="56"/>
        <v>-1.1328296829973021</v>
      </c>
      <c r="G930">
        <f t="shared" ca="1" si="57"/>
        <v>82.154715948332807</v>
      </c>
      <c r="H930">
        <f t="shared" ca="1" si="58"/>
        <v>0</v>
      </c>
      <c r="I930">
        <f t="shared" ca="1" si="59"/>
        <v>0</v>
      </c>
    </row>
    <row r="931" spans="5:9" x14ac:dyDescent="0.75">
      <c r="E931">
        <v>925</v>
      </c>
      <c r="F931">
        <f t="shared" ca="1" si="56"/>
        <v>0.29223875668687876</v>
      </c>
      <c r="G931">
        <f t="shared" ca="1" si="57"/>
        <v>109.24771706481505</v>
      </c>
      <c r="H931">
        <f t="shared" ca="1" si="58"/>
        <v>9.2477170648150491</v>
      </c>
      <c r="I931">
        <f t="shared" ca="1" si="59"/>
        <v>8.7967005815094517</v>
      </c>
    </row>
    <row r="932" spans="5:9" x14ac:dyDescent="0.75">
      <c r="E932">
        <v>926</v>
      </c>
      <c r="F932">
        <f t="shared" ca="1" si="56"/>
        <v>-0.91415071798709946</v>
      </c>
      <c r="G932">
        <f t="shared" ca="1" si="57"/>
        <v>85.827549301862376</v>
      </c>
      <c r="H932">
        <f t="shared" ca="1" si="58"/>
        <v>0</v>
      </c>
      <c r="I932">
        <f t="shared" ca="1" si="59"/>
        <v>0</v>
      </c>
    </row>
    <row r="933" spans="5:9" x14ac:dyDescent="0.75">
      <c r="E933">
        <v>927</v>
      </c>
      <c r="F933">
        <f t="shared" ca="1" si="56"/>
        <v>-0.45927364870569787</v>
      </c>
      <c r="G933">
        <f t="shared" ca="1" si="57"/>
        <v>94.001943373921677</v>
      </c>
      <c r="H933">
        <f t="shared" ca="1" si="58"/>
        <v>0</v>
      </c>
      <c r="I933">
        <f t="shared" ca="1" si="59"/>
        <v>0</v>
      </c>
    </row>
    <row r="934" spans="5:9" x14ac:dyDescent="0.75">
      <c r="E934">
        <v>928</v>
      </c>
      <c r="F934">
        <f t="shared" ca="1" si="56"/>
        <v>-0.70009909915583779</v>
      </c>
      <c r="G934">
        <f t="shared" ca="1" si="57"/>
        <v>89.581638019116468</v>
      </c>
      <c r="H934">
        <f t="shared" ca="1" si="58"/>
        <v>0</v>
      </c>
      <c r="I934">
        <f t="shared" ca="1" si="59"/>
        <v>0</v>
      </c>
    </row>
    <row r="935" spans="5:9" x14ac:dyDescent="0.75">
      <c r="E935">
        <v>929</v>
      </c>
      <c r="F935">
        <f t="shared" ca="1" si="56"/>
        <v>-1.1188379244299838</v>
      </c>
      <c r="G935">
        <f t="shared" ca="1" si="57"/>
        <v>82.384935706169657</v>
      </c>
      <c r="H935">
        <f t="shared" ca="1" si="58"/>
        <v>0</v>
      </c>
      <c r="I935">
        <f t="shared" ca="1" si="59"/>
        <v>0</v>
      </c>
    </row>
    <row r="936" spans="5:9" x14ac:dyDescent="0.75">
      <c r="E936">
        <v>930</v>
      </c>
      <c r="F936">
        <f t="shared" ca="1" si="56"/>
        <v>-1.6063877393493697</v>
      </c>
      <c r="G936">
        <f t="shared" ca="1" si="57"/>
        <v>74.73082354229166</v>
      </c>
      <c r="H936">
        <f t="shared" ca="1" si="58"/>
        <v>0</v>
      </c>
      <c r="I936">
        <f t="shared" ca="1" si="59"/>
        <v>0</v>
      </c>
    </row>
    <row r="937" spans="5:9" x14ac:dyDescent="0.75">
      <c r="E937">
        <v>931</v>
      </c>
      <c r="F937">
        <f t="shared" ca="1" si="56"/>
        <v>1.3424314466736913</v>
      </c>
      <c r="G937">
        <f t="shared" ca="1" si="57"/>
        <v>134.78170576015924</v>
      </c>
      <c r="H937">
        <f t="shared" ca="1" si="58"/>
        <v>34.781705760159241</v>
      </c>
      <c r="I937">
        <f t="shared" ca="1" si="59"/>
        <v>33.085381953389444</v>
      </c>
    </row>
    <row r="938" spans="5:9" x14ac:dyDescent="0.75">
      <c r="E938">
        <v>932</v>
      </c>
      <c r="F938">
        <f t="shared" ca="1" si="56"/>
        <v>3.6297685655032511E-2</v>
      </c>
      <c r="G938">
        <f t="shared" ca="1" si="57"/>
        <v>103.79623756599277</v>
      </c>
      <c r="H938">
        <f t="shared" ca="1" si="58"/>
        <v>3.7962375659927687</v>
      </c>
      <c r="I938">
        <f t="shared" ca="1" si="59"/>
        <v>3.6110928751672926</v>
      </c>
    </row>
    <row r="939" spans="5:9" x14ac:dyDescent="0.75">
      <c r="E939">
        <v>933</v>
      </c>
      <c r="F939">
        <f t="shared" ca="1" si="56"/>
        <v>-0.943275495627655</v>
      </c>
      <c r="G939">
        <f t="shared" ca="1" si="57"/>
        <v>85.329060889987105</v>
      </c>
      <c r="H939">
        <f t="shared" ca="1" si="58"/>
        <v>0</v>
      </c>
      <c r="I939">
        <f t="shared" ca="1" si="59"/>
        <v>0</v>
      </c>
    </row>
    <row r="940" spans="5:9" x14ac:dyDescent="0.75">
      <c r="E940">
        <v>934</v>
      </c>
      <c r="F940">
        <f t="shared" ca="1" si="56"/>
        <v>1.3706473131125745</v>
      </c>
      <c r="G940">
        <f t="shared" ca="1" si="57"/>
        <v>135.54445241339178</v>
      </c>
      <c r="H940">
        <f t="shared" ca="1" si="58"/>
        <v>35.544452413391781</v>
      </c>
      <c r="I940">
        <f t="shared" ca="1" si="59"/>
        <v>33.810929013383678</v>
      </c>
    </row>
    <row r="941" spans="5:9" x14ac:dyDescent="0.75">
      <c r="E941">
        <v>935</v>
      </c>
      <c r="F941">
        <f t="shared" ca="1" si="56"/>
        <v>-1.1425709073569659</v>
      </c>
      <c r="G941">
        <f t="shared" ca="1" si="57"/>
        <v>81.994814258682496</v>
      </c>
      <c r="H941">
        <f t="shared" ca="1" si="58"/>
        <v>0</v>
      </c>
      <c r="I941">
        <f t="shared" ca="1" si="59"/>
        <v>0</v>
      </c>
    </row>
    <row r="942" spans="5:9" x14ac:dyDescent="0.75">
      <c r="E942">
        <v>936</v>
      </c>
      <c r="F942">
        <f t="shared" ca="1" si="56"/>
        <v>0.33301204933370332</v>
      </c>
      <c r="G942">
        <f t="shared" ca="1" si="57"/>
        <v>110.14223718865833</v>
      </c>
      <c r="H942">
        <f t="shared" ca="1" si="58"/>
        <v>10.142237188658328</v>
      </c>
      <c r="I942">
        <f t="shared" ca="1" si="59"/>
        <v>9.6475944441172015</v>
      </c>
    </row>
    <row r="943" spans="5:9" x14ac:dyDescent="0.75">
      <c r="E943">
        <v>937</v>
      </c>
      <c r="F943">
        <f t="shared" ca="1" si="56"/>
        <v>1.9196207551379847</v>
      </c>
      <c r="G943">
        <f t="shared" ca="1" si="57"/>
        <v>151.27423825776017</v>
      </c>
      <c r="H943">
        <f t="shared" ca="1" si="58"/>
        <v>51.274238257760175</v>
      </c>
      <c r="I943">
        <f t="shared" ca="1" si="59"/>
        <v>48.773564149641707</v>
      </c>
    </row>
    <row r="944" spans="5:9" x14ac:dyDescent="0.75">
      <c r="E944">
        <v>938</v>
      </c>
      <c r="F944">
        <f t="shared" ca="1" si="56"/>
        <v>-0.38340947722261154</v>
      </c>
      <c r="G944">
        <f t="shared" ca="1" si="57"/>
        <v>95.439094541528178</v>
      </c>
      <c r="H944">
        <f t="shared" ca="1" si="58"/>
        <v>0</v>
      </c>
      <c r="I944">
        <f t="shared" ca="1" si="59"/>
        <v>0</v>
      </c>
    </row>
    <row r="945" spans="5:9" x14ac:dyDescent="0.75">
      <c r="E945">
        <v>939</v>
      </c>
      <c r="F945">
        <f t="shared" ca="1" si="56"/>
        <v>-2.1214454577264554</v>
      </c>
      <c r="G945">
        <f t="shared" ca="1" si="57"/>
        <v>67.415913436074362</v>
      </c>
      <c r="H945">
        <f t="shared" ca="1" si="58"/>
        <v>0</v>
      </c>
      <c r="I945">
        <f t="shared" ca="1" si="59"/>
        <v>0</v>
      </c>
    </row>
    <row r="946" spans="5:9" x14ac:dyDescent="0.75">
      <c r="E946">
        <v>940</v>
      </c>
      <c r="F946">
        <f t="shared" ca="1" si="56"/>
        <v>-7.7205543984959352E-2</v>
      </c>
      <c r="G946">
        <f t="shared" ca="1" si="57"/>
        <v>101.46653880572687</v>
      </c>
      <c r="H946">
        <f t="shared" ca="1" si="58"/>
        <v>1.46653880572687</v>
      </c>
      <c r="I946">
        <f t="shared" ca="1" si="59"/>
        <v>1.395014864179535</v>
      </c>
    </row>
    <row r="947" spans="5:9" x14ac:dyDescent="0.75">
      <c r="E947">
        <v>941</v>
      </c>
      <c r="F947">
        <f t="shared" ca="1" si="56"/>
        <v>-1.723544356045231</v>
      </c>
      <c r="G947">
        <f t="shared" ca="1" si="57"/>
        <v>73.000136775165885</v>
      </c>
      <c r="H947">
        <f t="shared" ca="1" si="58"/>
        <v>0</v>
      </c>
      <c r="I947">
        <f t="shared" ca="1" si="59"/>
        <v>0</v>
      </c>
    </row>
    <row r="948" spans="5:9" x14ac:dyDescent="0.75">
      <c r="E948">
        <v>942</v>
      </c>
      <c r="F948">
        <f t="shared" ca="1" si="56"/>
        <v>0.74117410198554867</v>
      </c>
      <c r="G948">
        <f t="shared" ca="1" si="57"/>
        <v>119.51059235354924</v>
      </c>
      <c r="H948">
        <f t="shared" ca="1" si="58"/>
        <v>19.510592353549242</v>
      </c>
      <c r="I948">
        <f t="shared" ca="1" si="59"/>
        <v>18.559049536134676</v>
      </c>
    </row>
    <row r="949" spans="5:9" x14ac:dyDescent="0.75">
      <c r="E949">
        <v>943</v>
      </c>
      <c r="F949">
        <f t="shared" ca="1" si="56"/>
        <v>-1.4452543071475321</v>
      </c>
      <c r="G949">
        <f t="shared" ca="1" si="57"/>
        <v>77.178376801971723</v>
      </c>
      <c r="H949">
        <f t="shared" ca="1" si="58"/>
        <v>0</v>
      </c>
      <c r="I949">
        <f t="shared" ca="1" si="59"/>
        <v>0</v>
      </c>
    </row>
    <row r="950" spans="5:9" x14ac:dyDescent="0.75">
      <c r="E950">
        <v>944</v>
      </c>
      <c r="F950">
        <f t="shared" ca="1" si="56"/>
        <v>0.33657583872013691</v>
      </c>
      <c r="G950">
        <f t="shared" ca="1" si="57"/>
        <v>110.22076991992324</v>
      </c>
      <c r="H950">
        <f t="shared" ca="1" si="58"/>
        <v>10.220769919923242</v>
      </c>
      <c r="I950">
        <f t="shared" ca="1" si="59"/>
        <v>9.7222970888827938</v>
      </c>
    </row>
    <row r="951" spans="5:9" x14ac:dyDescent="0.75">
      <c r="E951">
        <v>945</v>
      </c>
      <c r="F951">
        <f t="shared" ca="1" si="56"/>
        <v>-1.1713604693663031</v>
      </c>
      <c r="G951">
        <f t="shared" ca="1" si="57"/>
        <v>81.524051905588962</v>
      </c>
      <c r="H951">
        <f t="shared" ca="1" si="58"/>
        <v>0</v>
      </c>
      <c r="I951">
        <f t="shared" ca="1" si="59"/>
        <v>0</v>
      </c>
    </row>
    <row r="952" spans="5:9" x14ac:dyDescent="0.75">
      <c r="E952">
        <v>946</v>
      </c>
      <c r="F952">
        <f t="shared" ca="1" si="56"/>
        <v>1.0623400799847946</v>
      </c>
      <c r="G952">
        <f t="shared" ca="1" si="57"/>
        <v>127.43904884023185</v>
      </c>
      <c r="H952">
        <f t="shared" ca="1" si="58"/>
        <v>27.439048840231848</v>
      </c>
      <c r="I952">
        <f t="shared" ca="1" si="59"/>
        <v>26.100830637140724</v>
      </c>
    </row>
    <row r="953" spans="5:9" x14ac:dyDescent="0.75">
      <c r="E953">
        <v>947</v>
      </c>
      <c r="F953">
        <f t="shared" ca="1" si="56"/>
        <v>1.9421193926076359</v>
      </c>
      <c r="G953">
        <f t="shared" ca="1" si="57"/>
        <v>151.95646487258227</v>
      </c>
      <c r="H953">
        <f t="shared" ca="1" si="58"/>
        <v>51.956464872582274</v>
      </c>
      <c r="I953">
        <f t="shared" ca="1" si="59"/>
        <v>49.422518179838001</v>
      </c>
    </row>
    <row r="954" spans="5:9" x14ac:dyDescent="0.75">
      <c r="E954">
        <v>948</v>
      </c>
      <c r="F954">
        <f t="shared" ca="1" si="56"/>
        <v>0.54394870302367371</v>
      </c>
      <c r="G954">
        <f t="shared" ca="1" si="57"/>
        <v>114.88825112642948</v>
      </c>
      <c r="H954">
        <f t="shared" ca="1" si="58"/>
        <v>14.888251126429481</v>
      </c>
      <c r="I954">
        <f t="shared" ca="1" si="59"/>
        <v>14.162142550815622</v>
      </c>
    </row>
    <row r="955" spans="5:9" x14ac:dyDescent="0.75">
      <c r="E955">
        <v>949</v>
      </c>
      <c r="F955">
        <f t="shared" ca="1" si="56"/>
        <v>-0.65194126765154115</v>
      </c>
      <c r="G955">
        <f t="shared" ca="1" si="57"/>
        <v>90.448617990318681</v>
      </c>
      <c r="H955">
        <f t="shared" ca="1" si="58"/>
        <v>0</v>
      </c>
      <c r="I955">
        <f t="shared" ca="1" si="59"/>
        <v>0</v>
      </c>
    </row>
    <row r="956" spans="5:9" x14ac:dyDescent="0.75">
      <c r="E956">
        <v>950</v>
      </c>
      <c r="F956">
        <f t="shared" ca="1" si="56"/>
        <v>-0.74753647423054326</v>
      </c>
      <c r="G956">
        <f t="shared" ca="1" si="57"/>
        <v>88.735753465878147</v>
      </c>
      <c r="H956">
        <f t="shared" ca="1" si="58"/>
        <v>0</v>
      </c>
      <c r="I956">
        <f t="shared" ca="1" si="59"/>
        <v>0</v>
      </c>
    </row>
    <row r="957" spans="5:9" x14ac:dyDescent="0.75">
      <c r="E957">
        <v>951</v>
      </c>
      <c r="F957">
        <f t="shared" ca="1" si="56"/>
        <v>-0.56021045556240434</v>
      </c>
      <c r="G957">
        <f t="shared" ca="1" si="57"/>
        <v>92.123318215078939</v>
      </c>
      <c r="H957">
        <f t="shared" ca="1" si="58"/>
        <v>0</v>
      </c>
      <c r="I957">
        <f t="shared" ca="1" si="59"/>
        <v>0</v>
      </c>
    </row>
    <row r="958" spans="5:9" x14ac:dyDescent="0.75">
      <c r="E958">
        <v>952</v>
      </c>
      <c r="F958">
        <f t="shared" ca="1" si="56"/>
        <v>-0.79046170259189008</v>
      </c>
      <c r="G958">
        <f t="shared" ca="1" si="57"/>
        <v>87.977213677855588</v>
      </c>
      <c r="H958">
        <f t="shared" ca="1" si="58"/>
        <v>0</v>
      </c>
      <c r="I958">
        <f t="shared" ca="1" si="59"/>
        <v>0</v>
      </c>
    </row>
    <row r="959" spans="5:9" x14ac:dyDescent="0.75">
      <c r="E959">
        <v>953</v>
      </c>
      <c r="F959">
        <f t="shared" ca="1" si="56"/>
        <v>5.781385679829882E-2</v>
      </c>
      <c r="G959">
        <f t="shared" ca="1" si="57"/>
        <v>104.24385950857609</v>
      </c>
      <c r="H959">
        <f t="shared" ca="1" si="58"/>
        <v>4.2438595085760937</v>
      </c>
      <c r="I959">
        <f t="shared" ca="1" si="59"/>
        <v>4.0368840380047208</v>
      </c>
    </row>
    <row r="960" spans="5:9" x14ac:dyDescent="0.75">
      <c r="E960">
        <v>954</v>
      </c>
      <c r="F960">
        <f t="shared" ca="1" si="56"/>
        <v>-0.56367666816297257</v>
      </c>
      <c r="G960">
        <f t="shared" ca="1" si="57"/>
        <v>92.059476545235114</v>
      </c>
      <c r="H960">
        <f t="shared" ca="1" si="58"/>
        <v>0</v>
      </c>
      <c r="I960">
        <f t="shared" ca="1" si="59"/>
        <v>0</v>
      </c>
    </row>
    <row r="961" spans="5:9" x14ac:dyDescent="0.75">
      <c r="E961">
        <v>955</v>
      </c>
      <c r="F961">
        <f t="shared" ca="1" si="56"/>
        <v>0.17455857449370826</v>
      </c>
      <c r="G961">
        <f t="shared" ca="1" si="57"/>
        <v>106.70648143004007</v>
      </c>
      <c r="H961">
        <f t="shared" ca="1" si="58"/>
        <v>6.7064814300400712</v>
      </c>
      <c r="I961">
        <f t="shared" ca="1" si="59"/>
        <v>6.3794024711217423</v>
      </c>
    </row>
    <row r="962" spans="5:9" x14ac:dyDescent="0.75">
      <c r="E962">
        <v>956</v>
      </c>
      <c r="F962">
        <f t="shared" ca="1" si="56"/>
        <v>0.17063252525577255</v>
      </c>
      <c r="G962">
        <f t="shared" ca="1" si="57"/>
        <v>106.62272733659255</v>
      </c>
      <c r="H962">
        <f t="shared" ca="1" si="58"/>
        <v>6.622727336592547</v>
      </c>
      <c r="I962">
        <f t="shared" ca="1" si="59"/>
        <v>6.2997331130120751</v>
      </c>
    </row>
    <row r="963" spans="5:9" x14ac:dyDescent="0.75">
      <c r="E963">
        <v>957</v>
      </c>
      <c r="F963">
        <f t="shared" ca="1" si="56"/>
        <v>0.94270927752385891</v>
      </c>
      <c r="G963">
        <f t="shared" ca="1" si="57"/>
        <v>124.42610947134685</v>
      </c>
      <c r="H963">
        <f t="shared" ca="1" si="58"/>
        <v>24.426109471346848</v>
      </c>
      <c r="I963">
        <f t="shared" ca="1" si="59"/>
        <v>23.234834055220702</v>
      </c>
    </row>
    <row r="964" spans="5:9" x14ac:dyDescent="0.75">
      <c r="E964">
        <v>958</v>
      </c>
      <c r="F964">
        <f t="shared" ca="1" si="56"/>
        <v>0.86697425216329316</v>
      </c>
      <c r="G964">
        <f t="shared" ca="1" si="57"/>
        <v>122.55562841527987</v>
      </c>
      <c r="H964">
        <f t="shared" ca="1" si="58"/>
        <v>22.55562841527987</v>
      </c>
      <c r="I964">
        <f t="shared" ca="1" si="59"/>
        <v>21.455577436718624</v>
      </c>
    </row>
    <row r="965" spans="5:9" x14ac:dyDescent="0.75">
      <c r="E965">
        <v>959</v>
      </c>
      <c r="F965">
        <f t="shared" ca="1" si="56"/>
        <v>-1.0790660934276075</v>
      </c>
      <c r="G965">
        <f t="shared" ca="1" si="57"/>
        <v>83.04286890592671</v>
      </c>
      <c r="H965">
        <f t="shared" ca="1" si="58"/>
        <v>0</v>
      </c>
      <c r="I965">
        <f t="shared" ca="1" si="59"/>
        <v>0</v>
      </c>
    </row>
    <row r="966" spans="5:9" x14ac:dyDescent="0.75">
      <c r="E966">
        <v>960</v>
      </c>
      <c r="F966">
        <f t="shared" ca="1" si="56"/>
        <v>0.87276700779030658</v>
      </c>
      <c r="G966">
        <f t="shared" ca="1" si="57"/>
        <v>122.69769765785435</v>
      </c>
      <c r="H966">
        <f t="shared" ca="1" si="58"/>
        <v>22.697697657854349</v>
      </c>
      <c r="I966">
        <f t="shared" ca="1" si="59"/>
        <v>21.590717880571997</v>
      </c>
    </row>
    <row r="967" spans="5:9" x14ac:dyDescent="0.75">
      <c r="E967">
        <v>961</v>
      </c>
      <c r="F967">
        <f t="shared" ca="1" si="56"/>
        <v>-2.2608972694265348</v>
      </c>
      <c r="G967">
        <f t="shared" ca="1" si="57"/>
        <v>65.561637593024315</v>
      </c>
      <c r="H967">
        <f t="shared" ca="1" si="58"/>
        <v>0</v>
      </c>
      <c r="I967">
        <f t="shared" ca="1" si="59"/>
        <v>0</v>
      </c>
    </row>
    <row r="968" spans="5:9" x14ac:dyDescent="0.75">
      <c r="E968">
        <v>962</v>
      </c>
      <c r="F968">
        <f t="shared" ref="F968:F1006" ca="1" si="60">NORMINV(RAND(), 0,1)</f>
        <v>-9.644678357456557E-2</v>
      </c>
      <c r="G968">
        <f t="shared" ref="G968:G1006" ca="1" si="61">$C$5*EXP(($C$6-0.5*$C$7^2)*$C$8+$C$7*SQRT($C$8)*F968)</f>
        <v>101.07682075581094</v>
      </c>
      <c r="H968">
        <f t="shared" ref="H968:H1006" ca="1" si="62">MAX(G968-$C$9,0)</f>
        <v>1.0768207558109424</v>
      </c>
      <c r="I968">
        <f t="shared" ref="I968:I1006" ca="1" si="63">EXP(-$C$6*$C$8)*H968</f>
        <v>1.0243035878404667</v>
      </c>
    </row>
    <row r="969" spans="5:9" x14ac:dyDescent="0.75">
      <c r="E969">
        <v>963</v>
      </c>
      <c r="F969">
        <f t="shared" ca="1" si="60"/>
        <v>-0.34414159342683381</v>
      </c>
      <c r="G969">
        <f t="shared" ca="1" si="61"/>
        <v>96.19158379468216</v>
      </c>
      <c r="H969">
        <f t="shared" ca="1" si="62"/>
        <v>0</v>
      </c>
      <c r="I969">
        <f t="shared" ca="1" si="63"/>
        <v>0</v>
      </c>
    </row>
    <row r="970" spans="5:9" x14ac:dyDescent="0.75">
      <c r="E970">
        <v>964</v>
      </c>
      <c r="F970">
        <f t="shared" ca="1" si="60"/>
        <v>-0.43244092600826889</v>
      </c>
      <c r="G970">
        <f t="shared" ca="1" si="61"/>
        <v>94.507765033104576</v>
      </c>
      <c r="H970">
        <f t="shared" ca="1" si="62"/>
        <v>0</v>
      </c>
      <c r="I970">
        <f t="shared" ca="1" si="63"/>
        <v>0</v>
      </c>
    </row>
    <row r="971" spans="5:9" x14ac:dyDescent="0.75">
      <c r="E971">
        <v>965</v>
      </c>
      <c r="F971">
        <f t="shared" ca="1" si="60"/>
        <v>-0.6484098805748354</v>
      </c>
      <c r="G971">
        <f t="shared" ca="1" si="61"/>
        <v>90.512522370908002</v>
      </c>
      <c r="H971">
        <f t="shared" ca="1" si="62"/>
        <v>0</v>
      </c>
      <c r="I971">
        <f t="shared" ca="1" si="63"/>
        <v>0</v>
      </c>
    </row>
    <row r="972" spans="5:9" x14ac:dyDescent="0.75">
      <c r="E972">
        <v>966</v>
      </c>
      <c r="F972">
        <f t="shared" ca="1" si="60"/>
        <v>1.8069480758056711</v>
      </c>
      <c r="G972">
        <f t="shared" ca="1" si="61"/>
        <v>147.90346554946376</v>
      </c>
      <c r="H972">
        <f t="shared" ca="1" si="62"/>
        <v>47.90346554946376</v>
      </c>
      <c r="I972">
        <f t="shared" ca="1" si="63"/>
        <v>45.567185966206196</v>
      </c>
    </row>
    <row r="973" spans="5:9" x14ac:dyDescent="0.75">
      <c r="E973">
        <v>967</v>
      </c>
      <c r="F973">
        <f t="shared" ca="1" si="60"/>
        <v>0.4860734603031015</v>
      </c>
      <c r="G973">
        <f t="shared" ca="1" si="61"/>
        <v>113.56608089697772</v>
      </c>
      <c r="H973">
        <f t="shared" ca="1" si="62"/>
        <v>13.566080896977724</v>
      </c>
      <c r="I973">
        <f t="shared" ca="1" si="63"/>
        <v>12.90445532436225</v>
      </c>
    </row>
    <row r="974" spans="5:9" x14ac:dyDescent="0.75">
      <c r="E974">
        <v>968</v>
      </c>
      <c r="F974">
        <f t="shared" ca="1" si="60"/>
        <v>-0.51763901650761912</v>
      </c>
      <c r="G974">
        <f t="shared" ca="1" si="61"/>
        <v>92.911031309821993</v>
      </c>
      <c r="H974">
        <f t="shared" ca="1" si="62"/>
        <v>0</v>
      </c>
      <c r="I974">
        <f t="shared" ca="1" si="63"/>
        <v>0</v>
      </c>
    </row>
    <row r="975" spans="5:9" x14ac:dyDescent="0.75">
      <c r="E975">
        <v>969</v>
      </c>
      <c r="F975">
        <f t="shared" ca="1" si="60"/>
        <v>-0.31123326177222882</v>
      </c>
      <c r="G975">
        <f t="shared" ca="1" si="61"/>
        <v>96.826772710871296</v>
      </c>
      <c r="H975">
        <f t="shared" ca="1" si="62"/>
        <v>0</v>
      </c>
      <c r="I975">
        <f t="shared" ca="1" si="63"/>
        <v>0</v>
      </c>
    </row>
    <row r="976" spans="5:9" x14ac:dyDescent="0.75">
      <c r="E976">
        <v>970</v>
      </c>
      <c r="F976">
        <f t="shared" ca="1" si="60"/>
        <v>1.3862117554888558</v>
      </c>
      <c r="G976">
        <f t="shared" ca="1" si="61"/>
        <v>135.96704457708665</v>
      </c>
      <c r="H976">
        <f t="shared" ca="1" si="62"/>
        <v>35.967044577086654</v>
      </c>
      <c r="I976">
        <f t="shared" ca="1" si="63"/>
        <v>34.212911114053668</v>
      </c>
    </row>
    <row r="977" spans="5:9" x14ac:dyDescent="0.75">
      <c r="E977">
        <v>971</v>
      </c>
      <c r="F977">
        <f t="shared" ca="1" si="60"/>
        <v>-0.25118961564368825</v>
      </c>
      <c r="G977">
        <f t="shared" ca="1" si="61"/>
        <v>97.996548911267425</v>
      </c>
      <c r="H977">
        <f t="shared" ca="1" si="62"/>
        <v>0</v>
      </c>
      <c r="I977">
        <f t="shared" ca="1" si="63"/>
        <v>0</v>
      </c>
    </row>
    <row r="978" spans="5:9" x14ac:dyDescent="0.75">
      <c r="E978">
        <v>972</v>
      </c>
      <c r="F978">
        <f t="shared" ca="1" si="60"/>
        <v>-0.90306337318039687</v>
      </c>
      <c r="G978">
        <f t="shared" ca="1" si="61"/>
        <v>86.018080398791184</v>
      </c>
      <c r="H978">
        <f t="shared" ca="1" si="62"/>
        <v>0</v>
      </c>
      <c r="I978">
        <f t="shared" ca="1" si="63"/>
        <v>0</v>
      </c>
    </row>
    <row r="979" spans="5:9" x14ac:dyDescent="0.75">
      <c r="E979">
        <v>973</v>
      </c>
      <c r="F979">
        <f t="shared" ca="1" si="60"/>
        <v>0.64228044606799417</v>
      </c>
      <c r="G979">
        <f t="shared" ca="1" si="61"/>
        <v>117.17004728063847</v>
      </c>
      <c r="H979">
        <f t="shared" ca="1" si="62"/>
        <v>17.170047280638471</v>
      </c>
      <c r="I979">
        <f t="shared" ca="1" si="63"/>
        <v>16.332654193411784</v>
      </c>
    </row>
    <row r="980" spans="5:9" x14ac:dyDescent="0.75">
      <c r="E980">
        <v>974</v>
      </c>
      <c r="F980">
        <f t="shared" ca="1" si="60"/>
        <v>-1.337533067006403</v>
      </c>
      <c r="G980">
        <f t="shared" ca="1" si="61"/>
        <v>78.859167569063331</v>
      </c>
      <c r="H980">
        <f t="shared" ca="1" si="62"/>
        <v>0</v>
      </c>
      <c r="I980">
        <f t="shared" ca="1" si="63"/>
        <v>0</v>
      </c>
    </row>
    <row r="981" spans="5:9" x14ac:dyDescent="0.75">
      <c r="E981">
        <v>975</v>
      </c>
      <c r="F981">
        <f t="shared" ca="1" si="60"/>
        <v>1.7002711049686128</v>
      </c>
      <c r="G981">
        <f t="shared" ca="1" si="61"/>
        <v>144.78131144009257</v>
      </c>
      <c r="H981">
        <f t="shared" ca="1" si="62"/>
        <v>44.781311440092566</v>
      </c>
      <c r="I981">
        <f t="shared" ca="1" si="63"/>
        <v>42.597301109546493</v>
      </c>
    </row>
    <row r="982" spans="5:9" x14ac:dyDescent="0.75">
      <c r="E982">
        <v>976</v>
      </c>
      <c r="F982">
        <f t="shared" ca="1" si="60"/>
        <v>-0.6424101083947078</v>
      </c>
      <c r="G982">
        <f t="shared" ca="1" si="61"/>
        <v>90.621198463782548</v>
      </c>
      <c r="H982">
        <f t="shared" ca="1" si="62"/>
        <v>0</v>
      </c>
      <c r="I982">
        <f t="shared" ca="1" si="63"/>
        <v>0</v>
      </c>
    </row>
    <row r="983" spans="5:9" x14ac:dyDescent="0.75">
      <c r="E983">
        <v>977</v>
      </c>
      <c r="F983">
        <f t="shared" ca="1" si="60"/>
        <v>1.5700272836006626</v>
      </c>
      <c r="G983">
        <f t="shared" ca="1" si="61"/>
        <v>141.05863326615179</v>
      </c>
      <c r="H983">
        <f t="shared" ca="1" si="62"/>
        <v>41.058633266151787</v>
      </c>
      <c r="I983">
        <f t="shared" ca="1" si="63"/>
        <v>39.056180092547436</v>
      </c>
    </row>
    <row r="984" spans="5:9" x14ac:dyDescent="0.75">
      <c r="E984">
        <v>978</v>
      </c>
      <c r="F984">
        <f t="shared" ca="1" si="60"/>
        <v>-0.82801741742196144</v>
      </c>
      <c r="G984">
        <f t="shared" ca="1" si="61"/>
        <v>87.318879763359064</v>
      </c>
      <c r="H984">
        <f t="shared" ca="1" si="62"/>
        <v>0</v>
      </c>
      <c r="I984">
        <f t="shared" ca="1" si="63"/>
        <v>0</v>
      </c>
    </row>
    <row r="985" spans="5:9" x14ac:dyDescent="0.75">
      <c r="E985">
        <v>979</v>
      </c>
      <c r="F985">
        <f t="shared" ca="1" si="60"/>
        <v>1.2772049085204253</v>
      </c>
      <c r="G985">
        <f t="shared" ca="1" si="61"/>
        <v>133.03485581616656</v>
      </c>
      <c r="H985">
        <f t="shared" ca="1" si="62"/>
        <v>33.034855816166555</v>
      </c>
      <c r="I985">
        <f t="shared" ca="1" si="63"/>
        <v>31.423726886476178</v>
      </c>
    </row>
    <row r="986" spans="5:9" x14ac:dyDescent="0.75">
      <c r="E986">
        <v>980</v>
      </c>
      <c r="F986">
        <f t="shared" ca="1" si="60"/>
        <v>-4.7461455300369729E-2</v>
      </c>
      <c r="G986">
        <f t="shared" ca="1" si="61"/>
        <v>102.07194368776844</v>
      </c>
      <c r="H986">
        <f t="shared" ca="1" si="62"/>
        <v>2.0719436877684387</v>
      </c>
      <c r="I986">
        <f t="shared" ca="1" si="63"/>
        <v>1.9708938017138591</v>
      </c>
    </row>
    <row r="987" spans="5:9" x14ac:dyDescent="0.75">
      <c r="E987">
        <v>981</v>
      </c>
      <c r="F987">
        <f t="shared" ca="1" si="60"/>
        <v>1.7276175549619914</v>
      </c>
      <c r="G987">
        <f t="shared" ca="1" si="61"/>
        <v>145.57533180326047</v>
      </c>
      <c r="H987">
        <f t="shared" ca="1" si="62"/>
        <v>45.575331803260468</v>
      </c>
      <c r="I987">
        <f t="shared" ca="1" si="63"/>
        <v>43.352596642644542</v>
      </c>
    </row>
    <row r="988" spans="5:9" x14ac:dyDescent="0.75">
      <c r="E988">
        <v>982</v>
      </c>
      <c r="F988">
        <f t="shared" ca="1" si="60"/>
        <v>0.45656443643923489</v>
      </c>
      <c r="G988">
        <f t="shared" ca="1" si="61"/>
        <v>112.89781000062509</v>
      </c>
      <c r="H988">
        <f t="shared" ca="1" si="62"/>
        <v>12.897810000625086</v>
      </c>
      <c r="I988">
        <f t="shared" ca="1" si="63"/>
        <v>12.268776384214155</v>
      </c>
    </row>
    <row r="989" spans="5:9" x14ac:dyDescent="0.75">
      <c r="E989">
        <v>983</v>
      </c>
      <c r="F989">
        <f t="shared" ca="1" si="60"/>
        <v>0.52116828326608999</v>
      </c>
      <c r="G989">
        <f t="shared" ca="1" si="61"/>
        <v>114.3660012198642</v>
      </c>
      <c r="H989">
        <f t="shared" ca="1" si="62"/>
        <v>14.366001219864202</v>
      </c>
      <c r="I989">
        <f t="shared" ca="1" si="63"/>
        <v>13.665363072747981</v>
      </c>
    </row>
    <row r="990" spans="5:9" x14ac:dyDescent="0.75">
      <c r="E990">
        <v>984</v>
      </c>
      <c r="F990">
        <f t="shared" ca="1" si="60"/>
        <v>1.36989705354985</v>
      </c>
      <c r="G990">
        <f t="shared" ca="1" si="61"/>
        <v>135.52411523492674</v>
      </c>
      <c r="H990">
        <f t="shared" ca="1" si="62"/>
        <v>35.52411523492674</v>
      </c>
      <c r="I990">
        <f t="shared" ca="1" si="63"/>
        <v>33.79158369081641</v>
      </c>
    </row>
    <row r="991" spans="5:9" x14ac:dyDescent="0.75">
      <c r="E991">
        <v>985</v>
      </c>
      <c r="F991">
        <f t="shared" ca="1" si="60"/>
        <v>-0.62363002249558785</v>
      </c>
      <c r="G991">
        <f t="shared" ca="1" si="61"/>
        <v>90.962213269893795</v>
      </c>
      <c r="H991">
        <f t="shared" ca="1" si="62"/>
        <v>0</v>
      </c>
      <c r="I991">
        <f t="shared" ca="1" si="63"/>
        <v>0</v>
      </c>
    </row>
    <row r="992" spans="5:9" x14ac:dyDescent="0.75">
      <c r="E992">
        <v>986</v>
      </c>
      <c r="F992">
        <f t="shared" ca="1" si="60"/>
        <v>0.67460483996989551</v>
      </c>
      <c r="G992">
        <f t="shared" ca="1" si="61"/>
        <v>117.92999125905135</v>
      </c>
      <c r="H992">
        <f t="shared" ca="1" si="62"/>
        <v>17.929991259051349</v>
      </c>
      <c r="I992">
        <f t="shared" ca="1" si="63"/>
        <v>17.055535266650246</v>
      </c>
    </row>
    <row r="993" spans="5:9" x14ac:dyDescent="0.75">
      <c r="E993">
        <v>987</v>
      </c>
      <c r="F993">
        <f t="shared" ca="1" si="60"/>
        <v>-1.1178023441402265</v>
      </c>
      <c r="G993">
        <f t="shared" ca="1" si="61"/>
        <v>82.402000716445528</v>
      </c>
      <c r="H993">
        <f t="shared" ca="1" si="62"/>
        <v>0</v>
      </c>
      <c r="I993">
        <f t="shared" ca="1" si="63"/>
        <v>0</v>
      </c>
    </row>
    <row r="994" spans="5:9" x14ac:dyDescent="0.75">
      <c r="E994">
        <v>988</v>
      </c>
      <c r="F994">
        <f t="shared" ca="1" si="60"/>
        <v>-0.83133818175564322</v>
      </c>
      <c r="G994">
        <f t="shared" ca="1" si="61"/>
        <v>87.260905932917879</v>
      </c>
      <c r="H994">
        <f t="shared" ca="1" si="62"/>
        <v>0</v>
      </c>
      <c r="I994">
        <f t="shared" ca="1" si="63"/>
        <v>0</v>
      </c>
    </row>
    <row r="995" spans="5:9" x14ac:dyDescent="0.75">
      <c r="E995">
        <v>989</v>
      </c>
      <c r="F995">
        <f t="shared" ca="1" si="60"/>
        <v>9.5909098084423133E-2</v>
      </c>
      <c r="G995">
        <f t="shared" ca="1" si="61"/>
        <v>105.04113187621844</v>
      </c>
      <c r="H995">
        <f t="shared" ca="1" si="62"/>
        <v>5.0411318762184436</v>
      </c>
      <c r="I995">
        <f t="shared" ca="1" si="63"/>
        <v>4.7952729734474744</v>
      </c>
    </row>
    <row r="996" spans="5:9" x14ac:dyDescent="0.75">
      <c r="E996">
        <v>990</v>
      </c>
      <c r="F996">
        <f t="shared" ca="1" si="60"/>
        <v>-2.3562007816181172</v>
      </c>
      <c r="G996">
        <f t="shared" ca="1" si="61"/>
        <v>64.323821029827073</v>
      </c>
      <c r="H996">
        <f t="shared" ca="1" si="62"/>
        <v>0</v>
      </c>
      <c r="I996">
        <f t="shared" ca="1" si="63"/>
        <v>0</v>
      </c>
    </row>
    <row r="997" spans="5:9" x14ac:dyDescent="0.75">
      <c r="E997">
        <v>991</v>
      </c>
      <c r="F997">
        <f t="shared" ca="1" si="60"/>
        <v>0.30484218373500988</v>
      </c>
      <c r="G997">
        <f t="shared" ca="1" si="61"/>
        <v>109.52344355513206</v>
      </c>
      <c r="H997">
        <f t="shared" ca="1" si="62"/>
        <v>9.5234435551320615</v>
      </c>
      <c r="I997">
        <f t="shared" ca="1" si="63"/>
        <v>9.0589797322133041</v>
      </c>
    </row>
    <row r="998" spans="5:9" x14ac:dyDescent="0.75">
      <c r="E998">
        <v>992</v>
      </c>
      <c r="F998">
        <f t="shared" ca="1" si="60"/>
        <v>-2.1302090908003892</v>
      </c>
      <c r="G998">
        <f t="shared" ca="1" si="61"/>
        <v>67.297855262409712</v>
      </c>
      <c r="H998">
        <f t="shared" ca="1" si="62"/>
        <v>0</v>
      </c>
      <c r="I998">
        <f t="shared" ca="1" si="63"/>
        <v>0</v>
      </c>
    </row>
    <row r="999" spans="5:9" x14ac:dyDescent="0.75">
      <c r="E999">
        <v>993</v>
      </c>
      <c r="F999">
        <f t="shared" ca="1" si="60"/>
        <v>-0.82670144994986039</v>
      </c>
      <c r="G999">
        <f t="shared" ca="1" si="61"/>
        <v>87.341864549043194</v>
      </c>
      <c r="H999">
        <f t="shared" ca="1" si="62"/>
        <v>0</v>
      </c>
      <c r="I999">
        <f t="shared" ca="1" si="63"/>
        <v>0</v>
      </c>
    </row>
    <row r="1000" spans="5:9" x14ac:dyDescent="0.75">
      <c r="E1000">
        <v>994</v>
      </c>
      <c r="F1000">
        <f t="shared" ca="1" si="60"/>
        <v>0.69433854740964329</v>
      </c>
      <c r="G1000">
        <f t="shared" ca="1" si="61"/>
        <v>118.39635014183894</v>
      </c>
      <c r="H1000">
        <f t="shared" ca="1" si="62"/>
        <v>18.396350141838937</v>
      </c>
      <c r="I1000">
        <f t="shared" ca="1" si="63"/>
        <v>17.49914955833508</v>
      </c>
    </row>
    <row r="1001" spans="5:9" x14ac:dyDescent="0.75">
      <c r="E1001">
        <v>995</v>
      </c>
      <c r="F1001">
        <f t="shared" ca="1" si="60"/>
        <v>2.3193587251834233</v>
      </c>
      <c r="G1001">
        <f t="shared" ca="1" si="61"/>
        <v>163.86483825276559</v>
      </c>
      <c r="H1001">
        <f t="shared" ca="1" si="62"/>
        <v>63.864838252765594</v>
      </c>
      <c r="I1001">
        <f t="shared" ca="1" si="63"/>
        <v>60.750113337009402</v>
      </c>
    </row>
    <row r="1002" spans="5:9" x14ac:dyDescent="0.75">
      <c r="E1002">
        <v>996</v>
      </c>
      <c r="F1002">
        <f t="shared" ca="1" si="60"/>
        <v>0.70371465454652371</v>
      </c>
      <c r="G1002">
        <f t="shared" ca="1" si="61"/>
        <v>118.61857781247176</v>
      </c>
      <c r="H1002">
        <f t="shared" ca="1" si="62"/>
        <v>18.618577812471756</v>
      </c>
      <c r="I1002">
        <f t="shared" ca="1" si="63"/>
        <v>17.710539057579272</v>
      </c>
    </row>
    <row r="1003" spans="5:9" x14ac:dyDescent="0.75">
      <c r="E1003">
        <v>997</v>
      </c>
      <c r="F1003">
        <f t="shared" ca="1" si="60"/>
        <v>-2.1722208918686245</v>
      </c>
      <c r="G1003">
        <f t="shared" ca="1" si="61"/>
        <v>66.734763404039882</v>
      </c>
      <c r="H1003">
        <f t="shared" ca="1" si="62"/>
        <v>0</v>
      </c>
      <c r="I1003">
        <f t="shared" ca="1" si="63"/>
        <v>0</v>
      </c>
    </row>
    <row r="1004" spans="5:9" x14ac:dyDescent="0.75">
      <c r="E1004">
        <v>998</v>
      </c>
      <c r="F1004">
        <f t="shared" ca="1" si="60"/>
        <v>-0.31180255944150775</v>
      </c>
      <c r="G1004">
        <f t="shared" ca="1" si="61"/>
        <v>96.815748687272674</v>
      </c>
      <c r="H1004">
        <f t="shared" ca="1" si="62"/>
        <v>0</v>
      </c>
      <c r="I1004">
        <f t="shared" ca="1" si="63"/>
        <v>0</v>
      </c>
    </row>
    <row r="1005" spans="5:9" x14ac:dyDescent="0.75">
      <c r="E1005">
        <v>999</v>
      </c>
      <c r="F1005">
        <f t="shared" ca="1" si="60"/>
        <v>-0.45187978503605741</v>
      </c>
      <c r="G1005">
        <f t="shared" ca="1" si="61"/>
        <v>94.141053715659282</v>
      </c>
      <c r="H1005">
        <f t="shared" ca="1" si="62"/>
        <v>0</v>
      </c>
      <c r="I1005">
        <f t="shared" ca="1" si="63"/>
        <v>0</v>
      </c>
    </row>
    <row r="1006" spans="5:9" x14ac:dyDescent="0.75">
      <c r="E1006">
        <v>1000</v>
      </c>
      <c r="F1006">
        <f t="shared" ca="1" si="60"/>
        <v>-0.56005215993036217</v>
      </c>
      <c r="G1006">
        <f t="shared" ca="1" si="61"/>
        <v>92.126234805023572</v>
      </c>
      <c r="H1006">
        <f t="shared" ca="1" si="62"/>
        <v>0</v>
      </c>
      <c r="I1006">
        <f t="shared" ca="1" si="6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CA15-D135-4D35-B82F-335C97EB3BC9}">
  <dimension ref="B3:V1005"/>
  <sheetViews>
    <sheetView workbookViewId="0">
      <selection activeCell="V11" sqref="V11"/>
    </sheetView>
  </sheetViews>
  <sheetFormatPr baseColWidth="10" defaultRowHeight="14.75" x14ac:dyDescent="0.75"/>
  <sheetData>
    <row r="3" spans="2:22" x14ac:dyDescent="0.75">
      <c r="B3" t="s">
        <v>0</v>
      </c>
      <c r="C3">
        <v>100</v>
      </c>
    </row>
    <row r="4" spans="2:22" x14ac:dyDescent="0.75">
      <c r="B4" t="s">
        <v>1</v>
      </c>
      <c r="C4">
        <v>0.05</v>
      </c>
    </row>
    <row r="5" spans="2:22" x14ac:dyDescent="0.75">
      <c r="B5" t="s">
        <v>2</v>
      </c>
      <c r="C5">
        <v>0.2</v>
      </c>
      <c r="E5" t="s">
        <v>20</v>
      </c>
      <c r="F5">
        <v>0</v>
      </c>
      <c r="G5">
        <f>F5+$C$10</f>
        <v>0.1</v>
      </c>
      <c r="H5">
        <f t="shared" ref="H5:O5" si="0">G5+$C$10</f>
        <v>0.2</v>
      </c>
      <c r="I5">
        <f t="shared" si="0"/>
        <v>0.30000000000000004</v>
      </c>
      <c r="J5">
        <f t="shared" si="0"/>
        <v>0.4</v>
      </c>
      <c r="K5">
        <f t="shared" si="0"/>
        <v>0.5</v>
      </c>
      <c r="L5">
        <f t="shared" si="0"/>
        <v>0.6</v>
      </c>
      <c r="M5">
        <f t="shared" si="0"/>
        <v>0.7</v>
      </c>
      <c r="N5">
        <f>M5+$C$10</f>
        <v>0.79999999999999993</v>
      </c>
      <c r="O5">
        <f t="shared" si="0"/>
        <v>0.89999999999999991</v>
      </c>
      <c r="P5">
        <f>O5+$C$10</f>
        <v>0.99999999999999989</v>
      </c>
      <c r="Q5" t="s">
        <v>21</v>
      </c>
      <c r="R5" t="s">
        <v>22</v>
      </c>
      <c r="S5" t="s">
        <v>23</v>
      </c>
    </row>
    <row r="6" spans="2:22" x14ac:dyDescent="0.75">
      <c r="B6" t="s">
        <v>3</v>
      </c>
      <c r="C6">
        <v>1</v>
      </c>
      <c r="E6">
        <v>1</v>
      </c>
      <c r="F6">
        <v>100</v>
      </c>
      <c r="G6">
        <f ca="1">F6*EXP(($C$4-0.5*$C$5^2)*$C$10+$C$5*SQRT($C$10)*NORMINV(RAND(),0,1))</f>
        <v>92.758703780650791</v>
      </c>
      <c r="H6">
        <f t="shared" ref="H6:P6" ca="1" si="1">G6*EXP(($C$4-0.5*$C$5^2)*$C$10+$C$5*SQRT($C$10)*NORMINV(RAND(),0,1))</f>
        <v>103.60990121545689</v>
      </c>
      <c r="I6">
        <f t="shared" ca="1" si="1"/>
        <v>96.872078234682874</v>
      </c>
      <c r="J6">
        <f t="shared" ca="1" si="1"/>
        <v>101.48909488338356</v>
      </c>
      <c r="K6">
        <f t="shared" ca="1" si="1"/>
        <v>103.97056560672409</v>
      </c>
      <c r="L6">
        <f t="shared" ca="1" si="1"/>
        <v>100.26170173745034</v>
      </c>
      <c r="M6">
        <f t="shared" ca="1" si="1"/>
        <v>96.06403257930576</v>
      </c>
      <c r="N6">
        <f t="shared" ca="1" si="1"/>
        <v>106.89194973581644</v>
      </c>
      <c r="O6">
        <f t="shared" ca="1" si="1"/>
        <v>112.71373190113684</v>
      </c>
      <c r="P6">
        <f t="shared" ca="1" si="1"/>
        <v>112.30082521748366</v>
      </c>
      <c r="Q6">
        <f ca="1">AVERAGE(F6:P6)</f>
        <v>102.44841680837193</v>
      </c>
      <c r="R6">
        <f ca="1">MAX(Q6-$C$7,0)</f>
        <v>2.4484168083719311</v>
      </c>
      <c r="S6">
        <f ca="1">EXP(-$C$4*$C$6)*R6</f>
        <v>2.3290061115655072</v>
      </c>
      <c r="U6" t="s">
        <v>24</v>
      </c>
    </row>
    <row r="7" spans="2:22" x14ac:dyDescent="0.75">
      <c r="B7" t="s">
        <v>4</v>
      </c>
      <c r="C7">
        <v>100</v>
      </c>
      <c r="E7">
        <v>2</v>
      </c>
      <c r="F7">
        <v>100</v>
      </c>
      <c r="G7">
        <f t="shared" ref="G7:J70" ca="1" si="2">F7*EXP(($C$4-0.5*$C$5^2)*$C$10+$C$5*SQRT($C$10)*NORMINV(RAND(),0,1))</f>
        <v>108.92444802390031</v>
      </c>
      <c r="H7">
        <f t="shared" ca="1" si="2"/>
        <v>119.25469986642311</v>
      </c>
      <c r="I7">
        <f t="shared" ca="1" si="2"/>
        <v>124.96376425811506</v>
      </c>
      <c r="J7">
        <f t="shared" ca="1" si="2"/>
        <v>124.81351015810627</v>
      </c>
      <c r="K7">
        <f t="shared" ref="K7:P7" ca="1" si="3">J7*EXP(($C$4-0.5*$C$5^2)*$C$10+$C$5*SQRT($C$10)*NORMINV(RAND(),0,1))</f>
        <v>119.91209252571674</v>
      </c>
      <c r="L7">
        <f t="shared" ca="1" si="3"/>
        <v>124.00159894991118</v>
      </c>
      <c r="M7">
        <f t="shared" ca="1" si="3"/>
        <v>139.98762955415887</v>
      </c>
      <c r="N7">
        <f t="shared" ca="1" si="3"/>
        <v>148.13047568602173</v>
      </c>
      <c r="O7">
        <f t="shared" ca="1" si="3"/>
        <v>158.29539748351499</v>
      </c>
      <c r="P7">
        <f t="shared" ca="1" si="3"/>
        <v>164.03935058450614</v>
      </c>
      <c r="Q7">
        <f t="shared" ref="Q7:Q70" ca="1" si="4">AVERAGE(F7:P7)</f>
        <v>130.21117882639766</v>
      </c>
      <c r="R7">
        <f t="shared" ref="R7:R70" ca="1" si="5">MAX(Q7-$C$7,0)</f>
        <v>30.211178826397656</v>
      </c>
      <c r="S7">
        <f t="shared" ref="S7:S70" ca="1" si="6">EXP(-$C$4*$C$6)*R7</f>
        <v>28.737762248522401</v>
      </c>
      <c r="U7">
        <f ca="1">AVERAGE(S6:S1005)</f>
        <v>5.9314400684879001</v>
      </c>
    </row>
    <row r="8" spans="2:22" x14ac:dyDescent="0.75">
      <c r="B8" t="s">
        <v>5</v>
      </c>
      <c r="C8">
        <v>0</v>
      </c>
      <c r="E8">
        <v>3</v>
      </c>
      <c r="F8">
        <v>100</v>
      </c>
      <c r="G8">
        <f t="shared" ca="1" si="2"/>
        <v>96.09742366050682</v>
      </c>
      <c r="H8">
        <f t="shared" ca="1" si="2"/>
        <v>86.929086262238826</v>
      </c>
      <c r="I8">
        <f t="shared" ca="1" si="2"/>
        <v>91.869688350736638</v>
      </c>
      <c r="J8">
        <f t="shared" ca="1" si="2"/>
        <v>98.793027548323494</v>
      </c>
      <c r="K8">
        <f t="shared" ref="K8:P8" ca="1" si="7">J8*EXP(($C$4-0.5*$C$5^2)*$C$10+$C$5*SQRT($C$10)*NORMINV(RAND(),0,1))</f>
        <v>111.56877110356658</v>
      </c>
      <c r="L8">
        <f t="shared" ca="1" si="7"/>
        <v>111.1463377105644</v>
      </c>
      <c r="M8">
        <f t="shared" ca="1" si="7"/>
        <v>116.53531953873224</v>
      </c>
      <c r="N8">
        <f t="shared" ca="1" si="7"/>
        <v>120.52639517403006</v>
      </c>
      <c r="O8">
        <f t="shared" ca="1" si="7"/>
        <v>123.58596661333537</v>
      </c>
      <c r="P8">
        <f t="shared" ca="1" si="7"/>
        <v>127.65855169430139</v>
      </c>
      <c r="Q8">
        <f t="shared" ca="1" si="4"/>
        <v>107.70096069603052</v>
      </c>
      <c r="R8">
        <f t="shared" ca="1" si="5"/>
        <v>7.7009606960305206</v>
      </c>
      <c r="S8">
        <f t="shared" ca="1" si="6"/>
        <v>7.3253804109877301</v>
      </c>
    </row>
    <row r="9" spans="2:22" x14ac:dyDescent="0.75">
      <c r="E9">
        <v>4</v>
      </c>
      <c r="F9">
        <v>100</v>
      </c>
      <c r="G9">
        <f t="shared" ca="1" si="2"/>
        <v>97.372458892999433</v>
      </c>
      <c r="H9">
        <f t="shared" ca="1" si="2"/>
        <v>110.41312652254605</v>
      </c>
      <c r="I9">
        <f t="shared" ca="1" si="2"/>
        <v>97.638603177751634</v>
      </c>
      <c r="J9">
        <f t="shared" ca="1" si="2"/>
        <v>91.862190858920627</v>
      </c>
      <c r="K9">
        <f t="shared" ref="K9:P9" ca="1" si="8">J9*EXP(($C$4-0.5*$C$5^2)*$C$10+$C$5*SQRT($C$10)*NORMINV(RAND(),0,1))</f>
        <v>95.308491682195509</v>
      </c>
      <c r="L9">
        <f t="shared" ca="1" si="8"/>
        <v>92.107776024928683</v>
      </c>
      <c r="M9">
        <f t="shared" ca="1" si="8"/>
        <v>93.929617164788851</v>
      </c>
      <c r="N9">
        <f t="shared" ca="1" si="8"/>
        <v>85.13536572660486</v>
      </c>
      <c r="O9">
        <f t="shared" ca="1" si="8"/>
        <v>87.293910113018285</v>
      </c>
      <c r="P9">
        <f t="shared" ca="1" si="8"/>
        <v>75.889196151879887</v>
      </c>
      <c r="Q9">
        <f t="shared" ca="1" si="4"/>
        <v>93.359157846875803</v>
      </c>
      <c r="R9">
        <f t="shared" ca="1" si="5"/>
        <v>0</v>
      </c>
      <c r="S9">
        <f t="shared" ca="1" si="6"/>
        <v>0</v>
      </c>
      <c r="U9" t="s">
        <v>27</v>
      </c>
    </row>
    <row r="10" spans="2:22" x14ac:dyDescent="0.75">
      <c r="B10" t="s">
        <v>19</v>
      </c>
      <c r="C10">
        <v>0.1</v>
      </c>
      <c r="E10">
        <v>5</v>
      </c>
      <c r="F10">
        <v>100</v>
      </c>
      <c r="G10">
        <f t="shared" ca="1" si="2"/>
        <v>89.377810677348009</v>
      </c>
      <c r="H10">
        <f t="shared" ca="1" si="2"/>
        <v>86.445829001802167</v>
      </c>
      <c r="I10">
        <f t="shared" ca="1" si="2"/>
        <v>83.094528870918808</v>
      </c>
      <c r="J10">
        <f t="shared" ca="1" si="2"/>
        <v>82.230707049807862</v>
      </c>
      <c r="K10">
        <f t="shared" ref="K10:P10" ca="1" si="9">J10*EXP(($C$4-0.5*$C$5^2)*$C$10+$C$5*SQRT($C$10)*NORMINV(RAND(),0,1))</f>
        <v>89.55412816718119</v>
      </c>
      <c r="L10">
        <f t="shared" ca="1" si="9"/>
        <v>98.728381635720169</v>
      </c>
      <c r="M10">
        <f t="shared" ca="1" si="9"/>
        <v>107.36430076713442</v>
      </c>
      <c r="N10">
        <f t="shared" ca="1" si="9"/>
        <v>102.29930588979319</v>
      </c>
      <c r="O10">
        <f t="shared" ca="1" si="9"/>
        <v>111.25155561166083</v>
      </c>
      <c r="P10">
        <f t="shared" ca="1" si="9"/>
        <v>122.32926776332035</v>
      </c>
      <c r="Q10">
        <f t="shared" ca="1" si="4"/>
        <v>97.51598322133519</v>
      </c>
      <c r="R10">
        <f t="shared" ca="1" si="5"/>
        <v>0</v>
      </c>
      <c r="S10">
        <f t="shared" ca="1" si="6"/>
        <v>0</v>
      </c>
      <c r="U10" t="s">
        <v>25</v>
      </c>
      <c r="V10">
        <v>0.05</v>
      </c>
    </row>
    <row r="11" spans="2:22" x14ac:dyDescent="0.75">
      <c r="E11">
        <v>6</v>
      </c>
      <c r="F11">
        <v>100</v>
      </c>
      <c r="G11">
        <f t="shared" ca="1" si="2"/>
        <v>109.15387822578538</v>
      </c>
      <c r="H11">
        <f t="shared" ca="1" si="2"/>
        <v>104.55625771819788</v>
      </c>
      <c r="I11">
        <f t="shared" ca="1" si="2"/>
        <v>113.44784273661173</v>
      </c>
      <c r="J11">
        <f t="shared" ca="1" si="2"/>
        <v>116.29305975421636</v>
      </c>
      <c r="K11">
        <f t="shared" ref="K11:P11" ca="1" si="10">J11*EXP(($C$4-0.5*$C$5^2)*$C$10+$C$5*SQRT($C$10)*NORMINV(RAND(),0,1))</f>
        <v>136.49930865574004</v>
      </c>
      <c r="L11">
        <f t="shared" ca="1" si="10"/>
        <v>124.14738847201227</v>
      </c>
      <c r="M11">
        <f t="shared" ca="1" si="10"/>
        <v>136.05211196359176</v>
      </c>
      <c r="N11">
        <f t="shared" ca="1" si="10"/>
        <v>142.56058667975202</v>
      </c>
      <c r="O11">
        <f t="shared" ca="1" si="10"/>
        <v>139.43746163194118</v>
      </c>
      <c r="P11">
        <f t="shared" ca="1" si="10"/>
        <v>139.03473784533145</v>
      </c>
      <c r="Q11">
        <f t="shared" ca="1" si="4"/>
        <v>123.74387578938</v>
      </c>
      <c r="R11">
        <f t="shared" ca="1" si="5"/>
        <v>23.743875789379999</v>
      </c>
      <c r="S11">
        <f t="shared" ca="1" si="6"/>
        <v>22.585873302548372</v>
      </c>
      <c r="U11" t="s">
        <v>26</v>
      </c>
      <c r="V11" t="e">
        <f>CONFIDENCE(V10,V9,1000)</f>
        <v>#NUM!</v>
      </c>
    </row>
    <row r="12" spans="2:22" x14ac:dyDescent="0.75">
      <c r="E12">
        <v>7</v>
      </c>
      <c r="F12">
        <v>100</v>
      </c>
      <c r="G12">
        <f t="shared" ca="1" si="2"/>
        <v>100.86357291956583</v>
      </c>
      <c r="H12">
        <f t="shared" ca="1" si="2"/>
        <v>96.560133549660179</v>
      </c>
      <c r="I12">
        <f t="shared" ca="1" si="2"/>
        <v>98.465140054917967</v>
      </c>
      <c r="J12">
        <f t="shared" ca="1" si="2"/>
        <v>99.168330087591571</v>
      </c>
      <c r="K12">
        <f t="shared" ref="K12:P12" ca="1" si="11">J12*EXP(($C$4-0.5*$C$5^2)*$C$10+$C$5*SQRT($C$10)*NORMINV(RAND(),0,1))</f>
        <v>105.7922524904421</v>
      </c>
      <c r="L12">
        <f t="shared" ca="1" si="11"/>
        <v>95.627353068818977</v>
      </c>
      <c r="M12">
        <f t="shared" ca="1" si="11"/>
        <v>100.26583431946015</v>
      </c>
      <c r="N12">
        <f t="shared" ca="1" si="11"/>
        <v>108.29013870170975</v>
      </c>
      <c r="O12">
        <f t="shared" ca="1" si="11"/>
        <v>120.20897229279673</v>
      </c>
      <c r="P12">
        <f t="shared" ca="1" si="11"/>
        <v>127.31059994773427</v>
      </c>
      <c r="Q12">
        <f t="shared" ca="1" si="4"/>
        <v>104.77748431206342</v>
      </c>
      <c r="R12">
        <f t="shared" ca="1" si="5"/>
        <v>4.7774843120634216</v>
      </c>
      <c r="S12">
        <f t="shared" ca="1" si="6"/>
        <v>4.5444836527252779</v>
      </c>
    </row>
    <row r="13" spans="2:22" x14ac:dyDescent="0.75">
      <c r="E13">
        <v>8</v>
      </c>
      <c r="F13">
        <v>100</v>
      </c>
      <c r="G13">
        <f t="shared" ca="1" si="2"/>
        <v>92.89202313952724</v>
      </c>
      <c r="H13">
        <f t="shared" ca="1" si="2"/>
        <v>88.321294078654901</v>
      </c>
      <c r="I13">
        <f t="shared" ca="1" si="2"/>
        <v>87.53601177764952</v>
      </c>
      <c r="J13">
        <f t="shared" ca="1" si="2"/>
        <v>82.18176032492039</v>
      </c>
      <c r="K13">
        <f t="shared" ref="K13:P13" ca="1" si="12">J13*EXP(($C$4-0.5*$C$5^2)*$C$10+$C$5*SQRT($C$10)*NORMINV(RAND(),0,1))</f>
        <v>88.085089895811294</v>
      </c>
      <c r="L13">
        <f t="shared" ca="1" si="12"/>
        <v>88.597826625463185</v>
      </c>
      <c r="M13">
        <f t="shared" ca="1" si="12"/>
        <v>92.311735570255408</v>
      </c>
      <c r="N13">
        <f t="shared" ca="1" si="12"/>
        <v>112.04795840219113</v>
      </c>
      <c r="O13">
        <f t="shared" ca="1" si="12"/>
        <v>113.61323163378935</v>
      </c>
      <c r="P13">
        <f t="shared" ca="1" si="12"/>
        <v>102.20047533797668</v>
      </c>
      <c r="Q13">
        <f t="shared" ca="1" si="4"/>
        <v>95.253400616930833</v>
      </c>
      <c r="R13">
        <f t="shared" ca="1" si="5"/>
        <v>0</v>
      </c>
      <c r="S13">
        <f t="shared" ca="1" si="6"/>
        <v>0</v>
      </c>
    </row>
    <row r="14" spans="2:22" x14ac:dyDescent="0.75">
      <c r="E14">
        <v>9</v>
      </c>
      <c r="F14">
        <v>100</v>
      </c>
      <c r="G14">
        <f t="shared" ca="1" si="2"/>
        <v>111.96735595558538</v>
      </c>
      <c r="H14">
        <f t="shared" ca="1" si="2"/>
        <v>106.76643687920598</v>
      </c>
      <c r="I14">
        <f t="shared" ca="1" si="2"/>
        <v>113.68459903723357</v>
      </c>
      <c r="J14">
        <f t="shared" ca="1" si="2"/>
        <v>110.58051937377127</v>
      </c>
      <c r="K14">
        <f t="shared" ref="K14:P14" ca="1" si="13">J14*EXP(($C$4-0.5*$C$5^2)*$C$10+$C$5*SQRT($C$10)*NORMINV(RAND(),0,1))</f>
        <v>111.17283609725168</v>
      </c>
      <c r="L14">
        <f t="shared" ca="1" si="13"/>
        <v>117.06711951170197</v>
      </c>
      <c r="M14">
        <f t="shared" ca="1" si="13"/>
        <v>122.53817486517499</v>
      </c>
      <c r="N14">
        <f t="shared" ca="1" si="13"/>
        <v>129.9468814969145</v>
      </c>
      <c r="O14">
        <f t="shared" ca="1" si="13"/>
        <v>139.41861858858496</v>
      </c>
      <c r="P14">
        <f t="shared" ca="1" si="13"/>
        <v>149.86056778696877</v>
      </c>
      <c r="Q14">
        <f t="shared" ca="1" si="4"/>
        <v>119.36391905385393</v>
      </c>
      <c r="R14">
        <f t="shared" ca="1" si="5"/>
        <v>19.363919053853934</v>
      </c>
      <c r="S14">
        <f t="shared" ca="1" si="6"/>
        <v>18.419529577675888</v>
      </c>
    </row>
    <row r="15" spans="2:22" x14ac:dyDescent="0.75">
      <c r="E15">
        <v>10</v>
      </c>
      <c r="F15">
        <v>100</v>
      </c>
      <c r="G15">
        <f t="shared" ca="1" si="2"/>
        <v>98.626732334012118</v>
      </c>
      <c r="H15">
        <f t="shared" ca="1" si="2"/>
        <v>105.57604018604808</v>
      </c>
      <c r="I15">
        <f t="shared" ca="1" si="2"/>
        <v>110.21222262287826</v>
      </c>
      <c r="J15">
        <f t="shared" ca="1" si="2"/>
        <v>109.06595695952824</v>
      </c>
      <c r="K15">
        <f t="shared" ref="K15:P15" ca="1" si="14">J15*EXP(($C$4-0.5*$C$5^2)*$C$10+$C$5*SQRT($C$10)*NORMINV(RAND(),0,1))</f>
        <v>105.32153758236178</v>
      </c>
      <c r="L15">
        <f t="shared" ca="1" si="14"/>
        <v>110.45005893604124</v>
      </c>
      <c r="M15">
        <f t="shared" ca="1" si="14"/>
        <v>103.72815943555702</v>
      </c>
      <c r="N15">
        <f t="shared" ca="1" si="14"/>
        <v>104.43945040464689</v>
      </c>
      <c r="O15">
        <f t="shared" ca="1" si="14"/>
        <v>110.14836270004768</v>
      </c>
      <c r="P15">
        <f t="shared" ca="1" si="14"/>
        <v>105.97872854969111</v>
      </c>
      <c r="Q15">
        <f t="shared" ca="1" si="4"/>
        <v>105.77702270098294</v>
      </c>
      <c r="R15">
        <f t="shared" ca="1" si="5"/>
        <v>5.7770227009829398</v>
      </c>
      <c r="S15">
        <f t="shared" ca="1" si="6"/>
        <v>5.4952739791835619</v>
      </c>
    </row>
    <row r="16" spans="2:22" x14ac:dyDescent="0.75">
      <c r="E16">
        <v>11</v>
      </c>
      <c r="F16">
        <v>100</v>
      </c>
      <c r="G16">
        <f t="shared" ca="1" si="2"/>
        <v>89.703311005167137</v>
      </c>
      <c r="H16">
        <f t="shared" ca="1" si="2"/>
        <v>86.165059806184004</v>
      </c>
      <c r="I16">
        <f t="shared" ca="1" si="2"/>
        <v>80.685104774091158</v>
      </c>
      <c r="J16">
        <f t="shared" ca="1" si="2"/>
        <v>76.211769905528101</v>
      </c>
      <c r="K16">
        <f t="shared" ref="K16:P16" ca="1" si="15">J16*EXP(($C$4-0.5*$C$5^2)*$C$10+$C$5*SQRT($C$10)*NORMINV(RAND(),0,1))</f>
        <v>78.691399910901168</v>
      </c>
      <c r="L16">
        <f t="shared" ca="1" si="15"/>
        <v>78.442331141945715</v>
      </c>
      <c r="M16">
        <f t="shared" ca="1" si="15"/>
        <v>79.369106273987867</v>
      </c>
      <c r="N16">
        <f t="shared" ca="1" si="15"/>
        <v>83.169174226837143</v>
      </c>
      <c r="O16">
        <f t="shared" ca="1" si="15"/>
        <v>81.321119005973586</v>
      </c>
      <c r="P16">
        <f t="shared" ca="1" si="15"/>
        <v>82.391206731941068</v>
      </c>
      <c r="Q16">
        <f t="shared" ca="1" si="4"/>
        <v>83.286325707505185</v>
      </c>
      <c r="R16">
        <f t="shared" ca="1" si="5"/>
        <v>0</v>
      </c>
      <c r="S16">
        <f t="shared" ca="1" si="6"/>
        <v>0</v>
      </c>
    </row>
    <row r="17" spans="5:19" x14ac:dyDescent="0.75">
      <c r="E17">
        <v>12</v>
      </c>
      <c r="F17">
        <v>100</v>
      </c>
      <c r="G17">
        <f t="shared" ca="1" si="2"/>
        <v>112.48405374729613</v>
      </c>
      <c r="H17">
        <f t="shared" ca="1" si="2"/>
        <v>112.4799654882367</v>
      </c>
      <c r="I17">
        <f t="shared" ca="1" si="2"/>
        <v>119.08732175760677</v>
      </c>
      <c r="J17">
        <f t="shared" ca="1" si="2"/>
        <v>121.89823956147303</v>
      </c>
      <c r="K17">
        <f t="shared" ref="K17:P17" ca="1" si="16">J17*EXP(($C$4-0.5*$C$5^2)*$C$10+$C$5*SQRT($C$10)*NORMINV(RAND(),0,1))</f>
        <v>122.77740864847979</v>
      </c>
      <c r="L17">
        <f t="shared" ca="1" si="16"/>
        <v>127.27519623110935</v>
      </c>
      <c r="M17">
        <f t="shared" ca="1" si="16"/>
        <v>124.6126622713887</v>
      </c>
      <c r="N17">
        <f t="shared" ca="1" si="16"/>
        <v>118.87509610349586</v>
      </c>
      <c r="O17">
        <f t="shared" ca="1" si="16"/>
        <v>128.55141209307968</v>
      </c>
      <c r="P17">
        <f t="shared" ca="1" si="16"/>
        <v>120.28309144753999</v>
      </c>
      <c r="Q17">
        <f t="shared" ca="1" si="4"/>
        <v>118.93858612270056</v>
      </c>
      <c r="R17">
        <f t="shared" ca="1" si="5"/>
        <v>18.938586122700556</v>
      </c>
      <c r="S17">
        <f t="shared" ca="1" si="6"/>
        <v>18.014940378353661</v>
      </c>
    </row>
    <row r="18" spans="5:19" x14ac:dyDescent="0.75">
      <c r="E18">
        <v>13</v>
      </c>
      <c r="F18">
        <v>100</v>
      </c>
      <c r="G18">
        <f t="shared" ca="1" si="2"/>
        <v>104.937095696255</v>
      </c>
      <c r="H18">
        <f t="shared" ca="1" si="2"/>
        <v>107.98388730212113</v>
      </c>
      <c r="I18">
        <f t="shared" ca="1" si="2"/>
        <v>100.54451258325612</v>
      </c>
      <c r="J18">
        <f t="shared" ca="1" si="2"/>
        <v>92.665033940451309</v>
      </c>
      <c r="K18">
        <f t="shared" ref="K18:P18" ca="1" si="17">J18*EXP(($C$4-0.5*$C$5^2)*$C$10+$C$5*SQRT($C$10)*NORMINV(RAND(),0,1))</f>
        <v>87.209692085744578</v>
      </c>
      <c r="L18">
        <f t="shared" ca="1" si="17"/>
        <v>91.097888586050189</v>
      </c>
      <c r="M18">
        <f t="shared" ca="1" si="17"/>
        <v>91.302662546134357</v>
      </c>
      <c r="N18">
        <f t="shared" ca="1" si="17"/>
        <v>84.913496595590786</v>
      </c>
      <c r="O18">
        <f t="shared" ca="1" si="17"/>
        <v>95.800598940734574</v>
      </c>
      <c r="P18">
        <f t="shared" ca="1" si="17"/>
        <v>96.672602004716879</v>
      </c>
      <c r="Q18">
        <f t="shared" ca="1" si="4"/>
        <v>95.738860934641352</v>
      </c>
      <c r="R18">
        <f t="shared" ca="1" si="5"/>
        <v>0</v>
      </c>
      <c r="S18">
        <f t="shared" ca="1" si="6"/>
        <v>0</v>
      </c>
    </row>
    <row r="19" spans="5:19" x14ac:dyDescent="0.75">
      <c r="E19">
        <v>14</v>
      </c>
      <c r="F19">
        <v>100</v>
      </c>
      <c r="G19">
        <f t="shared" ca="1" si="2"/>
        <v>97.823158016473528</v>
      </c>
      <c r="H19">
        <f t="shared" ca="1" si="2"/>
        <v>91.454117212704318</v>
      </c>
      <c r="I19">
        <f t="shared" ca="1" si="2"/>
        <v>89.705119725307767</v>
      </c>
      <c r="J19">
        <f t="shared" ca="1" si="2"/>
        <v>90.162793577804592</v>
      </c>
      <c r="K19">
        <f t="shared" ref="K19:P19" ca="1" si="18">J19*EXP(($C$4-0.5*$C$5^2)*$C$10+$C$5*SQRT($C$10)*NORMINV(RAND(),0,1))</f>
        <v>90.559321737840392</v>
      </c>
      <c r="L19">
        <f t="shared" ca="1" si="18"/>
        <v>100.94586535135538</v>
      </c>
      <c r="M19">
        <f t="shared" ca="1" si="18"/>
        <v>99.864202601805943</v>
      </c>
      <c r="N19">
        <f t="shared" ca="1" si="18"/>
        <v>97.779940491742423</v>
      </c>
      <c r="O19">
        <f t="shared" ca="1" si="18"/>
        <v>92.465194991258016</v>
      </c>
      <c r="P19">
        <f t="shared" ca="1" si="18"/>
        <v>96.14095913672017</v>
      </c>
      <c r="Q19">
        <f t="shared" ca="1" si="4"/>
        <v>95.172788440273862</v>
      </c>
      <c r="R19">
        <f t="shared" ca="1" si="5"/>
        <v>0</v>
      </c>
      <c r="S19">
        <f t="shared" ca="1" si="6"/>
        <v>0</v>
      </c>
    </row>
    <row r="20" spans="5:19" x14ac:dyDescent="0.75">
      <c r="E20">
        <v>15</v>
      </c>
      <c r="F20">
        <v>100</v>
      </c>
      <c r="G20">
        <f t="shared" ca="1" si="2"/>
        <v>104.51459420445165</v>
      </c>
      <c r="H20">
        <f t="shared" ca="1" si="2"/>
        <v>111.74935480971939</v>
      </c>
      <c r="I20">
        <f t="shared" ca="1" si="2"/>
        <v>103.57395740917471</v>
      </c>
      <c r="J20">
        <f t="shared" ca="1" si="2"/>
        <v>98.842602294885864</v>
      </c>
      <c r="K20">
        <f t="shared" ref="K20:P20" ca="1" si="19">J20*EXP(($C$4-0.5*$C$5^2)*$C$10+$C$5*SQRT($C$10)*NORMINV(RAND(),0,1))</f>
        <v>92.576852057136193</v>
      </c>
      <c r="L20">
        <f t="shared" ca="1" si="19"/>
        <v>92.812289913367835</v>
      </c>
      <c r="M20">
        <f t="shared" ca="1" si="19"/>
        <v>90.691060643975803</v>
      </c>
      <c r="N20">
        <f t="shared" ca="1" si="19"/>
        <v>102.38859190252674</v>
      </c>
      <c r="O20">
        <f t="shared" ca="1" si="19"/>
        <v>104.12509547619261</v>
      </c>
      <c r="P20">
        <f t="shared" ca="1" si="19"/>
        <v>114.75094154354878</v>
      </c>
      <c r="Q20">
        <f t="shared" ca="1" si="4"/>
        <v>101.45684911408907</v>
      </c>
      <c r="R20">
        <f t="shared" ca="1" si="5"/>
        <v>1.4568491140890671</v>
      </c>
      <c r="S20">
        <f t="shared" ca="1" si="6"/>
        <v>1.3857977443793184</v>
      </c>
    </row>
    <row r="21" spans="5:19" x14ac:dyDescent="0.75">
      <c r="E21">
        <v>16</v>
      </c>
      <c r="F21">
        <v>100</v>
      </c>
      <c r="G21">
        <f t="shared" ca="1" si="2"/>
        <v>104.7405047166925</v>
      </c>
      <c r="H21">
        <f t="shared" ca="1" si="2"/>
        <v>86.547609954646759</v>
      </c>
      <c r="I21">
        <f t="shared" ca="1" si="2"/>
        <v>84.779981690793235</v>
      </c>
      <c r="J21">
        <f t="shared" ca="1" si="2"/>
        <v>84.04849864540877</v>
      </c>
      <c r="K21">
        <f t="shared" ref="K21:P21" ca="1" si="20">J21*EXP(($C$4-0.5*$C$5^2)*$C$10+$C$5*SQRT($C$10)*NORMINV(RAND(),0,1))</f>
        <v>86.022483294946156</v>
      </c>
      <c r="L21">
        <f t="shared" ca="1" si="20"/>
        <v>94.160617885636171</v>
      </c>
      <c r="M21">
        <f t="shared" ca="1" si="20"/>
        <v>100.60532004786486</v>
      </c>
      <c r="N21">
        <f t="shared" ca="1" si="20"/>
        <v>97.841457640437568</v>
      </c>
      <c r="O21">
        <f t="shared" ca="1" si="20"/>
        <v>96.042351445751919</v>
      </c>
      <c r="P21">
        <f t="shared" ca="1" si="20"/>
        <v>101.01879752424955</v>
      </c>
      <c r="Q21">
        <f t="shared" ca="1" si="4"/>
        <v>94.164329349675242</v>
      </c>
      <c r="R21">
        <f t="shared" ca="1" si="5"/>
        <v>0</v>
      </c>
      <c r="S21">
        <f t="shared" ca="1" si="6"/>
        <v>0</v>
      </c>
    </row>
    <row r="22" spans="5:19" x14ac:dyDescent="0.75">
      <c r="E22">
        <v>17</v>
      </c>
      <c r="F22">
        <v>100</v>
      </c>
      <c r="G22">
        <f t="shared" ca="1" si="2"/>
        <v>98.735255611762511</v>
      </c>
      <c r="H22">
        <f t="shared" ca="1" si="2"/>
        <v>94.218981174638301</v>
      </c>
      <c r="I22">
        <f t="shared" ca="1" si="2"/>
        <v>107.02876477087405</v>
      </c>
      <c r="J22">
        <f t="shared" ca="1" si="2"/>
        <v>108.18770082981335</v>
      </c>
      <c r="K22">
        <f t="shared" ref="K22:P22" ca="1" si="21">J22*EXP(($C$4-0.5*$C$5^2)*$C$10+$C$5*SQRT($C$10)*NORMINV(RAND(),0,1))</f>
        <v>105.77861629584011</v>
      </c>
      <c r="L22">
        <f t="shared" ca="1" si="21"/>
        <v>103.98530852187213</v>
      </c>
      <c r="M22">
        <f t="shared" ca="1" si="21"/>
        <v>99.768398243717073</v>
      </c>
      <c r="N22">
        <f t="shared" ca="1" si="21"/>
        <v>101.86820516751398</v>
      </c>
      <c r="O22">
        <f t="shared" ca="1" si="21"/>
        <v>93.230423091866854</v>
      </c>
      <c r="P22">
        <f t="shared" ca="1" si="21"/>
        <v>87.827168377918952</v>
      </c>
      <c r="Q22">
        <f t="shared" ca="1" si="4"/>
        <v>100.05716564416524</v>
      </c>
      <c r="R22">
        <f t="shared" ca="1" si="5"/>
        <v>5.716564416523795E-2</v>
      </c>
      <c r="S22">
        <f t="shared" ca="1" si="6"/>
        <v>5.4377642800511897E-2</v>
      </c>
    </row>
    <row r="23" spans="5:19" x14ac:dyDescent="0.75">
      <c r="E23">
        <v>18</v>
      </c>
      <c r="F23">
        <v>100</v>
      </c>
      <c r="G23">
        <f t="shared" ca="1" si="2"/>
        <v>96.241131865125567</v>
      </c>
      <c r="H23">
        <f t="shared" ca="1" si="2"/>
        <v>95.610082349647911</v>
      </c>
      <c r="I23">
        <f t="shared" ca="1" si="2"/>
        <v>93.731857117469772</v>
      </c>
      <c r="J23">
        <f t="shared" ca="1" si="2"/>
        <v>88.591107869652035</v>
      </c>
      <c r="K23">
        <f t="shared" ref="K23:P23" ca="1" si="22">J23*EXP(($C$4-0.5*$C$5^2)*$C$10+$C$5*SQRT($C$10)*NORMINV(RAND(),0,1))</f>
        <v>75.56736031926593</v>
      </c>
      <c r="L23">
        <f t="shared" ca="1" si="22"/>
        <v>77.491558682618773</v>
      </c>
      <c r="M23">
        <f t="shared" ca="1" si="22"/>
        <v>80.982944666966702</v>
      </c>
      <c r="N23">
        <f t="shared" ca="1" si="22"/>
        <v>78.124798310091151</v>
      </c>
      <c r="O23">
        <f t="shared" ca="1" si="22"/>
        <v>89.823472344439452</v>
      </c>
      <c r="P23">
        <f t="shared" ca="1" si="22"/>
        <v>89.501562466402078</v>
      </c>
      <c r="Q23">
        <f t="shared" ca="1" si="4"/>
        <v>87.787806908334474</v>
      </c>
      <c r="R23">
        <f t="shared" ca="1" si="5"/>
        <v>0</v>
      </c>
      <c r="S23">
        <f t="shared" ca="1" si="6"/>
        <v>0</v>
      </c>
    </row>
    <row r="24" spans="5:19" x14ac:dyDescent="0.75">
      <c r="E24">
        <v>19</v>
      </c>
      <c r="F24">
        <v>100</v>
      </c>
      <c r="G24">
        <f t="shared" ca="1" si="2"/>
        <v>102.82647802335751</v>
      </c>
      <c r="H24">
        <f t="shared" ca="1" si="2"/>
        <v>94.378545514605293</v>
      </c>
      <c r="I24">
        <f t="shared" ca="1" si="2"/>
        <v>94.169773108027911</v>
      </c>
      <c r="J24">
        <f t="shared" ca="1" si="2"/>
        <v>94.408557681542206</v>
      </c>
      <c r="K24">
        <f t="shared" ref="K24:P24" ca="1" si="23">J24*EXP(($C$4-0.5*$C$5^2)*$C$10+$C$5*SQRT($C$10)*NORMINV(RAND(),0,1))</f>
        <v>93.913875955267358</v>
      </c>
      <c r="L24">
        <f t="shared" ca="1" si="23"/>
        <v>98.075299119196444</v>
      </c>
      <c r="M24">
        <f t="shared" ca="1" si="23"/>
        <v>94.61306332099106</v>
      </c>
      <c r="N24">
        <f t="shared" ca="1" si="23"/>
        <v>98.808736417579055</v>
      </c>
      <c r="O24">
        <f t="shared" ca="1" si="23"/>
        <v>90.41960307669693</v>
      </c>
      <c r="P24">
        <f t="shared" ca="1" si="23"/>
        <v>87.153297103010331</v>
      </c>
      <c r="Q24">
        <f t="shared" ca="1" si="4"/>
        <v>95.342475392752192</v>
      </c>
      <c r="R24">
        <f t="shared" ca="1" si="5"/>
        <v>0</v>
      </c>
      <c r="S24">
        <f t="shared" ca="1" si="6"/>
        <v>0</v>
      </c>
    </row>
    <row r="25" spans="5:19" x14ac:dyDescent="0.75">
      <c r="E25">
        <v>20</v>
      </c>
      <c r="F25">
        <v>100</v>
      </c>
      <c r="G25">
        <f t="shared" ca="1" si="2"/>
        <v>110.22291979985872</v>
      </c>
      <c r="H25">
        <f t="shared" ca="1" si="2"/>
        <v>114.49102532714106</v>
      </c>
      <c r="I25">
        <f t="shared" ca="1" si="2"/>
        <v>118.04027717768805</v>
      </c>
      <c r="J25">
        <f t="shared" ca="1" si="2"/>
        <v>111.03578513219715</v>
      </c>
      <c r="K25">
        <f t="shared" ref="K25:P25" ca="1" si="24">J25*EXP(($C$4-0.5*$C$5^2)*$C$10+$C$5*SQRT($C$10)*NORMINV(RAND(),0,1))</f>
        <v>106.61435490965115</v>
      </c>
      <c r="L25">
        <f t="shared" ca="1" si="24"/>
        <v>108.41588327213815</v>
      </c>
      <c r="M25">
        <f t="shared" ca="1" si="24"/>
        <v>118.1508093837255</v>
      </c>
      <c r="N25">
        <f t="shared" ca="1" si="24"/>
        <v>120.53005621043565</v>
      </c>
      <c r="O25">
        <f t="shared" ca="1" si="24"/>
        <v>111.85364333621509</v>
      </c>
      <c r="P25">
        <f t="shared" ca="1" si="24"/>
        <v>120.53757764111266</v>
      </c>
      <c r="Q25">
        <f t="shared" ca="1" si="4"/>
        <v>112.71748474456027</v>
      </c>
      <c r="R25">
        <f t="shared" ca="1" si="5"/>
        <v>12.717484744560267</v>
      </c>
      <c r="S25">
        <f t="shared" ca="1" si="6"/>
        <v>12.097245694664672</v>
      </c>
    </row>
    <row r="26" spans="5:19" x14ac:dyDescent="0.75">
      <c r="E26">
        <v>21</v>
      </c>
      <c r="F26">
        <v>100</v>
      </c>
      <c r="G26">
        <f t="shared" ca="1" si="2"/>
        <v>100.14996857989746</v>
      </c>
      <c r="H26">
        <f t="shared" ca="1" si="2"/>
        <v>113.05121049839181</v>
      </c>
      <c r="I26">
        <f t="shared" ca="1" si="2"/>
        <v>113.58184927019165</v>
      </c>
      <c r="J26">
        <f t="shared" ca="1" si="2"/>
        <v>118.49729372866777</v>
      </c>
      <c r="K26">
        <f t="shared" ref="K26:P26" ca="1" si="25">J26*EXP(($C$4-0.5*$C$5^2)*$C$10+$C$5*SQRT($C$10)*NORMINV(RAND(),0,1))</f>
        <v>118.7001303721991</v>
      </c>
      <c r="L26">
        <f t="shared" ca="1" si="25"/>
        <v>108.38079908323047</v>
      </c>
      <c r="M26">
        <f t="shared" ca="1" si="25"/>
        <v>104.22288701669177</v>
      </c>
      <c r="N26">
        <f t="shared" ca="1" si="25"/>
        <v>106.46567254396983</v>
      </c>
      <c r="O26">
        <f t="shared" ca="1" si="25"/>
        <v>104.35288388406651</v>
      </c>
      <c r="P26">
        <f t="shared" ca="1" si="25"/>
        <v>95.97740703945415</v>
      </c>
      <c r="Q26">
        <f t="shared" ca="1" si="4"/>
        <v>107.58000927425095</v>
      </c>
      <c r="R26">
        <f t="shared" ca="1" si="5"/>
        <v>7.5800092742509548</v>
      </c>
      <c r="S26">
        <f t="shared" ca="1" si="6"/>
        <v>7.2103278596558109</v>
      </c>
    </row>
    <row r="27" spans="5:19" x14ac:dyDescent="0.75">
      <c r="E27">
        <v>22</v>
      </c>
      <c r="F27">
        <v>100</v>
      </c>
      <c r="G27">
        <f t="shared" ca="1" si="2"/>
        <v>99.65835703001909</v>
      </c>
      <c r="H27">
        <f t="shared" ca="1" si="2"/>
        <v>103.66851173356733</v>
      </c>
      <c r="I27">
        <f t="shared" ca="1" si="2"/>
        <v>114.47924341831357</v>
      </c>
      <c r="J27">
        <f t="shared" ca="1" si="2"/>
        <v>134.80465443460383</v>
      </c>
      <c r="K27">
        <f t="shared" ref="K27:P27" ca="1" si="26">J27*EXP(($C$4-0.5*$C$5^2)*$C$10+$C$5*SQRT($C$10)*NORMINV(RAND(),0,1))</f>
        <v>121.12173950959529</v>
      </c>
      <c r="L27">
        <f t="shared" ca="1" si="26"/>
        <v>114.48449964546236</v>
      </c>
      <c r="M27">
        <f t="shared" ca="1" si="26"/>
        <v>115.14882827410109</v>
      </c>
      <c r="N27">
        <f t="shared" ca="1" si="26"/>
        <v>108.83491852856926</v>
      </c>
      <c r="O27">
        <f t="shared" ca="1" si="26"/>
        <v>112.82696205246707</v>
      </c>
      <c r="P27">
        <f t="shared" ca="1" si="26"/>
        <v>93.209297144236629</v>
      </c>
      <c r="Q27">
        <f t="shared" ca="1" si="4"/>
        <v>110.74881925190321</v>
      </c>
      <c r="R27">
        <f t="shared" ca="1" si="5"/>
        <v>10.748819251903214</v>
      </c>
      <c r="S27">
        <f t="shared" ca="1" si="6"/>
        <v>10.22459315105009</v>
      </c>
    </row>
    <row r="28" spans="5:19" x14ac:dyDescent="0.75">
      <c r="E28">
        <v>23</v>
      </c>
      <c r="F28">
        <v>100</v>
      </c>
      <c r="G28">
        <f t="shared" ca="1" si="2"/>
        <v>100.21374316161753</v>
      </c>
      <c r="H28">
        <f t="shared" ca="1" si="2"/>
        <v>92.80330512161909</v>
      </c>
      <c r="I28">
        <f t="shared" ca="1" si="2"/>
        <v>88.773015045356388</v>
      </c>
      <c r="J28">
        <f t="shared" ca="1" si="2"/>
        <v>83.79285902176133</v>
      </c>
      <c r="K28">
        <f t="shared" ref="K28:P28" ca="1" si="27">J28*EXP(($C$4-0.5*$C$5^2)*$C$10+$C$5*SQRT($C$10)*NORMINV(RAND(),0,1))</f>
        <v>87.554199501334239</v>
      </c>
      <c r="L28">
        <f t="shared" ca="1" si="27"/>
        <v>81.740167884215197</v>
      </c>
      <c r="M28">
        <f t="shared" ca="1" si="27"/>
        <v>79.787033324614427</v>
      </c>
      <c r="N28">
        <f t="shared" ca="1" si="27"/>
        <v>79.488969350773033</v>
      </c>
      <c r="O28">
        <f t="shared" ca="1" si="27"/>
        <v>78.351250770371536</v>
      </c>
      <c r="P28">
        <f t="shared" ca="1" si="27"/>
        <v>72.345889506768373</v>
      </c>
      <c r="Q28">
        <f t="shared" ca="1" si="4"/>
        <v>85.895493880766466</v>
      </c>
      <c r="R28">
        <f t="shared" ca="1" si="5"/>
        <v>0</v>
      </c>
      <c r="S28">
        <f t="shared" ca="1" si="6"/>
        <v>0</v>
      </c>
    </row>
    <row r="29" spans="5:19" x14ac:dyDescent="0.75">
      <c r="E29">
        <v>24</v>
      </c>
      <c r="F29">
        <v>100</v>
      </c>
      <c r="G29">
        <f t="shared" ca="1" si="2"/>
        <v>95.589352596294177</v>
      </c>
      <c r="H29">
        <f t="shared" ca="1" si="2"/>
        <v>96.914534934480045</v>
      </c>
      <c r="I29">
        <f t="shared" ca="1" si="2"/>
        <v>111.61002986303522</v>
      </c>
      <c r="J29">
        <f t="shared" ca="1" si="2"/>
        <v>127.08827635579883</v>
      </c>
      <c r="K29">
        <f t="shared" ref="K29:P29" ca="1" si="28">J29*EXP(($C$4-0.5*$C$5^2)*$C$10+$C$5*SQRT($C$10)*NORMINV(RAND(),0,1))</f>
        <v>115.75243316623751</v>
      </c>
      <c r="L29">
        <f t="shared" ca="1" si="28"/>
        <v>110.44833831592203</v>
      </c>
      <c r="M29">
        <f t="shared" ca="1" si="28"/>
        <v>118.46811033865447</v>
      </c>
      <c r="N29">
        <f t="shared" ca="1" si="28"/>
        <v>118.65862707109295</v>
      </c>
      <c r="O29">
        <f t="shared" ca="1" si="28"/>
        <v>142.5983576335563</v>
      </c>
      <c r="P29">
        <f t="shared" ca="1" si="28"/>
        <v>134.24547652873244</v>
      </c>
      <c r="Q29">
        <f t="shared" ca="1" si="4"/>
        <v>115.57941243670948</v>
      </c>
      <c r="R29">
        <f t="shared" ca="1" si="5"/>
        <v>15.579412436709475</v>
      </c>
      <c r="S29">
        <f t="shared" ca="1" si="6"/>
        <v>14.819595526230421</v>
      </c>
    </row>
    <row r="30" spans="5:19" x14ac:dyDescent="0.75">
      <c r="E30">
        <v>25</v>
      </c>
      <c r="F30">
        <v>100</v>
      </c>
      <c r="G30">
        <f t="shared" ca="1" si="2"/>
        <v>87.96198818543408</v>
      </c>
      <c r="H30">
        <f t="shared" ca="1" si="2"/>
        <v>93.306216125340057</v>
      </c>
      <c r="I30">
        <f t="shared" ca="1" si="2"/>
        <v>86.853375168794457</v>
      </c>
      <c r="J30">
        <f t="shared" ca="1" si="2"/>
        <v>85.339154692764609</v>
      </c>
      <c r="K30">
        <f t="shared" ref="K30:P30" ca="1" si="29">J30*EXP(($C$4-0.5*$C$5^2)*$C$10+$C$5*SQRT($C$10)*NORMINV(RAND(),0,1))</f>
        <v>90.38630555286403</v>
      </c>
      <c r="L30">
        <f t="shared" ca="1" si="29"/>
        <v>85.958376273646834</v>
      </c>
      <c r="M30">
        <f t="shared" ca="1" si="29"/>
        <v>87.558394922776927</v>
      </c>
      <c r="N30">
        <f t="shared" ca="1" si="29"/>
        <v>95.635111701435363</v>
      </c>
      <c r="O30">
        <f t="shared" ca="1" si="29"/>
        <v>88.83624730513705</v>
      </c>
      <c r="P30">
        <f t="shared" ca="1" si="29"/>
        <v>94.240706073126049</v>
      </c>
      <c r="Q30">
        <f t="shared" ca="1" si="4"/>
        <v>90.552352363756313</v>
      </c>
      <c r="R30">
        <f t="shared" ca="1" si="5"/>
        <v>0</v>
      </c>
      <c r="S30">
        <f t="shared" ca="1" si="6"/>
        <v>0</v>
      </c>
    </row>
    <row r="31" spans="5:19" x14ac:dyDescent="0.75">
      <c r="E31">
        <v>26</v>
      </c>
      <c r="F31">
        <v>100</v>
      </c>
      <c r="G31">
        <f t="shared" ca="1" si="2"/>
        <v>101.42276823235797</v>
      </c>
      <c r="H31">
        <f t="shared" ca="1" si="2"/>
        <v>106.20632551812312</v>
      </c>
      <c r="I31">
        <f t="shared" ca="1" si="2"/>
        <v>103.22002016076662</v>
      </c>
      <c r="J31">
        <f t="shared" ca="1" si="2"/>
        <v>119.85817888868421</v>
      </c>
      <c r="K31">
        <f t="shared" ref="K31:P31" ca="1" si="30">J31*EXP(($C$4-0.5*$C$5^2)*$C$10+$C$5*SQRT($C$10)*NORMINV(RAND(),0,1))</f>
        <v>109.30037241538611</v>
      </c>
      <c r="L31">
        <f t="shared" ca="1" si="30"/>
        <v>110.11999790712531</v>
      </c>
      <c r="M31">
        <f t="shared" ca="1" si="30"/>
        <v>112.54424059071364</v>
      </c>
      <c r="N31">
        <f t="shared" ca="1" si="30"/>
        <v>113.82129703481937</v>
      </c>
      <c r="O31">
        <f t="shared" ca="1" si="30"/>
        <v>112.10830126289304</v>
      </c>
      <c r="P31">
        <f t="shared" ca="1" si="30"/>
        <v>117.88180919396734</v>
      </c>
      <c r="Q31">
        <f t="shared" ca="1" si="4"/>
        <v>109.68030101862153</v>
      </c>
      <c r="R31">
        <f t="shared" ca="1" si="5"/>
        <v>9.6803010186215346</v>
      </c>
      <c r="S31">
        <f t="shared" ca="1" si="6"/>
        <v>9.2081871669370372</v>
      </c>
    </row>
    <row r="32" spans="5:19" x14ac:dyDescent="0.75">
      <c r="E32">
        <v>27</v>
      </c>
      <c r="F32">
        <v>100</v>
      </c>
      <c r="G32">
        <f t="shared" ca="1" si="2"/>
        <v>119.02942710813981</v>
      </c>
      <c r="H32">
        <f t="shared" ca="1" si="2"/>
        <v>120.09988962947111</v>
      </c>
      <c r="I32">
        <f t="shared" ca="1" si="2"/>
        <v>112.68867975948385</v>
      </c>
      <c r="J32">
        <f t="shared" ca="1" si="2"/>
        <v>108.65297733995369</v>
      </c>
      <c r="K32">
        <f t="shared" ref="K32:P32" ca="1" si="31">J32*EXP(($C$4-0.5*$C$5^2)*$C$10+$C$5*SQRT($C$10)*NORMINV(RAND(),0,1))</f>
        <v>104.82819645521775</v>
      </c>
      <c r="L32">
        <f t="shared" ca="1" si="31"/>
        <v>117.34576512441296</v>
      </c>
      <c r="M32">
        <f t="shared" ca="1" si="31"/>
        <v>116.82791096336463</v>
      </c>
      <c r="N32">
        <f t="shared" ca="1" si="31"/>
        <v>125.56549240454622</v>
      </c>
      <c r="O32">
        <f t="shared" ca="1" si="31"/>
        <v>125.49577116040683</v>
      </c>
      <c r="P32">
        <f t="shared" ca="1" si="31"/>
        <v>116.13617329539311</v>
      </c>
      <c r="Q32">
        <f t="shared" ca="1" si="4"/>
        <v>115.15184393094454</v>
      </c>
      <c r="R32">
        <f t="shared" ca="1" si="5"/>
        <v>15.151843930944537</v>
      </c>
      <c r="S32">
        <f t="shared" ca="1" si="6"/>
        <v>14.412879782557008</v>
      </c>
    </row>
    <row r="33" spans="5:19" x14ac:dyDescent="0.75">
      <c r="E33">
        <v>28</v>
      </c>
      <c r="F33">
        <v>100</v>
      </c>
      <c r="G33">
        <f t="shared" ca="1" si="2"/>
        <v>86.924781700211639</v>
      </c>
      <c r="H33">
        <f t="shared" ca="1" si="2"/>
        <v>90.23664956222747</v>
      </c>
      <c r="I33">
        <f t="shared" ca="1" si="2"/>
        <v>87.332189603048903</v>
      </c>
      <c r="J33">
        <f t="shared" ca="1" si="2"/>
        <v>88.342337985781811</v>
      </c>
      <c r="K33">
        <f t="shared" ref="K33:P33" ca="1" si="32">J33*EXP(($C$4-0.5*$C$5^2)*$C$10+$C$5*SQRT($C$10)*NORMINV(RAND(),0,1))</f>
        <v>80.268700115167476</v>
      </c>
      <c r="L33">
        <f t="shared" ca="1" si="32"/>
        <v>78.889183901108794</v>
      </c>
      <c r="M33">
        <f t="shared" ca="1" si="32"/>
        <v>87.52093036580618</v>
      </c>
      <c r="N33">
        <f t="shared" ca="1" si="32"/>
        <v>90.424611213859876</v>
      </c>
      <c r="O33">
        <f t="shared" ca="1" si="32"/>
        <v>86.186779457032188</v>
      </c>
      <c r="P33">
        <f t="shared" ca="1" si="32"/>
        <v>88.917486613185886</v>
      </c>
      <c r="Q33">
        <f t="shared" ca="1" si="4"/>
        <v>87.731240956130037</v>
      </c>
      <c r="R33">
        <f t="shared" ca="1" si="5"/>
        <v>0</v>
      </c>
      <c r="S33">
        <f t="shared" ca="1" si="6"/>
        <v>0</v>
      </c>
    </row>
    <row r="34" spans="5:19" x14ac:dyDescent="0.75">
      <c r="E34">
        <v>29</v>
      </c>
      <c r="F34">
        <v>100</v>
      </c>
      <c r="G34">
        <f t="shared" ca="1" si="2"/>
        <v>92.54323883791929</v>
      </c>
      <c r="H34">
        <f t="shared" ca="1" si="2"/>
        <v>105.38484710319824</v>
      </c>
      <c r="I34">
        <f t="shared" ca="1" si="2"/>
        <v>106.41866702979242</v>
      </c>
      <c r="J34">
        <f t="shared" ca="1" si="2"/>
        <v>106.62008805003515</v>
      </c>
      <c r="K34">
        <f t="shared" ref="K34:P34" ca="1" si="33">J34*EXP(($C$4-0.5*$C$5^2)*$C$10+$C$5*SQRT($C$10)*NORMINV(RAND(),0,1))</f>
        <v>104.25000476251101</v>
      </c>
      <c r="L34">
        <f t="shared" ca="1" si="33"/>
        <v>94.510703814913754</v>
      </c>
      <c r="M34">
        <f t="shared" ca="1" si="33"/>
        <v>103.64069258353013</v>
      </c>
      <c r="N34">
        <f t="shared" ca="1" si="33"/>
        <v>92.233819070002809</v>
      </c>
      <c r="O34">
        <f t="shared" ca="1" si="33"/>
        <v>93.061770315749953</v>
      </c>
      <c r="P34">
        <f t="shared" ca="1" si="33"/>
        <v>95.585386281086059</v>
      </c>
      <c r="Q34">
        <f t="shared" ca="1" si="4"/>
        <v>99.477201622612625</v>
      </c>
      <c r="R34">
        <f t="shared" ca="1" si="5"/>
        <v>0</v>
      </c>
      <c r="S34">
        <f t="shared" ca="1" si="6"/>
        <v>0</v>
      </c>
    </row>
    <row r="35" spans="5:19" x14ac:dyDescent="0.75">
      <c r="E35">
        <v>30</v>
      </c>
      <c r="F35">
        <v>100</v>
      </c>
      <c r="G35">
        <f t="shared" ca="1" si="2"/>
        <v>95.543392915384089</v>
      </c>
      <c r="H35">
        <f t="shared" ca="1" si="2"/>
        <v>110.46641865603837</v>
      </c>
      <c r="I35">
        <f t="shared" ca="1" si="2"/>
        <v>99.337673499527398</v>
      </c>
      <c r="J35">
        <f t="shared" ca="1" si="2"/>
        <v>96.139867970200442</v>
      </c>
      <c r="K35">
        <f t="shared" ref="K35:P35" ca="1" si="34">J35*EXP(($C$4-0.5*$C$5^2)*$C$10+$C$5*SQRT($C$10)*NORMINV(RAND(),0,1))</f>
        <v>90.717967625886487</v>
      </c>
      <c r="L35">
        <f t="shared" ca="1" si="34"/>
        <v>94.749716630380362</v>
      </c>
      <c r="M35">
        <f t="shared" ca="1" si="34"/>
        <v>84.00493967329821</v>
      </c>
      <c r="N35">
        <f t="shared" ca="1" si="34"/>
        <v>89.758760540760122</v>
      </c>
      <c r="O35">
        <f t="shared" ca="1" si="34"/>
        <v>83.287618728878471</v>
      </c>
      <c r="P35">
        <f t="shared" ca="1" si="34"/>
        <v>83.380685713833103</v>
      </c>
      <c r="Q35">
        <f t="shared" ca="1" si="4"/>
        <v>93.398821995835178</v>
      </c>
      <c r="R35">
        <f t="shared" ca="1" si="5"/>
        <v>0</v>
      </c>
      <c r="S35">
        <f t="shared" ca="1" si="6"/>
        <v>0</v>
      </c>
    </row>
    <row r="36" spans="5:19" x14ac:dyDescent="0.75">
      <c r="E36">
        <v>31</v>
      </c>
      <c r="F36">
        <v>100</v>
      </c>
      <c r="G36">
        <f t="shared" ca="1" si="2"/>
        <v>99.297845369021488</v>
      </c>
      <c r="H36">
        <f t="shared" ca="1" si="2"/>
        <v>99.859134497384701</v>
      </c>
      <c r="I36">
        <f t="shared" ca="1" si="2"/>
        <v>108.75062555196536</v>
      </c>
      <c r="J36">
        <f t="shared" ca="1" si="2"/>
        <v>114.81029277301879</v>
      </c>
      <c r="K36">
        <f t="shared" ref="K36:P36" ca="1" si="35">J36*EXP(($C$4-0.5*$C$5^2)*$C$10+$C$5*SQRT($C$10)*NORMINV(RAND(),0,1))</f>
        <v>113.32064701795055</v>
      </c>
      <c r="L36">
        <f t="shared" ca="1" si="35"/>
        <v>116.30682295493499</v>
      </c>
      <c r="M36">
        <f t="shared" ca="1" si="35"/>
        <v>121.27025550163921</v>
      </c>
      <c r="N36">
        <f t="shared" ca="1" si="35"/>
        <v>119.48617671646491</v>
      </c>
      <c r="O36">
        <f t="shared" ca="1" si="35"/>
        <v>116.12667259195129</v>
      </c>
      <c r="P36">
        <f t="shared" ca="1" si="35"/>
        <v>131.80075060174914</v>
      </c>
      <c r="Q36">
        <f t="shared" ca="1" si="4"/>
        <v>112.82083850691642</v>
      </c>
      <c r="R36">
        <f t="shared" ca="1" si="5"/>
        <v>12.820838506916417</v>
      </c>
      <c r="S36">
        <f t="shared" ca="1" si="6"/>
        <v>12.195558834550697</v>
      </c>
    </row>
    <row r="37" spans="5:19" x14ac:dyDescent="0.75">
      <c r="E37">
        <v>32</v>
      </c>
      <c r="F37">
        <v>100</v>
      </c>
      <c r="G37">
        <f t="shared" ca="1" si="2"/>
        <v>87.59351130736583</v>
      </c>
      <c r="H37">
        <f t="shared" ca="1" si="2"/>
        <v>94.117775220217965</v>
      </c>
      <c r="I37">
        <f t="shared" ca="1" si="2"/>
        <v>93.570382245109784</v>
      </c>
      <c r="J37">
        <f t="shared" ca="1" si="2"/>
        <v>97.197456379152271</v>
      </c>
      <c r="K37">
        <f t="shared" ref="K37:P37" ca="1" si="36">J37*EXP(($C$4-0.5*$C$5^2)*$C$10+$C$5*SQRT($C$10)*NORMINV(RAND(),0,1))</f>
        <v>98.430661745470459</v>
      </c>
      <c r="L37">
        <f t="shared" ca="1" si="36"/>
        <v>102.40301894594712</v>
      </c>
      <c r="M37">
        <f t="shared" ca="1" si="36"/>
        <v>105.1425277005393</v>
      </c>
      <c r="N37">
        <f t="shared" ca="1" si="36"/>
        <v>116.20292623189225</v>
      </c>
      <c r="O37">
        <f t="shared" ca="1" si="36"/>
        <v>112.74708095960413</v>
      </c>
      <c r="P37">
        <f t="shared" ca="1" si="36"/>
        <v>96.120210358000037</v>
      </c>
      <c r="Q37">
        <f t="shared" ca="1" si="4"/>
        <v>100.32050464484537</v>
      </c>
      <c r="R37">
        <f t="shared" ca="1" si="5"/>
        <v>0.32050464484537144</v>
      </c>
      <c r="S37">
        <f t="shared" ca="1" si="6"/>
        <v>0.30487344886606843</v>
      </c>
    </row>
    <row r="38" spans="5:19" x14ac:dyDescent="0.75">
      <c r="E38">
        <v>33</v>
      </c>
      <c r="F38">
        <v>100</v>
      </c>
      <c r="G38">
        <f t="shared" ca="1" si="2"/>
        <v>92.449347893963505</v>
      </c>
      <c r="H38">
        <f t="shared" ca="1" si="2"/>
        <v>87.734054360657467</v>
      </c>
      <c r="I38">
        <f t="shared" ca="1" si="2"/>
        <v>92.982448946136131</v>
      </c>
      <c r="J38">
        <f t="shared" ca="1" si="2"/>
        <v>90.824319573182436</v>
      </c>
      <c r="K38">
        <f t="shared" ref="K38:P38" ca="1" si="37">J38*EXP(($C$4-0.5*$C$5^2)*$C$10+$C$5*SQRT($C$10)*NORMINV(RAND(),0,1))</f>
        <v>85.638316683697298</v>
      </c>
      <c r="L38">
        <f t="shared" ca="1" si="37"/>
        <v>83.065376282153537</v>
      </c>
      <c r="M38">
        <f t="shared" ca="1" si="37"/>
        <v>79.251410876472818</v>
      </c>
      <c r="N38">
        <f t="shared" ca="1" si="37"/>
        <v>85.697707891729479</v>
      </c>
      <c r="O38">
        <f t="shared" ca="1" si="37"/>
        <v>79.034357884231696</v>
      </c>
      <c r="P38">
        <f t="shared" ca="1" si="37"/>
        <v>80.572209136501186</v>
      </c>
      <c r="Q38">
        <f t="shared" ca="1" si="4"/>
        <v>87.022686320793241</v>
      </c>
      <c r="R38">
        <f t="shared" ca="1" si="5"/>
        <v>0</v>
      </c>
      <c r="S38">
        <f t="shared" ca="1" si="6"/>
        <v>0</v>
      </c>
    </row>
    <row r="39" spans="5:19" x14ac:dyDescent="0.75">
      <c r="E39">
        <v>34</v>
      </c>
      <c r="F39">
        <v>100</v>
      </c>
      <c r="G39">
        <f t="shared" ca="1" si="2"/>
        <v>104.99266155275883</v>
      </c>
      <c r="H39">
        <f t="shared" ca="1" si="2"/>
        <v>108.31984943797731</v>
      </c>
      <c r="I39">
        <f t="shared" ca="1" si="2"/>
        <v>102.33504766560516</v>
      </c>
      <c r="J39">
        <f t="shared" ca="1" si="2"/>
        <v>101.93480748934071</v>
      </c>
      <c r="K39">
        <f t="shared" ref="K39:P39" ca="1" si="38">J39*EXP(($C$4-0.5*$C$5^2)*$C$10+$C$5*SQRT($C$10)*NORMINV(RAND(),0,1))</f>
        <v>95.387083318622572</v>
      </c>
      <c r="L39">
        <f t="shared" ca="1" si="38"/>
        <v>99.507914481995854</v>
      </c>
      <c r="M39">
        <f t="shared" ca="1" si="38"/>
        <v>89.094687332508627</v>
      </c>
      <c r="N39">
        <f t="shared" ca="1" si="38"/>
        <v>90.300380863338347</v>
      </c>
      <c r="O39">
        <f t="shared" ca="1" si="38"/>
        <v>96.723240631243328</v>
      </c>
      <c r="P39">
        <f t="shared" ca="1" si="38"/>
        <v>96.762599062716433</v>
      </c>
      <c r="Q39">
        <f t="shared" ca="1" si="4"/>
        <v>98.668933803282471</v>
      </c>
      <c r="R39">
        <f t="shared" ca="1" si="5"/>
        <v>0</v>
      </c>
      <c r="S39">
        <f t="shared" ca="1" si="6"/>
        <v>0</v>
      </c>
    </row>
    <row r="40" spans="5:19" x14ac:dyDescent="0.75">
      <c r="E40">
        <v>35</v>
      </c>
      <c r="F40">
        <v>100</v>
      </c>
      <c r="G40">
        <f t="shared" ca="1" si="2"/>
        <v>109.15418255924037</v>
      </c>
      <c r="H40">
        <f t="shared" ca="1" si="2"/>
        <v>111.63612372433326</v>
      </c>
      <c r="I40">
        <f t="shared" ca="1" si="2"/>
        <v>127.17857605320766</v>
      </c>
      <c r="J40">
        <f t="shared" ca="1" si="2"/>
        <v>125.4116120263171</v>
      </c>
      <c r="K40">
        <f t="shared" ref="K40:P40" ca="1" si="39">J40*EXP(($C$4-0.5*$C$5^2)*$C$10+$C$5*SQRT($C$10)*NORMINV(RAND(),0,1))</f>
        <v>110.94556499082081</v>
      </c>
      <c r="L40">
        <f t="shared" ca="1" si="39"/>
        <v>115.35251777119358</v>
      </c>
      <c r="M40">
        <f t="shared" ca="1" si="39"/>
        <v>122.94511444145525</v>
      </c>
      <c r="N40">
        <f t="shared" ca="1" si="39"/>
        <v>120.09405220456865</v>
      </c>
      <c r="O40">
        <f t="shared" ca="1" si="39"/>
        <v>128.44802792222504</v>
      </c>
      <c r="P40">
        <f t="shared" ca="1" si="39"/>
        <v>134.66167117273739</v>
      </c>
      <c r="Q40">
        <f t="shared" ca="1" si="4"/>
        <v>118.71158571509991</v>
      </c>
      <c r="R40">
        <f t="shared" ca="1" si="5"/>
        <v>18.711585715099915</v>
      </c>
      <c r="S40">
        <f t="shared" ca="1" si="6"/>
        <v>17.799010911270273</v>
      </c>
    </row>
    <row r="41" spans="5:19" x14ac:dyDescent="0.75">
      <c r="E41">
        <v>36</v>
      </c>
      <c r="F41">
        <v>100</v>
      </c>
      <c r="G41">
        <f t="shared" ca="1" si="2"/>
        <v>108.8563299998152</v>
      </c>
      <c r="H41">
        <f t="shared" ca="1" si="2"/>
        <v>111.99878692826132</v>
      </c>
      <c r="I41">
        <f t="shared" ca="1" si="2"/>
        <v>136.34926282103075</v>
      </c>
      <c r="J41">
        <f t="shared" ca="1" si="2"/>
        <v>131.12438616387354</v>
      </c>
      <c r="K41">
        <f t="shared" ref="K41:P41" ca="1" si="40">J41*EXP(($C$4-0.5*$C$5^2)*$C$10+$C$5*SQRT($C$10)*NORMINV(RAND(),0,1))</f>
        <v>143.65571364063942</v>
      </c>
      <c r="L41">
        <f t="shared" ca="1" si="40"/>
        <v>132.1088019105288</v>
      </c>
      <c r="M41">
        <f t="shared" ca="1" si="40"/>
        <v>136.78742287390079</v>
      </c>
      <c r="N41">
        <f t="shared" ca="1" si="40"/>
        <v>136.35390167570372</v>
      </c>
      <c r="O41">
        <f t="shared" ca="1" si="40"/>
        <v>148.61698310369047</v>
      </c>
      <c r="P41">
        <f t="shared" ca="1" si="40"/>
        <v>147.46377860897331</v>
      </c>
      <c r="Q41">
        <f t="shared" ca="1" si="4"/>
        <v>130.30139706603794</v>
      </c>
      <c r="R41">
        <f t="shared" ca="1" si="5"/>
        <v>30.301397066037936</v>
      </c>
      <c r="S41">
        <f t="shared" ca="1" si="6"/>
        <v>28.823580492694891</v>
      </c>
    </row>
    <row r="42" spans="5:19" x14ac:dyDescent="0.75">
      <c r="E42">
        <v>37</v>
      </c>
      <c r="F42">
        <v>100</v>
      </c>
      <c r="G42">
        <f t="shared" ca="1" si="2"/>
        <v>103.61026426436982</v>
      </c>
      <c r="H42">
        <f t="shared" ca="1" si="2"/>
        <v>102.58128671686829</v>
      </c>
      <c r="I42">
        <f t="shared" ca="1" si="2"/>
        <v>107.88124377641857</v>
      </c>
      <c r="J42">
        <f t="shared" ca="1" si="2"/>
        <v>104.55236589815284</v>
      </c>
      <c r="K42">
        <f t="shared" ref="K42:P42" ca="1" si="41">J42*EXP(($C$4-0.5*$C$5^2)*$C$10+$C$5*SQRT($C$10)*NORMINV(RAND(),0,1))</f>
        <v>96.343921553498731</v>
      </c>
      <c r="L42">
        <f t="shared" ca="1" si="41"/>
        <v>102.74230789233262</v>
      </c>
      <c r="M42">
        <f t="shared" ca="1" si="41"/>
        <v>100.20691435717063</v>
      </c>
      <c r="N42">
        <f t="shared" ca="1" si="41"/>
        <v>93.821095602324419</v>
      </c>
      <c r="O42">
        <f t="shared" ca="1" si="41"/>
        <v>96.964521319755164</v>
      </c>
      <c r="P42">
        <f t="shared" ca="1" si="41"/>
        <v>92.977715992683656</v>
      </c>
      <c r="Q42">
        <f t="shared" ca="1" si="4"/>
        <v>100.15287612487042</v>
      </c>
      <c r="R42">
        <f t="shared" ca="1" si="5"/>
        <v>0.15287612487041713</v>
      </c>
      <c r="S42">
        <f t="shared" ca="1" si="6"/>
        <v>0.14542026828038618</v>
      </c>
    </row>
    <row r="43" spans="5:19" x14ac:dyDescent="0.75">
      <c r="E43">
        <v>38</v>
      </c>
      <c r="F43">
        <v>100</v>
      </c>
      <c r="G43">
        <f t="shared" ca="1" si="2"/>
        <v>103.72891783514288</v>
      </c>
      <c r="H43">
        <f t="shared" ca="1" si="2"/>
        <v>116.14996920377038</v>
      </c>
      <c r="I43">
        <f t="shared" ca="1" si="2"/>
        <v>132.30154155406089</v>
      </c>
      <c r="J43">
        <f t="shared" ca="1" si="2"/>
        <v>125.79337299630693</v>
      </c>
      <c r="K43">
        <f t="shared" ref="K43:P43" ca="1" si="42">J43*EXP(($C$4-0.5*$C$5^2)*$C$10+$C$5*SQRT($C$10)*NORMINV(RAND(),0,1))</f>
        <v>119.41666694537548</v>
      </c>
      <c r="L43">
        <f t="shared" ca="1" si="42"/>
        <v>127.02359325160388</v>
      </c>
      <c r="M43">
        <f t="shared" ca="1" si="42"/>
        <v>122.8077020773807</v>
      </c>
      <c r="N43">
        <f t="shared" ca="1" si="42"/>
        <v>122.22353694905283</v>
      </c>
      <c r="O43">
        <f t="shared" ca="1" si="42"/>
        <v>121.30001562786674</v>
      </c>
      <c r="P43">
        <f t="shared" ca="1" si="42"/>
        <v>123.63809071662939</v>
      </c>
      <c r="Q43">
        <f t="shared" ca="1" si="4"/>
        <v>119.48940065065366</v>
      </c>
      <c r="R43">
        <f t="shared" ca="1" si="5"/>
        <v>19.489400650653664</v>
      </c>
      <c r="S43">
        <f t="shared" ca="1" si="6"/>
        <v>18.538891364785126</v>
      </c>
    </row>
    <row r="44" spans="5:19" x14ac:dyDescent="0.75">
      <c r="E44">
        <v>39</v>
      </c>
      <c r="F44">
        <v>100</v>
      </c>
      <c r="G44">
        <f t="shared" ca="1" si="2"/>
        <v>92.665493680436029</v>
      </c>
      <c r="H44">
        <f t="shared" ca="1" si="2"/>
        <v>91.641934787734158</v>
      </c>
      <c r="I44">
        <f t="shared" ca="1" si="2"/>
        <v>102.41874220881078</v>
      </c>
      <c r="J44">
        <f t="shared" ca="1" si="2"/>
        <v>106.0434360567467</v>
      </c>
      <c r="K44">
        <f t="shared" ref="K44:P44" ca="1" si="43">J44*EXP(($C$4-0.5*$C$5^2)*$C$10+$C$5*SQRT($C$10)*NORMINV(RAND(),0,1))</f>
        <v>97.494260685549165</v>
      </c>
      <c r="L44">
        <f t="shared" ca="1" si="43"/>
        <v>98.342421140298526</v>
      </c>
      <c r="M44">
        <f t="shared" ca="1" si="43"/>
        <v>101.16978281303874</v>
      </c>
      <c r="N44">
        <f t="shared" ca="1" si="43"/>
        <v>113.76530608751031</v>
      </c>
      <c r="O44">
        <f t="shared" ca="1" si="43"/>
        <v>102.00372037086809</v>
      </c>
      <c r="P44">
        <f t="shared" ca="1" si="43"/>
        <v>103.41153951485801</v>
      </c>
      <c r="Q44">
        <f t="shared" ca="1" si="4"/>
        <v>100.8142397587137</v>
      </c>
      <c r="R44">
        <f t="shared" ca="1" si="5"/>
        <v>0.81423975871369692</v>
      </c>
      <c r="S44">
        <f t="shared" ca="1" si="6"/>
        <v>0.77452881708683019</v>
      </c>
    </row>
    <row r="45" spans="5:19" x14ac:dyDescent="0.75">
      <c r="E45">
        <v>40</v>
      </c>
      <c r="F45">
        <v>100</v>
      </c>
      <c r="G45">
        <f t="shared" ca="1" si="2"/>
        <v>105.2848902581929</v>
      </c>
      <c r="H45">
        <f t="shared" ca="1" si="2"/>
        <v>106.50329041428972</v>
      </c>
      <c r="I45">
        <f t="shared" ca="1" si="2"/>
        <v>114.02504251472143</v>
      </c>
      <c r="J45">
        <f t="shared" ca="1" si="2"/>
        <v>117.74941140596896</v>
      </c>
      <c r="K45">
        <f t="shared" ref="K45:P45" ca="1" si="44">J45*EXP(($C$4-0.5*$C$5^2)*$C$10+$C$5*SQRT($C$10)*NORMINV(RAND(),0,1))</f>
        <v>127.63567004122639</v>
      </c>
      <c r="L45">
        <f t="shared" ca="1" si="44"/>
        <v>129.41716526577414</v>
      </c>
      <c r="M45">
        <f t="shared" ca="1" si="44"/>
        <v>121.51136217098477</v>
      </c>
      <c r="N45">
        <f t="shared" ca="1" si="44"/>
        <v>124.90423046210134</v>
      </c>
      <c r="O45">
        <f t="shared" ca="1" si="44"/>
        <v>119.30933156047203</v>
      </c>
      <c r="P45">
        <f t="shared" ca="1" si="44"/>
        <v>121.21170210793089</v>
      </c>
      <c r="Q45">
        <f t="shared" ca="1" si="4"/>
        <v>117.05019056378751</v>
      </c>
      <c r="R45">
        <f t="shared" ca="1" si="5"/>
        <v>17.05019056378751</v>
      </c>
      <c r="S45">
        <f t="shared" ca="1" si="6"/>
        <v>16.218642957619096</v>
      </c>
    </row>
    <row r="46" spans="5:19" x14ac:dyDescent="0.75">
      <c r="E46">
        <v>41</v>
      </c>
      <c r="F46">
        <v>100</v>
      </c>
      <c r="G46">
        <f t="shared" ca="1" si="2"/>
        <v>92.025935912846492</v>
      </c>
      <c r="H46">
        <f t="shared" ca="1" si="2"/>
        <v>96.816676720384081</v>
      </c>
      <c r="I46">
        <f t="shared" ca="1" si="2"/>
        <v>88.570033360569269</v>
      </c>
      <c r="J46">
        <f t="shared" ca="1" si="2"/>
        <v>76.724000681238493</v>
      </c>
      <c r="K46">
        <f t="shared" ref="K46:P46" ca="1" si="45">J46*EXP(($C$4-0.5*$C$5^2)*$C$10+$C$5*SQRT($C$10)*NORMINV(RAND(),0,1))</f>
        <v>77.253005716225502</v>
      </c>
      <c r="L46">
        <f t="shared" ca="1" si="45"/>
        <v>91.577689468160102</v>
      </c>
      <c r="M46">
        <f t="shared" ca="1" si="45"/>
        <v>94.025817983169901</v>
      </c>
      <c r="N46">
        <f t="shared" ca="1" si="45"/>
        <v>97.292475764793309</v>
      </c>
      <c r="O46">
        <f t="shared" ca="1" si="45"/>
        <v>89.425662761882933</v>
      </c>
      <c r="P46">
        <f t="shared" ca="1" si="45"/>
        <v>89.886601834464543</v>
      </c>
      <c r="Q46">
        <f t="shared" ca="1" si="4"/>
        <v>90.32708183670313</v>
      </c>
      <c r="R46">
        <f t="shared" ca="1" si="5"/>
        <v>0</v>
      </c>
      <c r="S46">
        <f t="shared" ca="1" si="6"/>
        <v>0</v>
      </c>
    </row>
    <row r="47" spans="5:19" x14ac:dyDescent="0.75">
      <c r="E47">
        <v>42</v>
      </c>
      <c r="F47">
        <v>100</v>
      </c>
      <c r="G47">
        <f t="shared" ca="1" si="2"/>
        <v>109.90798536942063</v>
      </c>
      <c r="H47">
        <f t="shared" ca="1" si="2"/>
        <v>101.4686776025259</v>
      </c>
      <c r="I47">
        <f t="shared" ca="1" si="2"/>
        <v>110.42434806417175</v>
      </c>
      <c r="J47">
        <f t="shared" ca="1" si="2"/>
        <v>100.74342181341294</v>
      </c>
      <c r="K47">
        <f t="shared" ref="K47:P47" ca="1" si="46">J47*EXP(($C$4-0.5*$C$5^2)*$C$10+$C$5*SQRT($C$10)*NORMINV(RAND(),0,1))</f>
        <v>113.16675823593701</v>
      </c>
      <c r="L47">
        <f t="shared" ca="1" si="46"/>
        <v>109.43750870173209</v>
      </c>
      <c r="M47">
        <f t="shared" ca="1" si="46"/>
        <v>119.97680324756942</v>
      </c>
      <c r="N47">
        <f t="shared" ca="1" si="46"/>
        <v>110.11660272222635</v>
      </c>
      <c r="O47">
        <f t="shared" ca="1" si="46"/>
        <v>114.99162102437828</v>
      </c>
      <c r="P47">
        <f t="shared" ca="1" si="46"/>
        <v>107.21278013584642</v>
      </c>
      <c r="Q47">
        <f t="shared" ca="1" si="4"/>
        <v>108.85877335611099</v>
      </c>
      <c r="R47">
        <f t="shared" ca="1" si="5"/>
        <v>8.8587733561109872</v>
      </c>
      <c r="S47">
        <f t="shared" ca="1" si="6"/>
        <v>8.4267258813157131</v>
      </c>
    </row>
    <row r="48" spans="5:19" x14ac:dyDescent="0.75">
      <c r="E48">
        <v>43</v>
      </c>
      <c r="F48">
        <v>100</v>
      </c>
      <c r="G48">
        <f t="shared" ca="1" si="2"/>
        <v>91.433659025037358</v>
      </c>
      <c r="H48">
        <f t="shared" ca="1" si="2"/>
        <v>100.88258405406522</v>
      </c>
      <c r="I48">
        <f t="shared" ca="1" si="2"/>
        <v>105.0808868218097</v>
      </c>
      <c r="J48">
        <f t="shared" ca="1" si="2"/>
        <v>105.2345942270387</v>
      </c>
      <c r="K48">
        <f t="shared" ref="K48:P48" ca="1" si="47">J48*EXP(($C$4-0.5*$C$5^2)*$C$10+$C$5*SQRT($C$10)*NORMINV(RAND(),0,1))</f>
        <v>100.76327659991489</v>
      </c>
      <c r="L48">
        <f t="shared" ca="1" si="47"/>
        <v>107.52617167511124</v>
      </c>
      <c r="M48">
        <f t="shared" ca="1" si="47"/>
        <v>106.07951728121988</v>
      </c>
      <c r="N48">
        <f t="shared" ca="1" si="47"/>
        <v>113.77712954779041</v>
      </c>
      <c r="O48">
        <f t="shared" ca="1" si="47"/>
        <v>106.90002786294903</v>
      </c>
      <c r="P48">
        <f t="shared" ca="1" si="47"/>
        <v>105.60893392648032</v>
      </c>
      <c r="Q48">
        <f t="shared" ca="1" si="4"/>
        <v>103.93516191103789</v>
      </c>
      <c r="R48">
        <f t="shared" ca="1" si="5"/>
        <v>3.9351619110378948</v>
      </c>
      <c r="S48">
        <f t="shared" ca="1" si="6"/>
        <v>3.7432417999537066</v>
      </c>
    </row>
    <row r="49" spans="5:19" x14ac:dyDescent="0.75">
      <c r="E49">
        <v>44</v>
      </c>
      <c r="F49">
        <v>100</v>
      </c>
      <c r="G49">
        <f t="shared" ca="1" si="2"/>
        <v>97.677065168720759</v>
      </c>
      <c r="H49">
        <f t="shared" ca="1" si="2"/>
        <v>97.102677475574509</v>
      </c>
      <c r="I49">
        <f t="shared" ca="1" si="2"/>
        <v>98.081085364119616</v>
      </c>
      <c r="J49">
        <f t="shared" ca="1" si="2"/>
        <v>90.32580850962411</v>
      </c>
      <c r="K49">
        <f t="shared" ref="K49:P49" ca="1" si="48">J49*EXP(($C$4-0.5*$C$5^2)*$C$10+$C$5*SQRT($C$10)*NORMINV(RAND(),0,1))</f>
        <v>90.12343836623532</v>
      </c>
      <c r="L49">
        <f t="shared" ca="1" si="48"/>
        <v>95.031723973174266</v>
      </c>
      <c r="M49">
        <f t="shared" ca="1" si="48"/>
        <v>89.468146389528201</v>
      </c>
      <c r="N49">
        <f t="shared" ca="1" si="48"/>
        <v>89.689211019773779</v>
      </c>
      <c r="O49">
        <f t="shared" ca="1" si="48"/>
        <v>84.244089764764396</v>
      </c>
      <c r="P49">
        <f t="shared" ca="1" si="48"/>
        <v>86.585557873770398</v>
      </c>
      <c r="Q49">
        <f t="shared" ca="1" si="4"/>
        <v>92.575345809571388</v>
      </c>
      <c r="R49">
        <f t="shared" ca="1" si="5"/>
        <v>0</v>
      </c>
      <c r="S49">
        <f t="shared" ca="1" si="6"/>
        <v>0</v>
      </c>
    </row>
    <row r="50" spans="5:19" x14ac:dyDescent="0.75">
      <c r="E50">
        <v>45</v>
      </c>
      <c r="F50">
        <v>100</v>
      </c>
      <c r="G50">
        <f t="shared" ca="1" si="2"/>
        <v>103.37891980471481</v>
      </c>
      <c r="H50">
        <f t="shared" ca="1" si="2"/>
        <v>99.931606681184988</v>
      </c>
      <c r="I50">
        <f t="shared" ca="1" si="2"/>
        <v>102.78097717618358</v>
      </c>
      <c r="J50">
        <f t="shared" ca="1" si="2"/>
        <v>95.687654997919338</v>
      </c>
      <c r="K50">
        <f t="shared" ref="K50:P50" ca="1" si="49">J50*EXP(($C$4-0.5*$C$5^2)*$C$10+$C$5*SQRT($C$10)*NORMINV(RAND(),0,1))</f>
        <v>100.50702952826192</v>
      </c>
      <c r="L50">
        <f t="shared" ca="1" si="49"/>
        <v>102.9029844025996</v>
      </c>
      <c r="M50">
        <f t="shared" ca="1" si="49"/>
        <v>101.98058661701826</v>
      </c>
      <c r="N50">
        <f t="shared" ca="1" si="49"/>
        <v>103.66523806497457</v>
      </c>
      <c r="O50">
        <f t="shared" ca="1" si="49"/>
        <v>108.96334968119966</v>
      </c>
      <c r="P50">
        <f t="shared" ca="1" si="49"/>
        <v>106.01946169333469</v>
      </c>
      <c r="Q50">
        <f t="shared" ca="1" si="4"/>
        <v>102.34707351339922</v>
      </c>
      <c r="R50">
        <f t="shared" ca="1" si="5"/>
        <v>2.3470735133992235</v>
      </c>
      <c r="S50">
        <f t="shared" ca="1" si="6"/>
        <v>2.2326053874116125</v>
      </c>
    </row>
    <row r="51" spans="5:19" x14ac:dyDescent="0.75">
      <c r="E51">
        <v>46</v>
      </c>
      <c r="F51">
        <v>100</v>
      </c>
      <c r="G51">
        <f t="shared" ca="1" si="2"/>
        <v>101.64739064353112</v>
      </c>
      <c r="H51">
        <f t="shared" ca="1" si="2"/>
        <v>104.40985048286836</v>
      </c>
      <c r="I51">
        <f t="shared" ca="1" si="2"/>
        <v>99.269371778232141</v>
      </c>
      <c r="J51">
        <f t="shared" ca="1" si="2"/>
        <v>105.01910642736456</v>
      </c>
      <c r="K51">
        <f t="shared" ref="K51:P51" ca="1" si="50">J51*EXP(($C$4-0.5*$C$5^2)*$C$10+$C$5*SQRT($C$10)*NORMINV(RAND(),0,1))</f>
        <v>101.19272535446886</v>
      </c>
      <c r="L51">
        <f t="shared" ca="1" si="50"/>
        <v>104.42612589179171</v>
      </c>
      <c r="M51">
        <f t="shared" ca="1" si="50"/>
        <v>94.755646127601906</v>
      </c>
      <c r="N51">
        <f t="shared" ca="1" si="50"/>
        <v>94.983535521881763</v>
      </c>
      <c r="O51">
        <f t="shared" ca="1" si="50"/>
        <v>84.508100717232466</v>
      </c>
      <c r="P51">
        <f t="shared" ca="1" si="50"/>
        <v>84.061524858091261</v>
      </c>
      <c r="Q51">
        <f t="shared" ca="1" si="4"/>
        <v>97.661216163914915</v>
      </c>
      <c r="R51">
        <f t="shared" ca="1" si="5"/>
        <v>0</v>
      </c>
      <c r="S51">
        <f t="shared" ca="1" si="6"/>
        <v>0</v>
      </c>
    </row>
    <row r="52" spans="5:19" x14ac:dyDescent="0.75">
      <c r="E52">
        <v>47</v>
      </c>
      <c r="F52">
        <v>100</v>
      </c>
      <c r="G52">
        <f t="shared" ca="1" si="2"/>
        <v>99.073721315166978</v>
      </c>
      <c r="H52">
        <f t="shared" ca="1" si="2"/>
        <v>98.102703082305595</v>
      </c>
      <c r="I52">
        <f t="shared" ca="1" si="2"/>
        <v>100.98044071837477</v>
      </c>
      <c r="J52">
        <f t="shared" ca="1" si="2"/>
        <v>101.94766725793377</v>
      </c>
      <c r="K52">
        <f t="shared" ref="K52:P52" ca="1" si="51">J52*EXP(($C$4-0.5*$C$5^2)*$C$10+$C$5*SQRT($C$10)*NORMINV(RAND(),0,1))</f>
        <v>95.751572705611181</v>
      </c>
      <c r="L52">
        <f t="shared" ca="1" si="51"/>
        <v>102.36803189538752</v>
      </c>
      <c r="M52">
        <f t="shared" ca="1" si="51"/>
        <v>111.42400508177654</v>
      </c>
      <c r="N52">
        <f t="shared" ca="1" si="51"/>
        <v>118.0111385872445</v>
      </c>
      <c r="O52">
        <f t="shared" ca="1" si="51"/>
        <v>132.06653436741914</v>
      </c>
      <c r="P52">
        <f t="shared" ca="1" si="51"/>
        <v>137.41199508281994</v>
      </c>
      <c r="Q52">
        <f t="shared" ca="1" si="4"/>
        <v>108.83071000854908</v>
      </c>
      <c r="R52">
        <f t="shared" ca="1" si="5"/>
        <v>8.830710008549076</v>
      </c>
      <c r="S52">
        <f t="shared" ca="1" si="6"/>
        <v>8.4000311993648324</v>
      </c>
    </row>
    <row r="53" spans="5:19" x14ac:dyDescent="0.75">
      <c r="E53">
        <v>48</v>
      </c>
      <c r="F53">
        <v>100</v>
      </c>
      <c r="G53">
        <f t="shared" ca="1" si="2"/>
        <v>95.934431782055299</v>
      </c>
      <c r="H53">
        <f t="shared" ca="1" si="2"/>
        <v>89.23804740120616</v>
      </c>
      <c r="I53">
        <f t="shared" ca="1" si="2"/>
        <v>88.775349987629681</v>
      </c>
      <c r="J53">
        <f t="shared" ca="1" si="2"/>
        <v>102.77755711549365</v>
      </c>
      <c r="K53">
        <f t="shared" ref="K53:P53" ca="1" si="52">J53*EXP(($C$4-0.5*$C$5^2)*$C$10+$C$5*SQRT($C$10)*NORMINV(RAND(),0,1))</f>
        <v>118.82302078409526</v>
      </c>
      <c r="L53">
        <f t="shared" ca="1" si="52"/>
        <v>124.85032295099951</v>
      </c>
      <c r="M53">
        <f t="shared" ca="1" si="52"/>
        <v>125.05775896229505</v>
      </c>
      <c r="N53">
        <f t="shared" ca="1" si="52"/>
        <v>120.56338152121916</v>
      </c>
      <c r="O53">
        <f t="shared" ca="1" si="52"/>
        <v>119.49092881421126</v>
      </c>
      <c r="P53">
        <f t="shared" ca="1" si="52"/>
        <v>130.91340106442843</v>
      </c>
      <c r="Q53">
        <f t="shared" ca="1" si="4"/>
        <v>110.58401821669395</v>
      </c>
      <c r="R53">
        <f t="shared" ca="1" si="5"/>
        <v>10.584018216693948</v>
      </c>
      <c r="S53">
        <f t="shared" ca="1" si="6"/>
        <v>10.067829557170858</v>
      </c>
    </row>
    <row r="54" spans="5:19" x14ac:dyDescent="0.75">
      <c r="E54">
        <v>49</v>
      </c>
      <c r="F54">
        <v>100</v>
      </c>
      <c r="G54">
        <f t="shared" ca="1" si="2"/>
        <v>99.399684017704587</v>
      </c>
      <c r="H54">
        <f t="shared" ca="1" si="2"/>
        <v>95.098011899617788</v>
      </c>
      <c r="I54">
        <f t="shared" ca="1" si="2"/>
        <v>100.07024290871958</v>
      </c>
      <c r="J54">
        <f t="shared" ca="1" si="2"/>
        <v>96.809222830791427</v>
      </c>
      <c r="K54">
        <f t="shared" ref="K54:P54" ca="1" si="53">J54*EXP(($C$4-0.5*$C$5^2)*$C$10+$C$5*SQRT($C$10)*NORMINV(RAND(),0,1))</f>
        <v>93.402450326249308</v>
      </c>
      <c r="L54">
        <f t="shared" ca="1" si="53"/>
        <v>98.885942561868802</v>
      </c>
      <c r="M54">
        <f t="shared" ca="1" si="53"/>
        <v>95.638723088063031</v>
      </c>
      <c r="N54">
        <f t="shared" ca="1" si="53"/>
        <v>96.754838795589052</v>
      </c>
      <c r="O54">
        <f t="shared" ca="1" si="53"/>
        <v>91.374577912262026</v>
      </c>
      <c r="P54">
        <f t="shared" ca="1" si="53"/>
        <v>84.410273604299221</v>
      </c>
      <c r="Q54">
        <f t="shared" ca="1" si="4"/>
        <v>95.622178904105894</v>
      </c>
      <c r="R54">
        <f t="shared" ca="1" si="5"/>
        <v>0</v>
      </c>
      <c r="S54">
        <f t="shared" ca="1" si="6"/>
        <v>0</v>
      </c>
    </row>
    <row r="55" spans="5:19" x14ac:dyDescent="0.75">
      <c r="E55">
        <v>50</v>
      </c>
      <c r="F55">
        <v>100</v>
      </c>
      <c r="G55">
        <f t="shared" ca="1" si="2"/>
        <v>93.682052142659984</v>
      </c>
      <c r="H55">
        <f t="shared" ca="1" si="2"/>
        <v>97.621837809773027</v>
      </c>
      <c r="I55">
        <f t="shared" ca="1" si="2"/>
        <v>99.01356526856982</v>
      </c>
      <c r="J55">
        <f t="shared" ca="1" si="2"/>
        <v>104.51041212500569</v>
      </c>
      <c r="K55">
        <f t="shared" ref="K55:P55" ca="1" si="54">J55*EXP(($C$4-0.5*$C$5^2)*$C$10+$C$5*SQRT($C$10)*NORMINV(RAND(),0,1))</f>
        <v>110.30607993789076</v>
      </c>
      <c r="L55">
        <f t="shared" ca="1" si="54"/>
        <v>115.78935672501275</v>
      </c>
      <c r="M55">
        <f t="shared" ca="1" si="54"/>
        <v>119.0871821750665</v>
      </c>
      <c r="N55">
        <f t="shared" ca="1" si="54"/>
        <v>113.01691666943289</v>
      </c>
      <c r="O55">
        <f t="shared" ca="1" si="54"/>
        <v>114.46319520474968</v>
      </c>
      <c r="P55">
        <f t="shared" ca="1" si="54"/>
        <v>125.89303913132674</v>
      </c>
      <c r="Q55">
        <f t="shared" ca="1" si="4"/>
        <v>108.48942156268072</v>
      </c>
      <c r="R55">
        <f t="shared" ca="1" si="5"/>
        <v>8.4894215626807181</v>
      </c>
      <c r="S55">
        <f t="shared" ca="1" si="6"/>
        <v>8.075387587412731</v>
      </c>
    </row>
    <row r="56" spans="5:19" x14ac:dyDescent="0.75">
      <c r="E56">
        <v>51</v>
      </c>
      <c r="F56">
        <v>100</v>
      </c>
      <c r="G56">
        <f t="shared" ca="1" si="2"/>
        <v>100.33961799013828</v>
      </c>
      <c r="H56">
        <f t="shared" ca="1" si="2"/>
        <v>101.24285594196373</v>
      </c>
      <c r="I56">
        <f t="shared" ca="1" si="2"/>
        <v>92.341398528507497</v>
      </c>
      <c r="J56">
        <f t="shared" ca="1" si="2"/>
        <v>94.809063707554159</v>
      </c>
      <c r="K56">
        <f t="shared" ref="K56:P56" ca="1" si="55">J56*EXP(($C$4-0.5*$C$5^2)*$C$10+$C$5*SQRT($C$10)*NORMINV(RAND(),0,1))</f>
        <v>104.76144333696831</v>
      </c>
      <c r="L56">
        <f t="shared" ca="1" si="55"/>
        <v>114.23789191744605</v>
      </c>
      <c r="M56">
        <f t="shared" ca="1" si="55"/>
        <v>109.54280280521004</v>
      </c>
      <c r="N56">
        <f t="shared" ca="1" si="55"/>
        <v>108.6899197901775</v>
      </c>
      <c r="O56">
        <f t="shared" ca="1" si="55"/>
        <v>112.58829216484766</v>
      </c>
      <c r="P56">
        <f t="shared" ca="1" si="55"/>
        <v>116.85300388649735</v>
      </c>
      <c r="Q56">
        <f t="shared" ca="1" si="4"/>
        <v>105.03693546084642</v>
      </c>
      <c r="R56">
        <f t="shared" ca="1" si="5"/>
        <v>5.0369354608464221</v>
      </c>
      <c r="S56">
        <f t="shared" ca="1" si="6"/>
        <v>4.7912812196681811</v>
      </c>
    </row>
    <row r="57" spans="5:19" x14ac:dyDescent="0.75">
      <c r="E57">
        <v>52</v>
      </c>
      <c r="F57">
        <v>100</v>
      </c>
      <c r="G57">
        <f t="shared" ca="1" si="2"/>
        <v>109.34070631176931</v>
      </c>
      <c r="H57">
        <f t="shared" ca="1" si="2"/>
        <v>111.141802902637</v>
      </c>
      <c r="I57">
        <f t="shared" ca="1" si="2"/>
        <v>113.01671477768946</v>
      </c>
      <c r="J57">
        <f t="shared" ca="1" si="2"/>
        <v>105.05784948124474</v>
      </c>
      <c r="K57">
        <f t="shared" ref="K57:P57" ca="1" si="56">J57*EXP(($C$4-0.5*$C$5^2)*$C$10+$C$5*SQRT($C$10)*NORMINV(RAND(),0,1))</f>
        <v>104.90741832714701</v>
      </c>
      <c r="L57">
        <f t="shared" ca="1" si="56"/>
        <v>117.76798799817331</v>
      </c>
      <c r="M57">
        <f t="shared" ca="1" si="56"/>
        <v>114.24457568558428</v>
      </c>
      <c r="N57">
        <f t="shared" ca="1" si="56"/>
        <v>127.67130780353493</v>
      </c>
      <c r="O57">
        <f t="shared" ca="1" si="56"/>
        <v>127.21864113759865</v>
      </c>
      <c r="P57">
        <f t="shared" ca="1" si="56"/>
        <v>131.8786291285812</v>
      </c>
      <c r="Q57">
        <f t="shared" ca="1" si="4"/>
        <v>114.74960305036001</v>
      </c>
      <c r="R57">
        <f t="shared" ca="1" si="5"/>
        <v>14.749603050360008</v>
      </c>
      <c r="S57">
        <f t="shared" ca="1" si="6"/>
        <v>14.030256421207927</v>
      </c>
    </row>
    <row r="58" spans="5:19" x14ac:dyDescent="0.75">
      <c r="E58">
        <v>53</v>
      </c>
      <c r="F58">
        <v>100</v>
      </c>
      <c r="G58">
        <f t="shared" ca="1" si="2"/>
        <v>98.221184683527667</v>
      </c>
      <c r="H58">
        <f t="shared" ca="1" si="2"/>
        <v>102.70814844521443</v>
      </c>
      <c r="I58">
        <f t="shared" ca="1" si="2"/>
        <v>105.57020450527935</v>
      </c>
      <c r="J58">
        <f t="shared" ca="1" si="2"/>
        <v>99.451844170359351</v>
      </c>
      <c r="K58">
        <f t="shared" ref="K58:P58" ca="1" si="57">J58*EXP(($C$4-0.5*$C$5^2)*$C$10+$C$5*SQRT($C$10)*NORMINV(RAND(),0,1))</f>
        <v>104.32083296842245</v>
      </c>
      <c r="L58">
        <f t="shared" ca="1" si="57"/>
        <v>102.79391939103931</v>
      </c>
      <c r="M58">
        <f t="shared" ca="1" si="57"/>
        <v>102.98840292335485</v>
      </c>
      <c r="N58">
        <f t="shared" ca="1" si="57"/>
        <v>107.00676333047559</v>
      </c>
      <c r="O58">
        <f t="shared" ca="1" si="57"/>
        <v>115.31689897654934</v>
      </c>
      <c r="P58">
        <f t="shared" ca="1" si="57"/>
        <v>118.1451044744675</v>
      </c>
      <c r="Q58">
        <f t="shared" ca="1" si="4"/>
        <v>105.13848216988089</v>
      </c>
      <c r="R58">
        <f t="shared" ca="1" si="5"/>
        <v>5.1384821698808878</v>
      </c>
      <c r="S58">
        <f t="shared" ca="1" si="6"/>
        <v>4.8878754372629771</v>
      </c>
    </row>
    <row r="59" spans="5:19" x14ac:dyDescent="0.75">
      <c r="E59">
        <v>54</v>
      </c>
      <c r="F59">
        <v>100</v>
      </c>
      <c r="G59">
        <f t="shared" ca="1" si="2"/>
        <v>104.45067669505201</v>
      </c>
      <c r="H59">
        <f t="shared" ca="1" si="2"/>
        <v>105.58166260554623</v>
      </c>
      <c r="I59">
        <f t="shared" ca="1" si="2"/>
        <v>96.452563190096384</v>
      </c>
      <c r="J59">
        <f t="shared" ca="1" si="2"/>
        <v>87.992042584720735</v>
      </c>
      <c r="K59">
        <f t="shared" ref="K59:P59" ca="1" si="58">J59*EXP(($C$4-0.5*$C$5^2)*$C$10+$C$5*SQRT($C$10)*NORMINV(RAND(),0,1))</f>
        <v>91.594105102585132</v>
      </c>
      <c r="L59">
        <f t="shared" ca="1" si="58"/>
        <v>101.16391089040239</v>
      </c>
      <c r="M59">
        <f t="shared" ca="1" si="58"/>
        <v>107.83623432415531</v>
      </c>
      <c r="N59">
        <f t="shared" ca="1" si="58"/>
        <v>108.01185561259894</v>
      </c>
      <c r="O59">
        <f t="shared" ca="1" si="58"/>
        <v>106.7669654535908</v>
      </c>
      <c r="P59">
        <f t="shared" ca="1" si="58"/>
        <v>112.33614430848682</v>
      </c>
      <c r="Q59">
        <f t="shared" ca="1" si="4"/>
        <v>102.01692370611222</v>
      </c>
      <c r="R59">
        <f t="shared" ca="1" si="5"/>
        <v>2.0169237061122232</v>
      </c>
      <c r="S59">
        <f t="shared" ca="1" si="6"/>
        <v>1.9185571762269773</v>
      </c>
    </row>
    <row r="60" spans="5:19" x14ac:dyDescent="0.75">
      <c r="E60">
        <v>55</v>
      </c>
      <c r="F60">
        <v>100</v>
      </c>
      <c r="G60">
        <f t="shared" ca="1" si="2"/>
        <v>98.781535488324892</v>
      </c>
      <c r="H60">
        <f t="shared" ca="1" si="2"/>
        <v>99.002677580712103</v>
      </c>
      <c r="I60">
        <f t="shared" ca="1" si="2"/>
        <v>105.60162643098454</v>
      </c>
      <c r="J60">
        <f t="shared" ca="1" si="2"/>
        <v>106.52995434073507</v>
      </c>
      <c r="K60">
        <f t="shared" ref="K60:P60" ca="1" si="59">J60*EXP(($C$4-0.5*$C$5^2)*$C$10+$C$5*SQRT($C$10)*NORMINV(RAND(),0,1))</f>
        <v>103.31223567262231</v>
      </c>
      <c r="L60">
        <f t="shared" ca="1" si="59"/>
        <v>106.90263675995659</v>
      </c>
      <c r="M60">
        <f t="shared" ca="1" si="59"/>
        <v>101.388064226835</v>
      </c>
      <c r="N60">
        <f t="shared" ca="1" si="59"/>
        <v>109.08362202307062</v>
      </c>
      <c r="O60">
        <f t="shared" ca="1" si="59"/>
        <v>107.91742981833548</v>
      </c>
      <c r="P60">
        <f t="shared" ca="1" si="59"/>
        <v>99.584502814779071</v>
      </c>
      <c r="Q60">
        <f t="shared" ca="1" si="4"/>
        <v>103.46402592330509</v>
      </c>
      <c r="R60">
        <f t="shared" ca="1" si="5"/>
        <v>3.464025923305087</v>
      </c>
      <c r="S60">
        <f t="shared" ca="1" si="6"/>
        <v>3.2950833854810524</v>
      </c>
    </row>
    <row r="61" spans="5:19" x14ac:dyDescent="0.75">
      <c r="E61">
        <v>56</v>
      </c>
      <c r="F61">
        <v>100</v>
      </c>
      <c r="G61">
        <f t="shared" ca="1" si="2"/>
        <v>100.25658345146353</v>
      </c>
      <c r="H61">
        <f t="shared" ca="1" si="2"/>
        <v>92.736972665886114</v>
      </c>
      <c r="I61">
        <f t="shared" ca="1" si="2"/>
        <v>89.299660458832889</v>
      </c>
      <c r="J61">
        <f t="shared" ca="1" si="2"/>
        <v>98.882082032489137</v>
      </c>
      <c r="K61">
        <f t="shared" ref="K61:P61" ca="1" si="60">J61*EXP(($C$4-0.5*$C$5^2)*$C$10+$C$5*SQRT($C$10)*NORMINV(RAND(),0,1))</f>
        <v>89.935392507049698</v>
      </c>
      <c r="L61">
        <f t="shared" ca="1" si="60"/>
        <v>88.80793505758885</v>
      </c>
      <c r="M61">
        <f t="shared" ca="1" si="60"/>
        <v>94.273173764648007</v>
      </c>
      <c r="N61">
        <f t="shared" ca="1" si="60"/>
        <v>92.545649076013376</v>
      </c>
      <c r="O61">
        <f t="shared" ca="1" si="60"/>
        <v>100.05627825280968</v>
      </c>
      <c r="P61">
        <f t="shared" ca="1" si="60"/>
        <v>85.042372855401666</v>
      </c>
      <c r="Q61">
        <f t="shared" ca="1" si="4"/>
        <v>93.803281829289347</v>
      </c>
      <c r="R61">
        <f t="shared" ca="1" si="5"/>
        <v>0</v>
      </c>
      <c r="S61">
        <f t="shared" ca="1" si="6"/>
        <v>0</v>
      </c>
    </row>
    <row r="62" spans="5:19" x14ac:dyDescent="0.75">
      <c r="E62">
        <v>57</v>
      </c>
      <c r="F62">
        <v>100</v>
      </c>
      <c r="G62">
        <f t="shared" ca="1" si="2"/>
        <v>96.161247859023732</v>
      </c>
      <c r="H62">
        <f t="shared" ca="1" si="2"/>
        <v>96.437331758930796</v>
      </c>
      <c r="I62">
        <f t="shared" ca="1" si="2"/>
        <v>91.772819047808198</v>
      </c>
      <c r="J62">
        <f t="shared" ca="1" si="2"/>
        <v>86.39882526068854</v>
      </c>
      <c r="K62">
        <f t="shared" ref="K62:P62" ca="1" si="61">J62*EXP(($C$4-0.5*$C$5^2)*$C$10+$C$5*SQRT($C$10)*NORMINV(RAND(),0,1))</f>
        <v>84.593266005554213</v>
      </c>
      <c r="L62">
        <f t="shared" ca="1" si="61"/>
        <v>88.049505446132699</v>
      </c>
      <c r="M62">
        <f t="shared" ca="1" si="61"/>
        <v>92.00869687638324</v>
      </c>
      <c r="N62">
        <f t="shared" ca="1" si="61"/>
        <v>98.385812801535408</v>
      </c>
      <c r="O62">
        <f t="shared" ca="1" si="61"/>
        <v>92.1299948640266</v>
      </c>
      <c r="P62">
        <f t="shared" ca="1" si="61"/>
        <v>83.736958383711794</v>
      </c>
      <c r="Q62">
        <f t="shared" ca="1" si="4"/>
        <v>91.788587118526834</v>
      </c>
      <c r="R62">
        <f t="shared" ca="1" si="5"/>
        <v>0</v>
      </c>
      <c r="S62">
        <f t="shared" ca="1" si="6"/>
        <v>0</v>
      </c>
    </row>
    <row r="63" spans="5:19" x14ac:dyDescent="0.75">
      <c r="E63">
        <v>58</v>
      </c>
      <c r="F63">
        <v>100</v>
      </c>
      <c r="G63">
        <f t="shared" ca="1" si="2"/>
        <v>103.21267430026992</v>
      </c>
      <c r="H63">
        <f t="shared" ca="1" si="2"/>
        <v>103.26203241917133</v>
      </c>
      <c r="I63">
        <f t="shared" ca="1" si="2"/>
        <v>102.34975497642722</v>
      </c>
      <c r="J63">
        <f t="shared" ca="1" si="2"/>
        <v>110.91683872453817</v>
      </c>
      <c r="K63">
        <f t="shared" ref="K63:P63" ca="1" si="62">J63*EXP(($C$4-0.5*$C$5^2)*$C$10+$C$5*SQRT($C$10)*NORMINV(RAND(),0,1))</f>
        <v>116.17106239186492</v>
      </c>
      <c r="L63">
        <f t="shared" ca="1" si="62"/>
        <v>110.78606772765757</v>
      </c>
      <c r="M63">
        <f t="shared" ca="1" si="62"/>
        <v>109.59483279731813</v>
      </c>
      <c r="N63">
        <f t="shared" ca="1" si="62"/>
        <v>97.940932630349707</v>
      </c>
      <c r="O63">
        <f t="shared" ca="1" si="62"/>
        <v>103.99324542181726</v>
      </c>
      <c r="P63">
        <f t="shared" ca="1" si="62"/>
        <v>106.13548022427759</v>
      </c>
      <c r="Q63">
        <f t="shared" ca="1" si="4"/>
        <v>105.8511746921538</v>
      </c>
      <c r="R63">
        <f t="shared" ca="1" si="5"/>
        <v>5.8511746921538048</v>
      </c>
      <c r="S63">
        <f t="shared" ca="1" si="6"/>
        <v>5.5658095350706063</v>
      </c>
    </row>
    <row r="64" spans="5:19" x14ac:dyDescent="0.75">
      <c r="E64">
        <v>59</v>
      </c>
      <c r="F64">
        <v>100</v>
      </c>
      <c r="G64">
        <f t="shared" ca="1" si="2"/>
        <v>94.551015366683757</v>
      </c>
      <c r="H64">
        <f t="shared" ca="1" si="2"/>
        <v>100.02090931741151</v>
      </c>
      <c r="I64">
        <f t="shared" ca="1" si="2"/>
        <v>97.028685499036442</v>
      </c>
      <c r="J64">
        <f t="shared" ca="1" si="2"/>
        <v>99.66839894876351</v>
      </c>
      <c r="K64">
        <f t="shared" ref="K64:P64" ca="1" si="63">J64*EXP(($C$4-0.5*$C$5^2)*$C$10+$C$5*SQRT($C$10)*NORMINV(RAND(),0,1))</f>
        <v>103.17515227964584</v>
      </c>
      <c r="L64">
        <f t="shared" ca="1" si="63"/>
        <v>102.97994178509738</v>
      </c>
      <c r="M64">
        <f t="shared" ca="1" si="63"/>
        <v>109.14920036625006</v>
      </c>
      <c r="N64">
        <f t="shared" ca="1" si="63"/>
        <v>106.34169952962361</v>
      </c>
      <c r="O64">
        <f t="shared" ca="1" si="63"/>
        <v>96.158978193115786</v>
      </c>
      <c r="P64">
        <f t="shared" ca="1" si="63"/>
        <v>103.53512431952873</v>
      </c>
      <c r="Q64">
        <f t="shared" ca="1" si="4"/>
        <v>101.14628232774152</v>
      </c>
      <c r="R64">
        <f t="shared" ca="1" si="5"/>
        <v>1.1462823277415168</v>
      </c>
      <c r="S64">
        <f t="shared" ca="1" si="6"/>
        <v>1.0903774789329019</v>
      </c>
    </row>
    <row r="65" spans="5:19" x14ac:dyDescent="0.75">
      <c r="E65">
        <v>60</v>
      </c>
      <c r="F65">
        <v>100</v>
      </c>
      <c r="G65">
        <f t="shared" ca="1" si="2"/>
        <v>103.17050682546476</v>
      </c>
      <c r="H65">
        <f t="shared" ca="1" si="2"/>
        <v>108.54451077326526</v>
      </c>
      <c r="I65">
        <f t="shared" ca="1" si="2"/>
        <v>111.99863383631474</v>
      </c>
      <c r="J65">
        <f t="shared" ca="1" si="2"/>
        <v>112.53238231983055</v>
      </c>
      <c r="K65">
        <f t="shared" ref="K65:P65" ca="1" si="64">J65*EXP(($C$4-0.5*$C$5^2)*$C$10+$C$5*SQRT($C$10)*NORMINV(RAND(),0,1))</f>
        <v>129.90818387388296</v>
      </c>
      <c r="L65">
        <f t="shared" ca="1" si="64"/>
        <v>134.713060711525</v>
      </c>
      <c r="M65">
        <f t="shared" ca="1" si="64"/>
        <v>143.51566187499679</v>
      </c>
      <c r="N65">
        <f t="shared" ca="1" si="64"/>
        <v>122.2045715618633</v>
      </c>
      <c r="O65">
        <f t="shared" ca="1" si="64"/>
        <v>123.1263185208778</v>
      </c>
      <c r="P65">
        <f t="shared" ca="1" si="64"/>
        <v>119.40471618000234</v>
      </c>
      <c r="Q65">
        <f t="shared" ca="1" si="4"/>
        <v>119.01077695254759</v>
      </c>
      <c r="R65">
        <f t="shared" ca="1" si="5"/>
        <v>19.010776952547587</v>
      </c>
      <c r="S65">
        <f t="shared" ca="1" si="6"/>
        <v>18.083610419883279</v>
      </c>
    </row>
    <row r="66" spans="5:19" x14ac:dyDescent="0.75">
      <c r="E66">
        <v>61</v>
      </c>
      <c r="F66">
        <v>100</v>
      </c>
      <c r="G66">
        <f t="shared" ca="1" si="2"/>
        <v>124.75956012992562</v>
      </c>
      <c r="H66">
        <f t="shared" ca="1" si="2"/>
        <v>121.37848285923539</v>
      </c>
      <c r="I66">
        <f t="shared" ca="1" si="2"/>
        <v>114.94651409898948</v>
      </c>
      <c r="J66">
        <f t="shared" ca="1" si="2"/>
        <v>113.00108561450948</v>
      </c>
      <c r="K66">
        <f t="shared" ref="K66:P66" ca="1" si="65">J66*EXP(($C$4-0.5*$C$5^2)*$C$10+$C$5*SQRT($C$10)*NORMINV(RAND(),0,1))</f>
        <v>105.36805382797147</v>
      </c>
      <c r="L66">
        <f t="shared" ca="1" si="65"/>
        <v>95.305318018993503</v>
      </c>
      <c r="M66">
        <f t="shared" ca="1" si="65"/>
        <v>96.872560788676623</v>
      </c>
      <c r="N66">
        <f t="shared" ca="1" si="65"/>
        <v>95.002782254883087</v>
      </c>
      <c r="O66">
        <f t="shared" ca="1" si="65"/>
        <v>102.47286264123409</v>
      </c>
      <c r="P66">
        <f t="shared" ca="1" si="65"/>
        <v>96.054037750950101</v>
      </c>
      <c r="Q66">
        <f t="shared" ca="1" si="4"/>
        <v>105.92375072594264</v>
      </c>
      <c r="R66">
        <f t="shared" ca="1" si="5"/>
        <v>5.9237507259426394</v>
      </c>
      <c r="S66">
        <f t="shared" ca="1" si="6"/>
        <v>5.6348459939241033</v>
      </c>
    </row>
    <row r="67" spans="5:19" x14ac:dyDescent="0.75">
      <c r="E67">
        <v>62</v>
      </c>
      <c r="F67">
        <v>100</v>
      </c>
      <c r="G67">
        <f t="shared" ca="1" si="2"/>
        <v>106.58717368408843</v>
      </c>
      <c r="H67">
        <f t="shared" ca="1" si="2"/>
        <v>110.79926468259939</v>
      </c>
      <c r="I67">
        <f t="shared" ca="1" si="2"/>
        <v>114.32691760839843</v>
      </c>
      <c r="J67">
        <f t="shared" ca="1" si="2"/>
        <v>100.79052223255525</v>
      </c>
      <c r="K67">
        <f t="shared" ref="K67:P67" ca="1" si="66">J67*EXP(($C$4-0.5*$C$5^2)*$C$10+$C$5*SQRT($C$10)*NORMINV(RAND(),0,1))</f>
        <v>105.36200967055748</v>
      </c>
      <c r="L67">
        <f t="shared" ca="1" si="66"/>
        <v>103.59758357316062</v>
      </c>
      <c r="M67">
        <f t="shared" ca="1" si="66"/>
        <v>99.61734711931328</v>
      </c>
      <c r="N67">
        <f t="shared" ca="1" si="66"/>
        <v>109.74408728050183</v>
      </c>
      <c r="O67">
        <f t="shared" ca="1" si="66"/>
        <v>106.22479150374775</v>
      </c>
      <c r="P67">
        <f t="shared" ca="1" si="66"/>
        <v>111.3932949019505</v>
      </c>
      <c r="Q67">
        <f t="shared" ca="1" si="4"/>
        <v>106.22209020517026</v>
      </c>
      <c r="R67">
        <f t="shared" ca="1" si="5"/>
        <v>6.2220902051702609</v>
      </c>
      <c r="S67">
        <f t="shared" ca="1" si="6"/>
        <v>5.918635285055637</v>
      </c>
    </row>
    <row r="68" spans="5:19" x14ac:dyDescent="0.75">
      <c r="E68">
        <v>63</v>
      </c>
      <c r="F68">
        <v>100</v>
      </c>
      <c r="G68">
        <f t="shared" ca="1" si="2"/>
        <v>98.647440289416551</v>
      </c>
      <c r="H68">
        <f t="shared" ca="1" si="2"/>
        <v>91.509611099434721</v>
      </c>
      <c r="I68">
        <f t="shared" ca="1" si="2"/>
        <v>96.550928237239987</v>
      </c>
      <c r="J68">
        <f t="shared" ca="1" si="2"/>
        <v>93.52592543788866</v>
      </c>
      <c r="K68">
        <f t="shared" ref="K68:P68" ca="1" si="67">J68*EXP(($C$4-0.5*$C$5^2)*$C$10+$C$5*SQRT($C$10)*NORMINV(RAND(),0,1))</f>
        <v>98.810265327249397</v>
      </c>
      <c r="L68">
        <f t="shared" ca="1" si="67"/>
        <v>94.76602537036635</v>
      </c>
      <c r="M68">
        <f t="shared" ca="1" si="67"/>
        <v>96.837443583041363</v>
      </c>
      <c r="N68">
        <f t="shared" ca="1" si="67"/>
        <v>96.859126047095927</v>
      </c>
      <c r="O68">
        <f t="shared" ca="1" si="67"/>
        <v>108.98842695328939</v>
      </c>
      <c r="P68">
        <f t="shared" ca="1" si="67"/>
        <v>112.10986621027482</v>
      </c>
      <c r="Q68">
        <f t="shared" ca="1" si="4"/>
        <v>98.964096232299738</v>
      </c>
      <c r="R68">
        <f t="shared" ca="1" si="5"/>
        <v>0</v>
      </c>
      <c r="S68">
        <f t="shared" ca="1" si="6"/>
        <v>0</v>
      </c>
    </row>
    <row r="69" spans="5:19" x14ac:dyDescent="0.75">
      <c r="E69">
        <v>64</v>
      </c>
      <c r="F69">
        <v>100</v>
      </c>
      <c r="G69">
        <f t="shared" ca="1" si="2"/>
        <v>110.4714142844222</v>
      </c>
      <c r="H69">
        <f t="shared" ca="1" si="2"/>
        <v>109.32531366416177</v>
      </c>
      <c r="I69">
        <f t="shared" ca="1" si="2"/>
        <v>111.8610798580545</v>
      </c>
      <c r="J69">
        <f t="shared" ca="1" si="2"/>
        <v>105.42036534484393</v>
      </c>
      <c r="K69">
        <f t="shared" ref="K69:P69" ca="1" si="68">J69*EXP(($C$4-0.5*$C$5^2)*$C$10+$C$5*SQRT($C$10)*NORMINV(RAND(),0,1))</f>
        <v>99.060750461096816</v>
      </c>
      <c r="L69">
        <f t="shared" ca="1" si="68"/>
        <v>104.07455613236918</v>
      </c>
      <c r="M69">
        <f t="shared" ca="1" si="68"/>
        <v>104.68694591139511</v>
      </c>
      <c r="N69">
        <f t="shared" ca="1" si="68"/>
        <v>101.59378532220715</v>
      </c>
      <c r="O69">
        <f t="shared" ca="1" si="68"/>
        <v>103.673506685757</v>
      </c>
      <c r="P69">
        <f t="shared" ca="1" si="68"/>
        <v>104.16269731412299</v>
      </c>
      <c r="Q69">
        <f t="shared" ca="1" si="4"/>
        <v>104.93912863440279</v>
      </c>
      <c r="R69">
        <f t="shared" ca="1" si="5"/>
        <v>4.9391286344027918</v>
      </c>
      <c r="S69">
        <f t="shared" ca="1" si="6"/>
        <v>4.6982444884379655</v>
      </c>
    </row>
    <row r="70" spans="5:19" x14ac:dyDescent="0.75">
      <c r="E70">
        <v>65</v>
      </c>
      <c r="F70">
        <v>100</v>
      </c>
      <c r="G70">
        <f t="shared" ca="1" si="2"/>
        <v>107.72751220462733</v>
      </c>
      <c r="H70">
        <f t="shared" ca="1" si="2"/>
        <v>103.48954931994525</v>
      </c>
      <c r="I70">
        <f t="shared" ca="1" si="2"/>
        <v>97.442331406764239</v>
      </c>
      <c r="J70">
        <f t="shared" ref="J70:P70" ca="1" si="69">I70*EXP(($C$4-0.5*$C$5^2)*$C$10+$C$5*SQRT($C$10)*NORMINV(RAND(),0,1))</f>
        <v>93.039202048698101</v>
      </c>
      <c r="K70">
        <f t="shared" ca="1" si="69"/>
        <v>85.090584625831852</v>
      </c>
      <c r="L70">
        <f t="shared" ca="1" si="69"/>
        <v>90.984077743044054</v>
      </c>
      <c r="M70">
        <f t="shared" ca="1" si="69"/>
        <v>86.633234864501119</v>
      </c>
      <c r="N70">
        <f t="shared" ca="1" si="69"/>
        <v>96.013027806615156</v>
      </c>
      <c r="O70">
        <f t="shared" ca="1" si="69"/>
        <v>98.139879943981398</v>
      </c>
      <c r="P70">
        <f t="shared" ca="1" si="69"/>
        <v>99.517104509669252</v>
      </c>
      <c r="Q70">
        <f t="shared" ca="1" si="4"/>
        <v>96.188773133970699</v>
      </c>
      <c r="R70">
        <f t="shared" ca="1" si="5"/>
        <v>0</v>
      </c>
      <c r="S70">
        <f t="shared" ca="1" si="6"/>
        <v>0</v>
      </c>
    </row>
    <row r="71" spans="5:19" x14ac:dyDescent="0.75">
      <c r="E71">
        <v>66</v>
      </c>
      <c r="F71">
        <v>100</v>
      </c>
      <c r="G71">
        <f t="shared" ref="G71:J134" ca="1" si="70">F71*EXP(($C$4-0.5*$C$5^2)*$C$10+$C$5*SQRT($C$10)*NORMINV(RAND(),0,1))</f>
        <v>104.19721205833363</v>
      </c>
      <c r="H71">
        <f t="shared" ca="1" si="70"/>
        <v>105.53122517952848</v>
      </c>
      <c r="I71">
        <f t="shared" ca="1" si="70"/>
        <v>110.74828012957188</v>
      </c>
      <c r="J71">
        <f t="shared" ca="1" si="70"/>
        <v>110.66917124723426</v>
      </c>
      <c r="K71">
        <f t="shared" ref="K71:P71" ca="1" si="71">J71*EXP(($C$4-0.5*$C$5^2)*$C$10+$C$5*SQRT($C$10)*NORMINV(RAND(),0,1))</f>
        <v>114.68623472607548</v>
      </c>
      <c r="L71">
        <f t="shared" ca="1" si="71"/>
        <v>103.02175180088719</v>
      </c>
      <c r="M71">
        <f t="shared" ca="1" si="71"/>
        <v>99.757774592422436</v>
      </c>
      <c r="N71">
        <f t="shared" ca="1" si="71"/>
        <v>109.0629845673481</v>
      </c>
      <c r="O71">
        <f t="shared" ca="1" si="71"/>
        <v>109.96909100879006</v>
      </c>
      <c r="P71">
        <f t="shared" ca="1" si="71"/>
        <v>117.75158419657184</v>
      </c>
      <c r="Q71">
        <f t="shared" ref="Q71:Q134" ca="1" si="72">AVERAGE(F71:P71)</f>
        <v>107.76320995516031</v>
      </c>
      <c r="R71">
        <f t="shared" ref="R71:R134" ca="1" si="73">MAX(Q71-$C$7,0)</f>
        <v>7.7632099551603062</v>
      </c>
      <c r="S71">
        <f t="shared" ref="S71:S134" ca="1" si="74">EXP(-$C$4*$C$6)*R71</f>
        <v>7.3845937379253517</v>
      </c>
    </row>
    <row r="72" spans="5:19" x14ac:dyDescent="0.75">
      <c r="E72">
        <v>67</v>
      </c>
      <c r="F72">
        <v>100</v>
      </c>
      <c r="G72">
        <f t="shared" ca="1" si="70"/>
        <v>100.26142445087534</v>
      </c>
      <c r="H72">
        <f t="shared" ca="1" si="70"/>
        <v>104.82045982627322</v>
      </c>
      <c r="I72">
        <f t="shared" ca="1" si="70"/>
        <v>105.31186367150896</v>
      </c>
      <c r="J72">
        <f t="shared" ca="1" si="70"/>
        <v>95.929852092143875</v>
      </c>
      <c r="K72">
        <f t="shared" ref="K72:P72" ca="1" si="75">J72*EXP(($C$4-0.5*$C$5^2)*$C$10+$C$5*SQRT($C$10)*NORMINV(RAND(),0,1))</f>
        <v>99.221895201218459</v>
      </c>
      <c r="L72">
        <f t="shared" ca="1" si="75"/>
        <v>89.565801618880712</v>
      </c>
      <c r="M72">
        <f t="shared" ca="1" si="75"/>
        <v>92.082123797411001</v>
      </c>
      <c r="N72">
        <f t="shared" ca="1" si="75"/>
        <v>103.2210429371587</v>
      </c>
      <c r="O72">
        <f t="shared" ca="1" si="75"/>
        <v>113.13629727285949</v>
      </c>
      <c r="P72">
        <f t="shared" ca="1" si="75"/>
        <v>117.54799820095853</v>
      </c>
      <c r="Q72">
        <f t="shared" ca="1" si="72"/>
        <v>101.91806900629894</v>
      </c>
      <c r="R72">
        <f t="shared" ca="1" si="73"/>
        <v>1.9180690062989356</v>
      </c>
      <c r="S72">
        <f t="shared" ca="1" si="74"/>
        <v>1.8245236770143929</v>
      </c>
    </row>
    <row r="73" spans="5:19" x14ac:dyDescent="0.75">
      <c r="E73">
        <v>68</v>
      </c>
      <c r="F73">
        <v>100</v>
      </c>
      <c r="G73">
        <f t="shared" ca="1" si="70"/>
        <v>89.167221112133376</v>
      </c>
      <c r="H73">
        <f t="shared" ca="1" si="70"/>
        <v>99.511266794383516</v>
      </c>
      <c r="I73">
        <f t="shared" ca="1" si="70"/>
        <v>103.38927105860789</v>
      </c>
      <c r="J73">
        <f t="shared" ca="1" si="70"/>
        <v>108.21135472976975</v>
      </c>
      <c r="K73">
        <f t="shared" ref="K73:P73" ca="1" si="76">J73*EXP(($C$4-0.5*$C$5^2)*$C$10+$C$5*SQRT($C$10)*NORMINV(RAND(),0,1))</f>
        <v>102.75997846491495</v>
      </c>
      <c r="L73">
        <f t="shared" ca="1" si="76"/>
        <v>112.77227919766285</v>
      </c>
      <c r="M73">
        <f t="shared" ca="1" si="76"/>
        <v>104.96212423582431</v>
      </c>
      <c r="N73">
        <f t="shared" ca="1" si="76"/>
        <v>109.99528519662925</v>
      </c>
      <c r="O73">
        <f t="shared" ca="1" si="76"/>
        <v>118.61551608065778</v>
      </c>
      <c r="P73">
        <f t="shared" ca="1" si="76"/>
        <v>113.5039600445559</v>
      </c>
      <c r="Q73">
        <f t="shared" ca="1" si="72"/>
        <v>105.7171142650127</v>
      </c>
      <c r="R73">
        <f t="shared" ca="1" si="73"/>
        <v>5.7171142650126967</v>
      </c>
      <c r="S73">
        <f t="shared" ca="1" si="74"/>
        <v>5.4382873121128501</v>
      </c>
    </row>
    <row r="74" spans="5:19" x14ac:dyDescent="0.75">
      <c r="E74">
        <v>69</v>
      </c>
      <c r="F74">
        <v>100</v>
      </c>
      <c r="G74">
        <f t="shared" ca="1" si="70"/>
        <v>106.36150145117007</v>
      </c>
      <c r="H74">
        <f t="shared" ca="1" si="70"/>
        <v>96.008943034799003</v>
      </c>
      <c r="I74">
        <f t="shared" ca="1" si="70"/>
        <v>99.548153086140431</v>
      </c>
      <c r="J74">
        <f t="shared" ca="1" si="70"/>
        <v>105.59848042045027</v>
      </c>
      <c r="K74">
        <f t="shared" ref="K74:P74" ca="1" si="77">J74*EXP(($C$4-0.5*$C$5^2)*$C$10+$C$5*SQRT($C$10)*NORMINV(RAND(),0,1))</f>
        <v>102.89369210291235</v>
      </c>
      <c r="L74">
        <f t="shared" ca="1" si="77"/>
        <v>101.4247230297355</v>
      </c>
      <c r="M74">
        <f t="shared" ca="1" si="77"/>
        <v>108.0113680060841</v>
      </c>
      <c r="N74">
        <f t="shared" ca="1" si="77"/>
        <v>102.54765558715148</v>
      </c>
      <c r="O74">
        <f t="shared" ca="1" si="77"/>
        <v>94.28455791343319</v>
      </c>
      <c r="P74">
        <f t="shared" ca="1" si="77"/>
        <v>100.95198120208478</v>
      </c>
      <c r="Q74">
        <f t="shared" ca="1" si="72"/>
        <v>101.60282325763283</v>
      </c>
      <c r="R74">
        <f t="shared" ca="1" si="73"/>
        <v>1.602823257632835</v>
      </c>
      <c r="S74">
        <f t="shared" ca="1" si="74"/>
        <v>1.5246526449344413</v>
      </c>
    </row>
    <row r="75" spans="5:19" x14ac:dyDescent="0.75">
      <c r="E75">
        <v>70</v>
      </c>
      <c r="F75">
        <v>100</v>
      </c>
      <c r="G75">
        <f t="shared" ca="1" si="70"/>
        <v>103.20438922862336</v>
      </c>
      <c r="H75">
        <f t="shared" ca="1" si="70"/>
        <v>101.58460269266858</v>
      </c>
      <c r="I75">
        <f t="shared" ca="1" si="70"/>
        <v>96.908675917497661</v>
      </c>
      <c r="J75">
        <f t="shared" ca="1" si="70"/>
        <v>101.32611862877431</v>
      </c>
      <c r="K75">
        <f t="shared" ref="K75:P75" ca="1" si="78">J75*EXP(($C$4-0.5*$C$5^2)*$C$10+$C$5*SQRT($C$10)*NORMINV(RAND(),0,1))</f>
        <v>102.29029418279602</v>
      </c>
      <c r="L75">
        <f t="shared" ca="1" si="78"/>
        <v>101.02798439405616</v>
      </c>
      <c r="M75">
        <f t="shared" ca="1" si="78"/>
        <v>124.17036417558069</v>
      </c>
      <c r="N75">
        <f t="shared" ca="1" si="78"/>
        <v>128.14483658728301</v>
      </c>
      <c r="O75">
        <f t="shared" ca="1" si="78"/>
        <v>116.30882164722711</v>
      </c>
      <c r="P75">
        <f t="shared" ca="1" si="78"/>
        <v>105.15314316958644</v>
      </c>
      <c r="Q75">
        <f t="shared" ca="1" si="72"/>
        <v>107.28356642037214</v>
      </c>
      <c r="R75">
        <f t="shared" ca="1" si="73"/>
        <v>7.2835664203721393</v>
      </c>
      <c r="S75">
        <f t="shared" ca="1" si="74"/>
        <v>6.928342694363316</v>
      </c>
    </row>
    <row r="76" spans="5:19" x14ac:dyDescent="0.75">
      <c r="E76">
        <v>71</v>
      </c>
      <c r="F76">
        <v>100</v>
      </c>
      <c r="G76">
        <f t="shared" ca="1" si="70"/>
        <v>98.415588438661842</v>
      </c>
      <c r="H76">
        <f t="shared" ca="1" si="70"/>
        <v>94.213587327325371</v>
      </c>
      <c r="I76">
        <f t="shared" ca="1" si="70"/>
        <v>98.436651020182452</v>
      </c>
      <c r="J76">
        <f t="shared" ca="1" si="70"/>
        <v>86.824372239783571</v>
      </c>
      <c r="K76">
        <f t="shared" ref="K76:P76" ca="1" si="79">J76*EXP(($C$4-0.5*$C$5^2)*$C$10+$C$5*SQRT($C$10)*NORMINV(RAND(),0,1))</f>
        <v>87.604394210681377</v>
      </c>
      <c r="L76">
        <f t="shared" ca="1" si="79"/>
        <v>84.560205065640218</v>
      </c>
      <c r="M76">
        <f t="shared" ca="1" si="79"/>
        <v>86.807638479538554</v>
      </c>
      <c r="N76">
        <f t="shared" ca="1" si="79"/>
        <v>94.079033923280221</v>
      </c>
      <c r="O76">
        <f t="shared" ca="1" si="79"/>
        <v>97.474948883240756</v>
      </c>
      <c r="P76">
        <f t="shared" ca="1" si="79"/>
        <v>97.642788422352623</v>
      </c>
      <c r="Q76">
        <f t="shared" ca="1" si="72"/>
        <v>93.278109819153357</v>
      </c>
      <c r="R76">
        <f t="shared" ca="1" si="73"/>
        <v>0</v>
      </c>
      <c r="S76">
        <f t="shared" ca="1" si="74"/>
        <v>0</v>
      </c>
    </row>
    <row r="77" spans="5:19" x14ac:dyDescent="0.75">
      <c r="E77">
        <v>72</v>
      </c>
      <c r="F77">
        <v>100</v>
      </c>
      <c r="G77">
        <f t="shared" ca="1" si="70"/>
        <v>100.96357197776429</v>
      </c>
      <c r="H77">
        <f t="shared" ca="1" si="70"/>
        <v>107.64142142673899</v>
      </c>
      <c r="I77">
        <f t="shared" ca="1" si="70"/>
        <v>104.55003055796089</v>
      </c>
      <c r="J77">
        <f t="shared" ca="1" si="70"/>
        <v>109.15507896097031</v>
      </c>
      <c r="K77">
        <f t="shared" ref="K77:P77" ca="1" si="80">J77*EXP(($C$4-0.5*$C$5^2)*$C$10+$C$5*SQRT($C$10)*NORMINV(RAND(),0,1))</f>
        <v>120.48663884583279</v>
      </c>
      <c r="L77">
        <f t="shared" ca="1" si="80"/>
        <v>127.03872495074691</v>
      </c>
      <c r="M77">
        <f t="shared" ca="1" si="80"/>
        <v>133.16693065950915</v>
      </c>
      <c r="N77">
        <f t="shared" ca="1" si="80"/>
        <v>130.48914090482114</v>
      </c>
      <c r="O77">
        <f t="shared" ca="1" si="80"/>
        <v>131.30615989559897</v>
      </c>
      <c r="P77">
        <f t="shared" ca="1" si="80"/>
        <v>138.852027028186</v>
      </c>
      <c r="Q77">
        <f t="shared" ca="1" si="72"/>
        <v>118.51361138255722</v>
      </c>
      <c r="R77">
        <f t="shared" ca="1" si="73"/>
        <v>18.513611382557215</v>
      </c>
      <c r="S77">
        <f t="shared" ca="1" si="74"/>
        <v>17.61069190085977</v>
      </c>
    </row>
    <row r="78" spans="5:19" x14ac:dyDescent="0.75">
      <c r="E78">
        <v>73</v>
      </c>
      <c r="F78">
        <v>100</v>
      </c>
      <c r="G78">
        <f t="shared" ca="1" si="70"/>
        <v>107.21492401818895</v>
      </c>
      <c r="H78">
        <f t="shared" ca="1" si="70"/>
        <v>97.956793997748917</v>
      </c>
      <c r="I78">
        <f t="shared" ca="1" si="70"/>
        <v>82.87000482226702</v>
      </c>
      <c r="J78">
        <f t="shared" ca="1" si="70"/>
        <v>83.921694073452016</v>
      </c>
      <c r="K78">
        <f t="shared" ref="K78:P78" ca="1" si="81">J78*EXP(($C$4-0.5*$C$5^2)*$C$10+$C$5*SQRT($C$10)*NORMINV(RAND(),0,1))</f>
        <v>79.191742622050114</v>
      </c>
      <c r="L78">
        <f t="shared" ca="1" si="81"/>
        <v>70.529287428346919</v>
      </c>
      <c r="M78">
        <f t="shared" ca="1" si="81"/>
        <v>64.820877137072017</v>
      </c>
      <c r="N78">
        <f t="shared" ca="1" si="81"/>
        <v>65.993480885867271</v>
      </c>
      <c r="O78">
        <f t="shared" ca="1" si="81"/>
        <v>64.369795195965224</v>
      </c>
      <c r="P78">
        <f t="shared" ca="1" si="81"/>
        <v>69.388630951715854</v>
      </c>
      <c r="Q78">
        <f t="shared" ca="1" si="72"/>
        <v>80.568839193879498</v>
      </c>
      <c r="R78">
        <f t="shared" ca="1" si="73"/>
        <v>0</v>
      </c>
      <c r="S78">
        <f t="shared" ca="1" si="74"/>
        <v>0</v>
      </c>
    </row>
    <row r="79" spans="5:19" x14ac:dyDescent="0.75">
      <c r="E79">
        <v>74</v>
      </c>
      <c r="F79">
        <v>100</v>
      </c>
      <c r="G79">
        <f t="shared" ca="1" si="70"/>
        <v>96.228835666598158</v>
      </c>
      <c r="H79">
        <f t="shared" ca="1" si="70"/>
        <v>97.342798444752617</v>
      </c>
      <c r="I79">
        <f t="shared" ca="1" si="70"/>
        <v>102.19013130056346</v>
      </c>
      <c r="J79">
        <f t="shared" ca="1" si="70"/>
        <v>102.62837662562357</v>
      </c>
      <c r="K79">
        <f t="shared" ref="K79:P79" ca="1" si="82">J79*EXP(($C$4-0.5*$C$5^2)*$C$10+$C$5*SQRT($C$10)*NORMINV(RAND(),0,1))</f>
        <v>111.79769889210809</v>
      </c>
      <c r="L79">
        <f t="shared" ca="1" si="82"/>
        <v>110.07441235664501</v>
      </c>
      <c r="M79">
        <f t="shared" ca="1" si="82"/>
        <v>110.33954159337254</v>
      </c>
      <c r="N79">
        <f t="shared" ca="1" si="82"/>
        <v>112.78080093781608</v>
      </c>
      <c r="O79">
        <f t="shared" ca="1" si="82"/>
        <v>106.0959595967559</v>
      </c>
      <c r="P79">
        <f t="shared" ca="1" si="82"/>
        <v>104.63695482325048</v>
      </c>
      <c r="Q79">
        <f t="shared" ca="1" si="72"/>
        <v>104.91959183977146</v>
      </c>
      <c r="R79">
        <f t="shared" ca="1" si="73"/>
        <v>4.9195918397714564</v>
      </c>
      <c r="S79">
        <f t="shared" ca="1" si="74"/>
        <v>4.6796605145242109</v>
      </c>
    </row>
    <row r="80" spans="5:19" x14ac:dyDescent="0.75">
      <c r="E80">
        <v>75</v>
      </c>
      <c r="F80">
        <v>100</v>
      </c>
      <c r="G80">
        <f t="shared" ca="1" si="70"/>
        <v>94.212361251979402</v>
      </c>
      <c r="H80">
        <f t="shared" ca="1" si="70"/>
        <v>98.021702125887018</v>
      </c>
      <c r="I80">
        <f t="shared" ca="1" si="70"/>
        <v>108.82440469955786</v>
      </c>
      <c r="J80">
        <f t="shared" ca="1" si="70"/>
        <v>109.61909011116059</v>
      </c>
      <c r="K80">
        <f t="shared" ref="K80:P80" ca="1" si="83">J80*EXP(($C$4-0.5*$C$5^2)*$C$10+$C$5*SQRT($C$10)*NORMINV(RAND(),0,1))</f>
        <v>105.62047632043543</v>
      </c>
      <c r="L80">
        <f t="shared" ca="1" si="83"/>
        <v>112.48153820866862</v>
      </c>
      <c r="M80">
        <f t="shared" ca="1" si="83"/>
        <v>108.20607386681669</v>
      </c>
      <c r="N80">
        <f t="shared" ca="1" si="83"/>
        <v>110.2135600720745</v>
      </c>
      <c r="O80">
        <f t="shared" ca="1" si="83"/>
        <v>108.88493044936322</v>
      </c>
      <c r="P80">
        <f t="shared" ca="1" si="83"/>
        <v>114.86454717468708</v>
      </c>
      <c r="Q80">
        <f t="shared" ca="1" si="72"/>
        <v>106.44988038914822</v>
      </c>
      <c r="R80">
        <f t="shared" ca="1" si="73"/>
        <v>6.4498803891482197</v>
      </c>
      <c r="S80">
        <f t="shared" ca="1" si="74"/>
        <v>6.1353160106679026</v>
      </c>
    </row>
    <row r="81" spans="5:19" x14ac:dyDescent="0.75">
      <c r="E81">
        <v>76</v>
      </c>
      <c r="F81">
        <v>100</v>
      </c>
      <c r="G81">
        <f t="shared" ca="1" si="70"/>
        <v>107.27756863402678</v>
      </c>
      <c r="H81">
        <f t="shared" ca="1" si="70"/>
        <v>117.36814824336183</v>
      </c>
      <c r="I81">
        <f t="shared" ca="1" si="70"/>
        <v>141.71794180321223</v>
      </c>
      <c r="J81">
        <f t="shared" ca="1" si="70"/>
        <v>126.77342377763443</v>
      </c>
      <c r="K81">
        <f t="shared" ref="K81:P81" ca="1" si="84">J81*EXP(($C$4-0.5*$C$5^2)*$C$10+$C$5*SQRT($C$10)*NORMINV(RAND(),0,1))</f>
        <v>128.87573270105275</v>
      </c>
      <c r="L81">
        <f t="shared" ca="1" si="84"/>
        <v>133.42776421158891</v>
      </c>
      <c r="M81">
        <f t="shared" ca="1" si="84"/>
        <v>122.48423185888701</v>
      </c>
      <c r="N81">
        <f t="shared" ca="1" si="84"/>
        <v>126.12433349449888</v>
      </c>
      <c r="O81">
        <f t="shared" ca="1" si="84"/>
        <v>132.5051290202498</v>
      </c>
      <c r="P81">
        <f t="shared" ca="1" si="84"/>
        <v>135.5396814790052</v>
      </c>
      <c r="Q81">
        <f t="shared" ca="1" si="72"/>
        <v>124.7358141112289</v>
      </c>
      <c r="R81">
        <f t="shared" ca="1" si="73"/>
        <v>24.735814111228905</v>
      </c>
      <c r="S81">
        <f t="shared" ca="1" si="74"/>
        <v>23.52943422158091</v>
      </c>
    </row>
    <row r="82" spans="5:19" x14ac:dyDescent="0.75">
      <c r="E82">
        <v>77</v>
      </c>
      <c r="F82">
        <v>100</v>
      </c>
      <c r="G82">
        <f t="shared" ca="1" si="70"/>
        <v>108.40093688039121</v>
      </c>
      <c r="H82">
        <f t="shared" ca="1" si="70"/>
        <v>106.86081399685428</v>
      </c>
      <c r="I82">
        <f t="shared" ca="1" si="70"/>
        <v>117.96324148756749</v>
      </c>
      <c r="J82">
        <f t="shared" ca="1" si="70"/>
        <v>123.38053494664723</v>
      </c>
      <c r="K82">
        <f t="shared" ref="K82:P82" ca="1" si="85">J82*EXP(($C$4-0.5*$C$5^2)*$C$10+$C$5*SQRT($C$10)*NORMINV(RAND(),0,1))</f>
        <v>106.84048083206731</v>
      </c>
      <c r="L82">
        <f t="shared" ca="1" si="85"/>
        <v>120.19458305501502</v>
      </c>
      <c r="M82">
        <f t="shared" ca="1" si="85"/>
        <v>115.15489025364988</v>
      </c>
      <c r="N82">
        <f t="shared" ca="1" si="85"/>
        <v>96.97719773596198</v>
      </c>
      <c r="O82">
        <f t="shared" ca="1" si="85"/>
        <v>87.954357902906338</v>
      </c>
      <c r="P82">
        <f t="shared" ca="1" si="85"/>
        <v>75.412334800346883</v>
      </c>
      <c r="Q82">
        <f t="shared" ca="1" si="72"/>
        <v>105.3763065355825</v>
      </c>
      <c r="R82">
        <f t="shared" ca="1" si="73"/>
        <v>5.3763065355825006</v>
      </c>
      <c r="S82">
        <f t="shared" ca="1" si="74"/>
        <v>5.1141009717815695</v>
      </c>
    </row>
    <row r="83" spans="5:19" x14ac:dyDescent="0.75">
      <c r="E83">
        <v>78</v>
      </c>
      <c r="F83">
        <v>100</v>
      </c>
      <c r="G83">
        <f t="shared" ca="1" si="70"/>
        <v>97.442934172147034</v>
      </c>
      <c r="H83">
        <f t="shared" ca="1" si="70"/>
        <v>100.16074045809974</v>
      </c>
      <c r="I83">
        <f t="shared" ca="1" si="70"/>
        <v>110.76309917800869</v>
      </c>
      <c r="J83">
        <f t="shared" ca="1" si="70"/>
        <v>123.35960628173284</v>
      </c>
      <c r="K83">
        <f t="shared" ref="K83:P83" ca="1" si="86">J83*EXP(($C$4-0.5*$C$5^2)*$C$10+$C$5*SQRT($C$10)*NORMINV(RAND(),0,1))</f>
        <v>132.29733998063796</v>
      </c>
      <c r="L83">
        <f t="shared" ca="1" si="86"/>
        <v>135.33776725321437</v>
      </c>
      <c r="M83">
        <f t="shared" ca="1" si="86"/>
        <v>156.89746507551567</v>
      </c>
      <c r="N83">
        <f t="shared" ca="1" si="86"/>
        <v>163.48101969347624</v>
      </c>
      <c r="O83">
        <f t="shared" ca="1" si="86"/>
        <v>154.58661862501549</v>
      </c>
      <c r="P83">
        <f t="shared" ca="1" si="86"/>
        <v>150.96289947102449</v>
      </c>
      <c r="Q83">
        <f t="shared" ca="1" si="72"/>
        <v>129.57177183535202</v>
      </c>
      <c r="R83">
        <f t="shared" ca="1" si="73"/>
        <v>29.571771835352024</v>
      </c>
      <c r="S83">
        <f t="shared" ca="1" si="74"/>
        <v>28.129539504408328</v>
      </c>
    </row>
    <row r="84" spans="5:19" x14ac:dyDescent="0.75">
      <c r="E84">
        <v>79</v>
      </c>
      <c r="F84">
        <v>100</v>
      </c>
      <c r="G84">
        <f t="shared" ca="1" si="70"/>
        <v>97.670224850760917</v>
      </c>
      <c r="H84">
        <f t="shared" ca="1" si="70"/>
        <v>110.28775933194227</v>
      </c>
      <c r="I84">
        <f t="shared" ca="1" si="70"/>
        <v>109.46464510675882</v>
      </c>
      <c r="J84">
        <f t="shared" ca="1" si="70"/>
        <v>127.75430309756769</v>
      </c>
      <c r="K84">
        <f t="shared" ref="K84:P84" ca="1" si="87">J84*EXP(($C$4-0.5*$C$5^2)*$C$10+$C$5*SQRT($C$10)*NORMINV(RAND(),0,1))</f>
        <v>135.01567497126851</v>
      </c>
      <c r="L84">
        <f t="shared" ca="1" si="87"/>
        <v>151.60940785285513</v>
      </c>
      <c r="M84">
        <f t="shared" ca="1" si="87"/>
        <v>158.88544247110042</v>
      </c>
      <c r="N84">
        <f t="shared" ca="1" si="87"/>
        <v>171.05644505513249</v>
      </c>
      <c r="O84">
        <f t="shared" ca="1" si="87"/>
        <v>181.61209085873739</v>
      </c>
      <c r="P84">
        <f t="shared" ca="1" si="87"/>
        <v>187.27922576662365</v>
      </c>
      <c r="Q84">
        <f t="shared" ca="1" si="72"/>
        <v>139.14865630570429</v>
      </c>
      <c r="R84">
        <f t="shared" ca="1" si="73"/>
        <v>39.148656305704293</v>
      </c>
      <c r="S84">
        <f t="shared" ca="1" si="74"/>
        <v>37.239353807651341</v>
      </c>
    </row>
    <row r="85" spans="5:19" x14ac:dyDescent="0.75">
      <c r="E85">
        <v>80</v>
      </c>
      <c r="F85">
        <v>100</v>
      </c>
      <c r="G85">
        <f t="shared" ca="1" si="70"/>
        <v>100.36344513491883</v>
      </c>
      <c r="H85">
        <f t="shared" ca="1" si="70"/>
        <v>96.434283871172596</v>
      </c>
      <c r="I85">
        <f t="shared" ca="1" si="70"/>
        <v>93.383494241849732</v>
      </c>
      <c r="J85">
        <f t="shared" ca="1" si="70"/>
        <v>85.382656152217322</v>
      </c>
      <c r="K85">
        <f t="shared" ref="K85:P85" ca="1" si="88">J85*EXP(($C$4-0.5*$C$5^2)*$C$10+$C$5*SQRT($C$10)*NORMINV(RAND(),0,1))</f>
        <v>74.936226038937207</v>
      </c>
      <c r="L85">
        <f t="shared" ca="1" si="88"/>
        <v>67.919219794538307</v>
      </c>
      <c r="M85">
        <f t="shared" ca="1" si="88"/>
        <v>72.414611983443876</v>
      </c>
      <c r="N85">
        <f t="shared" ca="1" si="88"/>
        <v>81.169886139718372</v>
      </c>
      <c r="O85">
        <f t="shared" ca="1" si="88"/>
        <v>74.489871123296055</v>
      </c>
      <c r="P85">
        <f t="shared" ca="1" si="88"/>
        <v>80.954847240840593</v>
      </c>
      <c r="Q85">
        <f t="shared" ca="1" si="72"/>
        <v>84.313503792812085</v>
      </c>
      <c r="R85">
        <f t="shared" ca="1" si="73"/>
        <v>0</v>
      </c>
      <c r="S85">
        <f t="shared" ca="1" si="74"/>
        <v>0</v>
      </c>
    </row>
    <row r="86" spans="5:19" x14ac:dyDescent="0.75">
      <c r="E86">
        <v>81</v>
      </c>
      <c r="F86">
        <v>100</v>
      </c>
      <c r="G86">
        <f t="shared" ca="1" si="70"/>
        <v>105.34018682757551</v>
      </c>
      <c r="H86">
        <f t="shared" ca="1" si="70"/>
        <v>99.910983839015387</v>
      </c>
      <c r="I86">
        <f t="shared" ca="1" si="70"/>
        <v>103.23901115612597</v>
      </c>
      <c r="J86">
        <f t="shared" ca="1" si="70"/>
        <v>104.37780227312987</v>
      </c>
      <c r="K86">
        <f t="shared" ref="K86:P86" ca="1" si="89">J86*EXP(($C$4-0.5*$C$5^2)*$C$10+$C$5*SQRT($C$10)*NORMINV(RAND(),0,1))</f>
        <v>115.08336502780597</v>
      </c>
      <c r="L86">
        <f t="shared" ca="1" si="89"/>
        <v>108.67081907733696</v>
      </c>
      <c r="M86">
        <f t="shared" ca="1" si="89"/>
        <v>109.94215647858518</v>
      </c>
      <c r="N86">
        <f t="shared" ca="1" si="89"/>
        <v>112.04040976980167</v>
      </c>
      <c r="O86">
        <f t="shared" ca="1" si="89"/>
        <v>120.85258873432035</v>
      </c>
      <c r="P86">
        <f t="shared" ca="1" si="89"/>
        <v>126.11278823376887</v>
      </c>
      <c r="Q86">
        <f t="shared" ca="1" si="72"/>
        <v>109.59728285613325</v>
      </c>
      <c r="R86">
        <f t="shared" ca="1" si="73"/>
        <v>9.5972828561332477</v>
      </c>
      <c r="S86">
        <f t="shared" ca="1" si="74"/>
        <v>9.1292178480101978</v>
      </c>
    </row>
    <row r="87" spans="5:19" x14ac:dyDescent="0.75">
      <c r="E87">
        <v>82</v>
      </c>
      <c r="F87">
        <v>100</v>
      </c>
      <c r="G87">
        <f t="shared" ca="1" si="70"/>
        <v>91.716824905006902</v>
      </c>
      <c r="H87">
        <f t="shared" ca="1" si="70"/>
        <v>94.483989963505834</v>
      </c>
      <c r="I87">
        <f t="shared" ca="1" si="70"/>
        <v>104.16124551410618</v>
      </c>
      <c r="J87">
        <f t="shared" ca="1" si="70"/>
        <v>96.009144762078478</v>
      </c>
      <c r="K87">
        <f t="shared" ref="K87:P87" ca="1" si="90">J87*EXP(($C$4-0.5*$C$5^2)*$C$10+$C$5*SQRT($C$10)*NORMINV(RAND(),0,1))</f>
        <v>90.499303944429954</v>
      </c>
      <c r="L87">
        <f t="shared" ca="1" si="90"/>
        <v>93.97814007563953</v>
      </c>
      <c r="M87">
        <f t="shared" ca="1" si="90"/>
        <v>96.644952356753592</v>
      </c>
      <c r="N87">
        <f t="shared" ca="1" si="90"/>
        <v>98.817482161848517</v>
      </c>
      <c r="O87">
        <f t="shared" ca="1" si="90"/>
        <v>100.77938057554915</v>
      </c>
      <c r="P87">
        <f t="shared" ca="1" si="90"/>
        <v>91.477649973922951</v>
      </c>
      <c r="Q87">
        <f t="shared" ca="1" si="72"/>
        <v>96.233464930258279</v>
      </c>
      <c r="R87">
        <f t="shared" ca="1" si="73"/>
        <v>0</v>
      </c>
      <c r="S87">
        <f t="shared" ca="1" si="74"/>
        <v>0</v>
      </c>
    </row>
    <row r="88" spans="5:19" x14ac:dyDescent="0.75">
      <c r="E88">
        <v>83</v>
      </c>
      <c r="F88">
        <v>100</v>
      </c>
      <c r="G88">
        <f t="shared" ca="1" si="70"/>
        <v>106.85408797999499</v>
      </c>
      <c r="H88">
        <f t="shared" ca="1" si="70"/>
        <v>105.85336686444921</v>
      </c>
      <c r="I88">
        <f t="shared" ca="1" si="70"/>
        <v>106.02148683379193</v>
      </c>
      <c r="J88">
        <f t="shared" ca="1" si="70"/>
        <v>99.244462464203906</v>
      </c>
      <c r="K88">
        <f t="shared" ref="K88:P88" ca="1" si="91">J88*EXP(($C$4-0.5*$C$5^2)*$C$10+$C$5*SQRT($C$10)*NORMINV(RAND(),0,1))</f>
        <v>90.788228316978604</v>
      </c>
      <c r="L88">
        <f t="shared" ca="1" si="91"/>
        <v>83.758549408524601</v>
      </c>
      <c r="M88">
        <f t="shared" ca="1" si="91"/>
        <v>89.094524679237438</v>
      </c>
      <c r="N88">
        <f t="shared" ca="1" si="91"/>
        <v>96.747633402451569</v>
      </c>
      <c r="O88">
        <f t="shared" ca="1" si="91"/>
        <v>103.64142484148906</v>
      </c>
      <c r="P88">
        <f t="shared" ca="1" si="91"/>
        <v>102.21743175955481</v>
      </c>
      <c r="Q88">
        <f t="shared" ca="1" si="72"/>
        <v>98.565563322788734</v>
      </c>
      <c r="R88">
        <f t="shared" ca="1" si="73"/>
        <v>0</v>
      </c>
      <c r="S88">
        <f t="shared" ca="1" si="74"/>
        <v>0</v>
      </c>
    </row>
    <row r="89" spans="5:19" x14ac:dyDescent="0.75">
      <c r="E89">
        <v>84</v>
      </c>
      <c r="F89">
        <v>100</v>
      </c>
      <c r="G89">
        <f t="shared" ca="1" si="70"/>
        <v>97.013434049600065</v>
      </c>
      <c r="H89">
        <f t="shared" ca="1" si="70"/>
        <v>96.186055876451405</v>
      </c>
      <c r="I89">
        <f t="shared" ca="1" si="70"/>
        <v>96.412314185080106</v>
      </c>
      <c r="J89">
        <f t="shared" ca="1" si="70"/>
        <v>93.401570120928795</v>
      </c>
      <c r="K89">
        <f t="shared" ref="K89:P89" ca="1" si="92">J89*EXP(($C$4-0.5*$C$5^2)*$C$10+$C$5*SQRT($C$10)*NORMINV(RAND(),0,1))</f>
        <v>89.700160616401732</v>
      </c>
      <c r="L89">
        <f t="shared" ca="1" si="92"/>
        <v>79.832874403237071</v>
      </c>
      <c r="M89">
        <f t="shared" ca="1" si="92"/>
        <v>89.940611495329904</v>
      </c>
      <c r="N89">
        <f t="shared" ca="1" si="92"/>
        <v>90.175093740084222</v>
      </c>
      <c r="O89">
        <f t="shared" ca="1" si="92"/>
        <v>80.488878013476906</v>
      </c>
      <c r="P89">
        <f t="shared" ca="1" si="92"/>
        <v>81.008464960483394</v>
      </c>
      <c r="Q89">
        <f t="shared" ca="1" si="72"/>
        <v>90.378132496461234</v>
      </c>
      <c r="R89">
        <f t="shared" ca="1" si="73"/>
        <v>0</v>
      </c>
      <c r="S89">
        <f t="shared" ca="1" si="74"/>
        <v>0</v>
      </c>
    </row>
    <row r="90" spans="5:19" x14ac:dyDescent="0.75">
      <c r="E90">
        <v>85</v>
      </c>
      <c r="F90">
        <v>100</v>
      </c>
      <c r="G90">
        <f t="shared" ca="1" si="70"/>
        <v>111.92142610582169</v>
      </c>
      <c r="H90">
        <f t="shared" ca="1" si="70"/>
        <v>111.2896428254884</v>
      </c>
      <c r="I90">
        <f t="shared" ca="1" si="70"/>
        <v>109.82347333866301</v>
      </c>
      <c r="J90">
        <f t="shared" ca="1" si="70"/>
        <v>96.551980798710261</v>
      </c>
      <c r="K90">
        <f t="shared" ref="K90:P90" ca="1" si="93">J90*EXP(($C$4-0.5*$C$5^2)*$C$10+$C$5*SQRT($C$10)*NORMINV(RAND(),0,1))</f>
        <v>97.025802724058209</v>
      </c>
      <c r="L90">
        <f t="shared" ca="1" si="93"/>
        <v>98.331849624543139</v>
      </c>
      <c r="M90">
        <f t="shared" ca="1" si="93"/>
        <v>109.08322312343937</v>
      </c>
      <c r="N90">
        <f t="shared" ca="1" si="93"/>
        <v>108.0236694568048</v>
      </c>
      <c r="O90">
        <f t="shared" ca="1" si="93"/>
        <v>113.26291425315708</v>
      </c>
      <c r="P90">
        <f t="shared" ca="1" si="93"/>
        <v>99.916913905256735</v>
      </c>
      <c r="Q90">
        <f t="shared" ca="1" si="72"/>
        <v>105.02099055963116</v>
      </c>
      <c r="R90">
        <f t="shared" ca="1" si="73"/>
        <v>5.0209905596311586</v>
      </c>
      <c r="S90">
        <f t="shared" ca="1" si="74"/>
        <v>4.7761139604614646</v>
      </c>
    </row>
    <row r="91" spans="5:19" x14ac:dyDescent="0.75">
      <c r="E91">
        <v>86</v>
      </c>
      <c r="F91">
        <v>100</v>
      </c>
      <c r="G91">
        <f t="shared" ca="1" si="70"/>
        <v>108.13471874456573</v>
      </c>
      <c r="H91">
        <f t="shared" ca="1" si="70"/>
        <v>95.829428608576919</v>
      </c>
      <c r="I91">
        <f t="shared" ca="1" si="70"/>
        <v>86.960872081594971</v>
      </c>
      <c r="J91">
        <f t="shared" ca="1" si="70"/>
        <v>85.229896070134998</v>
      </c>
      <c r="K91">
        <f t="shared" ref="K91:P91" ca="1" si="94">J91*EXP(($C$4-0.5*$C$5^2)*$C$10+$C$5*SQRT($C$10)*NORMINV(RAND(),0,1))</f>
        <v>80.310538517664725</v>
      </c>
      <c r="L91">
        <f t="shared" ca="1" si="94"/>
        <v>68.861775868801587</v>
      </c>
      <c r="M91">
        <f t="shared" ca="1" si="94"/>
        <v>72.209039043134027</v>
      </c>
      <c r="N91">
        <f t="shared" ca="1" si="94"/>
        <v>83.918295965552687</v>
      </c>
      <c r="O91">
        <f t="shared" ca="1" si="94"/>
        <v>79.772253508893499</v>
      </c>
      <c r="P91">
        <f t="shared" ca="1" si="94"/>
        <v>91.35503452762643</v>
      </c>
      <c r="Q91">
        <f t="shared" ca="1" si="72"/>
        <v>86.598350266958704</v>
      </c>
      <c r="R91">
        <f t="shared" ca="1" si="73"/>
        <v>0</v>
      </c>
      <c r="S91">
        <f t="shared" ca="1" si="74"/>
        <v>0</v>
      </c>
    </row>
    <row r="92" spans="5:19" x14ac:dyDescent="0.75">
      <c r="E92">
        <v>87</v>
      </c>
      <c r="F92">
        <v>100</v>
      </c>
      <c r="G92">
        <f t="shared" ca="1" si="70"/>
        <v>106.89176168618286</v>
      </c>
      <c r="H92">
        <f t="shared" ca="1" si="70"/>
        <v>96.726928280548748</v>
      </c>
      <c r="I92">
        <f t="shared" ca="1" si="70"/>
        <v>98.012146881892519</v>
      </c>
      <c r="J92">
        <f t="shared" ca="1" si="70"/>
        <v>97.142517835173052</v>
      </c>
      <c r="K92">
        <f t="shared" ref="K92:P92" ca="1" si="95">J92*EXP(($C$4-0.5*$C$5^2)*$C$10+$C$5*SQRT($C$10)*NORMINV(RAND(),0,1))</f>
        <v>100.78402964571916</v>
      </c>
      <c r="L92">
        <f t="shared" ca="1" si="95"/>
        <v>112.57260226386769</v>
      </c>
      <c r="M92">
        <f t="shared" ca="1" si="95"/>
        <v>109.84784879082484</v>
      </c>
      <c r="N92">
        <f t="shared" ca="1" si="95"/>
        <v>105.31674176660704</v>
      </c>
      <c r="O92">
        <f t="shared" ca="1" si="95"/>
        <v>108.47418769417105</v>
      </c>
      <c r="P92">
        <f t="shared" ca="1" si="95"/>
        <v>103.74368202347674</v>
      </c>
      <c r="Q92">
        <f t="shared" ca="1" si="72"/>
        <v>103.5920406244058</v>
      </c>
      <c r="R92">
        <f t="shared" ca="1" si="73"/>
        <v>3.5920406244057972</v>
      </c>
      <c r="S92">
        <f t="shared" ca="1" si="74"/>
        <v>3.4168547359367119</v>
      </c>
    </row>
    <row r="93" spans="5:19" x14ac:dyDescent="0.75">
      <c r="E93">
        <v>88</v>
      </c>
      <c r="F93">
        <v>100</v>
      </c>
      <c r="G93">
        <f t="shared" ca="1" si="70"/>
        <v>102.43387948425806</v>
      </c>
      <c r="H93">
        <f t="shared" ca="1" si="70"/>
        <v>104.84080995195762</v>
      </c>
      <c r="I93">
        <f t="shared" ca="1" si="70"/>
        <v>101.15598744285946</v>
      </c>
      <c r="J93">
        <f t="shared" ca="1" si="70"/>
        <v>99.770911407400149</v>
      </c>
      <c r="K93">
        <f t="shared" ref="K93:P93" ca="1" si="96">J93*EXP(($C$4-0.5*$C$5^2)*$C$10+$C$5*SQRT($C$10)*NORMINV(RAND(),0,1))</f>
        <v>92.337010165400116</v>
      </c>
      <c r="L93">
        <f t="shared" ca="1" si="96"/>
        <v>92.302576882470191</v>
      </c>
      <c r="M93">
        <f t="shared" ca="1" si="96"/>
        <v>83.29921642116409</v>
      </c>
      <c r="N93">
        <f t="shared" ca="1" si="96"/>
        <v>83.554215684678937</v>
      </c>
      <c r="O93">
        <f t="shared" ca="1" si="96"/>
        <v>83.781596905813942</v>
      </c>
      <c r="P93">
        <f t="shared" ca="1" si="96"/>
        <v>80.535527711866465</v>
      </c>
      <c r="Q93">
        <f t="shared" ca="1" si="72"/>
        <v>93.091975641624458</v>
      </c>
      <c r="R93">
        <f t="shared" ca="1" si="73"/>
        <v>0</v>
      </c>
      <c r="S93">
        <f t="shared" ca="1" si="74"/>
        <v>0</v>
      </c>
    </row>
    <row r="94" spans="5:19" x14ac:dyDescent="0.75">
      <c r="E94">
        <v>89</v>
      </c>
      <c r="F94">
        <v>100</v>
      </c>
      <c r="G94">
        <f t="shared" ca="1" si="70"/>
        <v>98.849460515905491</v>
      </c>
      <c r="H94">
        <f t="shared" ca="1" si="70"/>
        <v>104.08101018638438</v>
      </c>
      <c r="I94">
        <f t="shared" ca="1" si="70"/>
        <v>108.81352553372885</v>
      </c>
      <c r="J94">
        <f t="shared" ca="1" si="70"/>
        <v>111.83476315217035</v>
      </c>
      <c r="K94">
        <f t="shared" ref="K94:P94" ca="1" si="97">J94*EXP(($C$4-0.5*$C$5^2)*$C$10+$C$5*SQRT($C$10)*NORMINV(RAND(),0,1))</f>
        <v>116.24383425489141</v>
      </c>
      <c r="L94">
        <f t="shared" ca="1" si="97"/>
        <v>122.83936116147834</v>
      </c>
      <c r="M94">
        <f t="shared" ca="1" si="97"/>
        <v>126.01930974693487</v>
      </c>
      <c r="N94">
        <f t="shared" ca="1" si="97"/>
        <v>126.92944195207996</v>
      </c>
      <c r="O94">
        <f t="shared" ca="1" si="97"/>
        <v>122.15125949918286</v>
      </c>
      <c r="P94">
        <f t="shared" ca="1" si="97"/>
        <v>118.78164028070753</v>
      </c>
      <c r="Q94">
        <f t="shared" ca="1" si="72"/>
        <v>114.23123693486038</v>
      </c>
      <c r="R94">
        <f t="shared" ca="1" si="73"/>
        <v>14.231236934860377</v>
      </c>
      <c r="S94">
        <f t="shared" ca="1" si="74"/>
        <v>13.537171319480541</v>
      </c>
    </row>
    <row r="95" spans="5:19" x14ac:dyDescent="0.75">
      <c r="E95">
        <v>90</v>
      </c>
      <c r="F95">
        <v>100</v>
      </c>
      <c r="G95">
        <f t="shared" ca="1" si="70"/>
        <v>98.823294227941332</v>
      </c>
      <c r="H95">
        <f t="shared" ca="1" si="70"/>
        <v>101.23465207791403</v>
      </c>
      <c r="I95">
        <f t="shared" ca="1" si="70"/>
        <v>105.50966477246804</v>
      </c>
      <c r="J95">
        <f t="shared" ca="1" si="70"/>
        <v>109.45845382986155</v>
      </c>
      <c r="K95">
        <f t="shared" ref="K95:P95" ca="1" si="98">J95*EXP(($C$4-0.5*$C$5^2)*$C$10+$C$5*SQRT($C$10)*NORMINV(RAND(),0,1))</f>
        <v>102.62891363409081</v>
      </c>
      <c r="L95">
        <f t="shared" ca="1" si="98"/>
        <v>106.04319951969207</v>
      </c>
      <c r="M95">
        <f t="shared" ca="1" si="98"/>
        <v>105.85060518392912</v>
      </c>
      <c r="N95">
        <f t="shared" ca="1" si="98"/>
        <v>109.80121087758589</v>
      </c>
      <c r="O95">
        <f t="shared" ca="1" si="98"/>
        <v>106.35237591958418</v>
      </c>
      <c r="P95">
        <f t="shared" ca="1" si="98"/>
        <v>116.89868248060418</v>
      </c>
      <c r="Q95">
        <f t="shared" ca="1" si="72"/>
        <v>105.69100477487919</v>
      </c>
      <c r="R95">
        <f t="shared" ca="1" si="73"/>
        <v>5.6910047748791897</v>
      </c>
      <c r="S95">
        <f t="shared" ca="1" si="74"/>
        <v>5.413451196839147</v>
      </c>
    </row>
    <row r="96" spans="5:19" x14ac:dyDescent="0.75">
      <c r="E96">
        <v>91</v>
      </c>
      <c r="F96">
        <v>100</v>
      </c>
      <c r="G96">
        <f t="shared" ca="1" si="70"/>
        <v>98.780350839230437</v>
      </c>
      <c r="H96">
        <f t="shared" ca="1" si="70"/>
        <v>112.15473506749215</v>
      </c>
      <c r="I96">
        <f t="shared" ca="1" si="70"/>
        <v>104.49631781969747</v>
      </c>
      <c r="J96">
        <f t="shared" ca="1" si="70"/>
        <v>108.99300654259287</v>
      </c>
      <c r="K96">
        <f t="shared" ref="K96:P96" ca="1" si="99">J96*EXP(($C$4-0.5*$C$5^2)*$C$10+$C$5*SQRT($C$10)*NORMINV(RAND(),0,1))</f>
        <v>112.21894078667191</v>
      </c>
      <c r="L96">
        <f t="shared" ca="1" si="99"/>
        <v>94.575848468903715</v>
      </c>
      <c r="M96">
        <f t="shared" ca="1" si="99"/>
        <v>93.920803465788396</v>
      </c>
      <c r="N96">
        <f t="shared" ca="1" si="99"/>
        <v>109.14838811880517</v>
      </c>
      <c r="O96">
        <f t="shared" ca="1" si="99"/>
        <v>107.35284663830879</v>
      </c>
      <c r="P96">
        <f t="shared" ca="1" si="99"/>
        <v>98.285456458806294</v>
      </c>
      <c r="Q96">
        <f t="shared" ca="1" si="72"/>
        <v>103.62969947329975</v>
      </c>
      <c r="R96">
        <f t="shared" ca="1" si="73"/>
        <v>3.6296994732997518</v>
      </c>
      <c r="S96">
        <f t="shared" ca="1" si="74"/>
        <v>3.4526769410974678</v>
      </c>
    </row>
    <row r="97" spans="5:19" x14ac:dyDescent="0.75">
      <c r="E97">
        <v>92</v>
      </c>
      <c r="F97">
        <v>100</v>
      </c>
      <c r="G97">
        <f t="shared" ca="1" si="70"/>
        <v>91.861399798689604</v>
      </c>
      <c r="H97">
        <f t="shared" ca="1" si="70"/>
        <v>95.447808614052718</v>
      </c>
      <c r="I97">
        <f t="shared" ca="1" si="70"/>
        <v>92.3925427913817</v>
      </c>
      <c r="J97">
        <f t="shared" ca="1" si="70"/>
        <v>97.329977091294282</v>
      </c>
      <c r="K97">
        <f t="shared" ref="K97:P97" ca="1" si="100">J97*EXP(($C$4-0.5*$C$5^2)*$C$10+$C$5*SQRT($C$10)*NORMINV(RAND(),0,1))</f>
        <v>92.510765234974201</v>
      </c>
      <c r="L97">
        <f t="shared" ca="1" si="100"/>
        <v>100.42583487180676</v>
      </c>
      <c r="M97">
        <f t="shared" ca="1" si="100"/>
        <v>92.182488434823398</v>
      </c>
      <c r="N97">
        <f t="shared" ca="1" si="100"/>
        <v>104.94217023395557</v>
      </c>
      <c r="O97">
        <f t="shared" ca="1" si="100"/>
        <v>99.371775858509324</v>
      </c>
      <c r="P97">
        <f t="shared" ca="1" si="100"/>
        <v>98.935480766140529</v>
      </c>
      <c r="Q97">
        <f t="shared" ca="1" si="72"/>
        <v>96.854567608693458</v>
      </c>
      <c r="R97">
        <f t="shared" ca="1" si="73"/>
        <v>0</v>
      </c>
      <c r="S97">
        <f t="shared" ca="1" si="74"/>
        <v>0</v>
      </c>
    </row>
    <row r="98" spans="5:19" x14ac:dyDescent="0.75">
      <c r="E98">
        <v>93</v>
      </c>
      <c r="F98">
        <v>100</v>
      </c>
      <c r="G98">
        <f t="shared" ca="1" si="70"/>
        <v>94.007771655579376</v>
      </c>
      <c r="H98">
        <f t="shared" ca="1" si="70"/>
        <v>90.984114205111965</v>
      </c>
      <c r="I98">
        <f t="shared" ca="1" si="70"/>
        <v>85.064418997802179</v>
      </c>
      <c r="J98">
        <f t="shared" ca="1" si="70"/>
        <v>86.310662627015247</v>
      </c>
      <c r="K98">
        <f t="shared" ref="K98:P98" ca="1" si="101">J98*EXP(($C$4-0.5*$C$5^2)*$C$10+$C$5*SQRT($C$10)*NORMINV(RAND(),0,1))</f>
        <v>82.192030341488405</v>
      </c>
      <c r="L98">
        <f t="shared" ca="1" si="101"/>
        <v>84.829318828483935</v>
      </c>
      <c r="M98">
        <f t="shared" ca="1" si="101"/>
        <v>80.965633335440401</v>
      </c>
      <c r="N98">
        <f t="shared" ca="1" si="101"/>
        <v>87.238381443456049</v>
      </c>
      <c r="O98">
        <f t="shared" ca="1" si="101"/>
        <v>89.769103100462019</v>
      </c>
      <c r="P98">
        <f t="shared" ca="1" si="101"/>
        <v>83.021784022848095</v>
      </c>
      <c r="Q98">
        <f t="shared" ca="1" si="72"/>
        <v>87.671201687062521</v>
      </c>
      <c r="R98">
        <f t="shared" ca="1" si="73"/>
        <v>0</v>
      </c>
      <c r="S98">
        <f t="shared" ca="1" si="74"/>
        <v>0</v>
      </c>
    </row>
    <row r="99" spans="5:19" x14ac:dyDescent="0.75">
      <c r="E99">
        <v>94</v>
      </c>
      <c r="F99">
        <v>100</v>
      </c>
      <c r="G99">
        <f t="shared" ca="1" si="70"/>
        <v>106.04239890342544</v>
      </c>
      <c r="H99">
        <f t="shared" ca="1" si="70"/>
        <v>104.15544861289635</v>
      </c>
      <c r="I99">
        <f t="shared" ca="1" si="70"/>
        <v>99.214483550380493</v>
      </c>
      <c r="J99">
        <f t="shared" ca="1" si="70"/>
        <v>100.23936124235617</v>
      </c>
      <c r="K99">
        <f t="shared" ref="K99:P99" ca="1" si="102">J99*EXP(($C$4-0.5*$C$5^2)*$C$10+$C$5*SQRT($C$10)*NORMINV(RAND(),0,1))</f>
        <v>107.55657542867444</v>
      </c>
      <c r="L99">
        <f t="shared" ca="1" si="102"/>
        <v>114.7112500937294</v>
      </c>
      <c r="M99">
        <f t="shared" ca="1" si="102"/>
        <v>120.99702898692475</v>
      </c>
      <c r="N99">
        <f t="shared" ca="1" si="102"/>
        <v>120.76371472796102</v>
      </c>
      <c r="O99">
        <f t="shared" ca="1" si="102"/>
        <v>125.68571309298672</v>
      </c>
      <c r="P99">
        <f t="shared" ca="1" si="102"/>
        <v>126.32668346066127</v>
      </c>
      <c r="Q99">
        <f t="shared" ca="1" si="72"/>
        <v>111.42660528181783</v>
      </c>
      <c r="R99">
        <f t="shared" ca="1" si="73"/>
        <v>11.426605281817828</v>
      </c>
      <c r="S99">
        <f t="shared" ca="1" si="74"/>
        <v>10.869323166220392</v>
      </c>
    </row>
    <row r="100" spans="5:19" x14ac:dyDescent="0.75">
      <c r="E100">
        <v>95</v>
      </c>
      <c r="F100">
        <v>100</v>
      </c>
      <c r="G100">
        <f t="shared" ca="1" si="70"/>
        <v>91.559785124336642</v>
      </c>
      <c r="H100">
        <f t="shared" ca="1" si="70"/>
        <v>90.334030119924023</v>
      </c>
      <c r="I100">
        <f t="shared" ca="1" si="70"/>
        <v>91.682605613728967</v>
      </c>
      <c r="J100">
        <f t="shared" ca="1" si="70"/>
        <v>89.986529606781218</v>
      </c>
      <c r="K100">
        <f t="shared" ref="K100:P100" ca="1" si="103">J100*EXP(($C$4-0.5*$C$5^2)*$C$10+$C$5*SQRT($C$10)*NORMINV(RAND(),0,1))</f>
        <v>99.137763249051844</v>
      </c>
      <c r="L100">
        <f t="shared" ca="1" si="103"/>
        <v>107.2829978203533</v>
      </c>
      <c r="M100">
        <f t="shared" ca="1" si="103"/>
        <v>114.66773500371001</v>
      </c>
      <c r="N100">
        <f t="shared" ca="1" si="103"/>
        <v>120.90216154429851</v>
      </c>
      <c r="O100">
        <f t="shared" ca="1" si="103"/>
        <v>113.96925300091519</v>
      </c>
      <c r="P100">
        <f t="shared" ca="1" si="103"/>
        <v>98.629824811640589</v>
      </c>
      <c r="Q100">
        <f t="shared" ca="1" si="72"/>
        <v>101.65024417224913</v>
      </c>
      <c r="R100">
        <f t="shared" ca="1" si="73"/>
        <v>1.6502441722491312</v>
      </c>
      <c r="S100">
        <f t="shared" ca="1" si="74"/>
        <v>1.5697608142541983</v>
      </c>
    </row>
    <row r="101" spans="5:19" x14ac:dyDescent="0.75">
      <c r="E101">
        <v>96</v>
      </c>
      <c r="F101">
        <v>100</v>
      </c>
      <c r="G101">
        <f t="shared" ca="1" si="70"/>
        <v>99.610267137120516</v>
      </c>
      <c r="H101">
        <f t="shared" ca="1" si="70"/>
        <v>112.84725139560415</v>
      </c>
      <c r="I101">
        <f t="shared" ca="1" si="70"/>
        <v>125.10296123292083</v>
      </c>
      <c r="J101">
        <f t="shared" ca="1" si="70"/>
        <v>131.76335325994918</v>
      </c>
      <c r="K101">
        <f t="shared" ref="K101:P101" ca="1" si="104">J101*EXP(($C$4-0.5*$C$5^2)*$C$10+$C$5*SQRT($C$10)*NORMINV(RAND(),0,1))</f>
        <v>144.54782726042413</v>
      </c>
      <c r="L101">
        <f t="shared" ca="1" si="104"/>
        <v>144.84706159122743</v>
      </c>
      <c r="M101">
        <f t="shared" ca="1" si="104"/>
        <v>148.7464911656318</v>
      </c>
      <c r="N101">
        <f t="shared" ca="1" si="104"/>
        <v>145.5148518476372</v>
      </c>
      <c r="O101">
        <f t="shared" ca="1" si="104"/>
        <v>149.05276001864826</v>
      </c>
      <c r="P101">
        <f t="shared" ca="1" si="104"/>
        <v>156.8101510129668</v>
      </c>
      <c r="Q101">
        <f t="shared" ca="1" si="72"/>
        <v>132.62208872019366</v>
      </c>
      <c r="R101">
        <f t="shared" ca="1" si="73"/>
        <v>32.622088720193659</v>
      </c>
      <c r="S101">
        <f t="shared" ca="1" si="74"/>
        <v>31.03109067932105</v>
      </c>
    </row>
    <row r="102" spans="5:19" x14ac:dyDescent="0.75">
      <c r="E102">
        <v>97</v>
      </c>
      <c r="F102">
        <v>100</v>
      </c>
      <c r="G102">
        <f t="shared" ca="1" si="70"/>
        <v>104.26963018317387</v>
      </c>
      <c r="H102">
        <f t="shared" ca="1" si="70"/>
        <v>101.95675371076761</v>
      </c>
      <c r="I102">
        <f t="shared" ca="1" si="70"/>
        <v>113.05273146542423</v>
      </c>
      <c r="J102">
        <f t="shared" ca="1" si="70"/>
        <v>118.19153137142959</v>
      </c>
      <c r="K102">
        <f t="shared" ref="K102:P102" ca="1" si="105">J102*EXP(($C$4-0.5*$C$5^2)*$C$10+$C$5*SQRT($C$10)*NORMINV(RAND(),0,1))</f>
        <v>127.94977540973491</v>
      </c>
      <c r="L102">
        <f t="shared" ca="1" si="105"/>
        <v>133.7729799562203</v>
      </c>
      <c r="M102">
        <f t="shared" ca="1" si="105"/>
        <v>140.39584251814378</v>
      </c>
      <c r="N102">
        <f t="shared" ca="1" si="105"/>
        <v>149.26291968462962</v>
      </c>
      <c r="O102">
        <f t="shared" ca="1" si="105"/>
        <v>167.55540142085823</v>
      </c>
      <c r="P102">
        <f t="shared" ca="1" si="105"/>
        <v>170.30639426525315</v>
      </c>
      <c r="Q102">
        <f t="shared" ca="1" si="72"/>
        <v>129.70126908960322</v>
      </c>
      <c r="R102">
        <f t="shared" ca="1" si="73"/>
        <v>29.701269089603215</v>
      </c>
      <c r="S102">
        <f t="shared" ca="1" si="74"/>
        <v>28.252721103044113</v>
      </c>
    </row>
    <row r="103" spans="5:19" x14ac:dyDescent="0.75">
      <c r="E103">
        <v>98</v>
      </c>
      <c r="F103">
        <v>100</v>
      </c>
      <c r="G103">
        <f t="shared" ca="1" si="70"/>
        <v>106.27979486532068</v>
      </c>
      <c r="H103">
        <f t="shared" ca="1" si="70"/>
        <v>115.09781921868031</v>
      </c>
      <c r="I103">
        <f t="shared" ca="1" si="70"/>
        <v>113.61937518088119</v>
      </c>
      <c r="J103">
        <f t="shared" ca="1" si="70"/>
        <v>110.61813845091268</v>
      </c>
      <c r="K103">
        <f t="shared" ref="K103:P103" ca="1" si="106">J103*EXP(($C$4-0.5*$C$5^2)*$C$10+$C$5*SQRT($C$10)*NORMINV(RAND(),0,1))</f>
        <v>123.20592498216028</v>
      </c>
      <c r="L103">
        <f t="shared" ca="1" si="106"/>
        <v>116.2415635972371</v>
      </c>
      <c r="M103">
        <f t="shared" ca="1" si="106"/>
        <v>111.46917528853308</v>
      </c>
      <c r="N103">
        <f t="shared" ca="1" si="106"/>
        <v>119.90156098433873</v>
      </c>
      <c r="O103">
        <f t="shared" ca="1" si="106"/>
        <v>110.42254319953977</v>
      </c>
      <c r="P103">
        <f t="shared" ca="1" si="106"/>
        <v>111.76792842307835</v>
      </c>
      <c r="Q103">
        <f t="shared" ca="1" si="72"/>
        <v>112.60216583551656</v>
      </c>
      <c r="R103">
        <f t="shared" ca="1" si="73"/>
        <v>12.602165835516558</v>
      </c>
      <c r="S103">
        <f t="shared" ca="1" si="74"/>
        <v>11.987550955180975</v>
      </c>
    </row>
    <row r="104" spans="5:19" x14ac:dyDescent="0.75">
      <c r="E104">
        <v>99</v>
      </c>
      <c r="F104">
        <v>100</v>
      </c>
      <c r="G104">
        <f t="shared" ca="1" si="70"/>
        <v>103.12304809809991</v>
      </c>
      <c r="H104">
        <f t="shared" ca="1" si="70"/>
        <v>102.22784101780326</v>
      </c>
      <c r="I104">
        <f t="shared" ca="1" si="70"/>
        <v>101.205265727875</v>
      </c>
      <c r="J104">
        <f t="shared" ca="1" si="70"/>
        <v>100.73102767408679</v>
      </c>
      <c r="K104">
        <f t="shared" ref="K104:P104" ca="1" si="107">J104*EXP(($C$4-0.5*$C$5^2)*$C$10+$C$5*SQRT($C$10)*NORMINV(RAND(),0,1))</f>
        <v>94.624305959126815</v>
      </c>
      <c r="L104">
        <f t="shared" ca="1" si="107"/>
        <v>94.468402272699279</v>
      </c>
      <c r="M104">
        <f t="shared" ca="1" si="107"/>
        <v>88.898698071575765</v>
      </c>
      <c r="N104">
        <f t="shared" ca="1" si="107"/>
        <v>93.075847729933173</v>
      </c>
      <c r="O104">
        <f t="shared" ca="1" si="107"/>
        <v>91.706365126990462</v>
      </c>
      <c r="P104">
        <f t="shared" ca="1" si="107"/>
        <v>86.276704396026403</v>
      </c>
      <c r="Q104">
        <f t="shared" ca="1" si="72"/>
        <v>96.030682370383332</v>
      </c>
      <c r="R104">
        <f t="shared" ca="1" si="73"/>
        <v>0</v>
      </c>
      <c r="S104">
        <f t="shared" ca="1" si="74"/>
        <v>0</v>
      </c>
    </row>
    <row r="105" spans="5:19" x14ac:dyDescent="0.75">
      <c r="E105">
        <v>100</v>
      </c>
      <c r="F105">
        <v>100</v>
      </c>
      <c r="G105">
        <f t="shared" ca="1" si="70"/>
        <v>105.98540377990264</v>
      </c>
      <c r="H105">
        <f t="shared" ca="1" si="70"/>
        <v>94.893615983224819</v>
      </c>
      <c r="I105">
        <f t="shared" ca="1" si="70"/>
        <v>90.506642276007</v>
      </c>
      <c r="J105">
        <f t="shared" ca="1" si="70"/>
        <v>87.181534653087169</v>
      </c>
      <c r="K105">
        <f t="shared" ref="K105:P105" ca="1" si="108">J105*EXP(($C$4-0.5*$C$5^2)*$C$10+$C$5*SQRT($C$10)*NORMINV(RAND(),0,1))</f>
        <v>86.903956903163859</v>
      </c>
      <c r="L105">
        <f t="shared" ca="1" si="108"/>
        <v>99.284325718245341</v>
      </c>
      <c r="M105">
        <f t="shared" ca="1" si="108"/>
        <v>90.45446234295369</v>
      </c>
      <c r="N105">
        <f t="shared" ca="1" si="108"/>
        <v>88.061856912832454</v>
      </c>
      <c r="O105">
        <f t="shared" ca="1" si="108"/>
        <v>85.938687810205082</v>
      </c>
      <c r="P105">
        <f t="shared" ca="1" si="108"/>
        <v>85.331958609671489</v>
      </c>
      <c r="Q105">
        <f t="shared" ca="1" si="72"/>
        <v>92.231131362663049</v>
      </c>
      <c r="R105">
        <f t="shared" ca="1" si="73"/>
        <v>0</v>
      </c>
      <c r="S105">
        <f t="shared" ca="1" si="74"/>
        <v>0</v>
      </c>
    </row>
    <row r="106" spans="5:19" x14ac:dyDescent="0.75">
      <c r="E106">
        <v>101</v>
      </c>
      <c r="F106">
        <v>100</v>
      </c>
      <c r="G106">
        <f t="shared" ca="1" si="70"/>
        <v>91.050743063000013</v>
      </c>
      <c r="H106">
        <f t="shared" ca="1" si="70"/>
        <v>93.188576213945112</v>
      </c>
      <c r="I106">
        <f t="shared" ca="1" si="70"/>
        <v>93.03285979153604</v>
      </c>
      <c r="J106">
        <f t="shared" ca="1" si="70"/>
        <v>110.32007133680605</v>
      </c>
      <c r="K106">
        <f t="shared" ref="K106:P106" ca="1" si="109">J106*EXP(($C$4-0.5*$C$5^2)*$C$10+$C$5*SQRT($C$10)*NORMINV(RAND(),0,1))</f>
        <v>102.20362548389485</v>
      </c>
      <c r="L106">
        <f t="shared" ca="1" si="109"/>
        <v>100.06209848639926</v>
      </c>
      <c r="M106">
        <f t="shared" ca="1" si="109"/>
        <v>101.21900347513018</v>
      </c>
      <c r="N106">
        <f t="shared" ca="1" si="109"/>
        <v>107.02273818512413</v>
      </c>
      <c r="O106">
        <f t="shared" ca="1" si="109"/>
        <v>112.92816860146263</v>
      </c>
      <c r="P106">
        <f t="shared" ca="1" si="109"/>
        <v>112.72274572505036</v>
      </c>
      <c r="Q106">
        <f t="shared" ca="1" si="72"/>
        <v>102.15914821475896</v>
      </c>
      <c r="R106">
        <f t="shared" ca="1" si="73"/>
        <v>2.1591482147589574</v>
      </c>
      <c r="S106">
        <f t="shared" ca="1" si="74"/>
        <v>2.053845313736907</v>
      </c>
    </row>
    <row r="107" spans="5:19" x14ac:dyDescent="0.75">
      <c r="E107">
        <v>102</v>
      </c>
      <c r="F107">
        <v>100</v>
      </c>
      <c r="G107">
        <f t="shared" ca="1" si="70"/>
        <v>95.745794187779666</v>
      </c>
      <c r="H107">
        <f t="shared" ca="1" si="70"/>
        <v>103.46799464643458</v>
      </c>
      <c r="I107">
        <f t="shared" ca="1" si="70"/>
        <v>99.50474374006123</v>
      </c>
      <c r="J107">
        <f t="shared" ca="1" si="70"/>
        <v>105.64966239284929</v>
      </c>
      <c r="K107">
        <f t="shared" ref="K107:P107" ca="1" si="110">J107*EXP(($C$4-0.5*$C$5^2)*$C$10+$C$5*SQRT($C$10)*NORMINV(RAND(),0,1))</f>
        <v>103.25392509574161</v>
      </c>
      <c r="L107">
        <f t="shared" ca="1" si="110"/>
        <v>103.00955817606459</v>
      </c>
      <c r="M107">
        <f t="shared" ca="1" si="110"/>
        <v>94.773263619840023</v>
      </c>
      <c r="N107">
        <f t="shared" ca="1" si="110"/>
        <v>97.710527574087109</v>
      </c>
      <c r="O107">
        <f t="shared" ca="1" si="110"/>
        <v>114.32324403514528</v>
      </c>
      <c r="P107">
        <f t="shared" ca="1" si="110"/>
        <v>108.84612804114096</v>
      </c>
      <c r="Q107">
        <f t="shared" ca="1" si="72"/>
        <v>102.38953104628585</v>
      </c>
      <c r="R107">
        <f t="shared" ca="1" si="73"/>
        <v>2.3895310462858532</v>
      </c>
      <c r="S107">
        <f t="shared" ca="1" si="74"/>
        <v>2.2729922419850812</v>
      </c>
    </row>
    <row r="108" spans="5:19" x14ac:dyDescent="0.75">
      <c r="E108">
        <v>103</v>
      </c>
      <c r="F108">
        <v>100</v>
      </c>
      <c r="G108">
        <f t="shared" ca="1" si="70"/>
        <v>103.28851415711424</v>
      </c>
      <c r="H108">
        <f t="shared" ca="1" si="70"/>
        <v>114.4401144320008</v>
      </c>
      <c r="I108">
        <f t="shared" ca="1" si="70"/>
        <v>102.79871135752796</v>
      </c>
      <c r="J108">
        <f t="shared" ca="1" si="70"/>
        <v>98.763908830173307</v>
      </c>
      <c r="K108">
        <f t="shared" ref="K108:P108" ca="1" si="111">J108*EXP(($C$4-0.5*$C$5^2)*$C$10+$C$5*SQRT($C$10)*NORMINV(RAND(),0,1))</f>
        <v>97.69113744113713</v>
      </c>
      <c r="L108">
        <f t="shared" ca="1" si="111"/>
        <v>91.145853241920292</v>
      </c>
      <c r="M108">
        <f t="shared" ca="1" si="111"/>
        <v>88.152664530511728</v>
      </c>
      <c r="N108">
        <f t="shared" ca="1" si="111"/>
        <v>83.621796710233554</v>
      </c>
      <c r="O108">
        <f t="shared" ca="1" si="111"/>
        <v>83.741500309993327</v>
      </c>
      <c r="P108">
        <f t="shared" ca="1" si="111"/>
        <v>86.803835349179323</v>
      </c>
      <c r="Q108">
        <f t="shared" ca="1" si="72"/>
        <v>95.495276032708318</v>
      </c>
      <c r="R108">
        <f t="shared" ca="1" si="73"/>
        <v>0</v>
      </c>
      <c r="S108">
        <f t="shared" ca="1" si="74"/>
        <v>0</v>
      </c>
    </row>
    <row r="109" spans="5:19" x14ac:dyDescent="0.75">
      <c r="E109">
        <v>104</v>
      </c>
      <c r="F109">
        <v>100</v>
      </c>
      <c r="G109">
        <f t="shared" ca="1" si="70"/>
        <v>94.209782397915234</v>
      </c>
      <c r="H109">
        <f t="shared" ca="1" si="70"/>
        <v>91.89103367039931</v>
      </c>
      <c r="I109">
        <f t="shared" ca="1" si="70"/>
        <v>90.551004364076192</v>
      </c>
      <c r="J109">
        <f t="shared" ca="1" si="70"/>
        <v>88.680472175708985</v>
      </c>
      <c r="K109">
        <f t="shared" ref="K109:P109" ca="1" si="112">J109*EXP(($C$4-0.5*$C$5^2)*$C$10+$C$5*SQRT($C$10)*NORMINV(RAND(),0,1))</f>
        <v>91.047482224394329</v>
      </c>
      <c r="L109">
        <f t="shared" ca="1" si="112"/>
        <v>86.221319682646907</v>
      </c>
      <c r="M109">
        <f t="shared" ca="1" si="112"/>
        <v>89.615230690816119</v>
      </c>
      <c r="N109">
        <f t="shared" ca="1" si="112"/>
        <v>93.4917577606126</v>
      </c>
      <c r="O109">
        <f t="shared" ca="1" si="112"/>
        <v>89.43831476017742</v>
      </c>
      <c r="P109">
        <f t="shared" ca="1" si="112"/>
        <v>91.493012373052736</v>
      </c>
      <c r="Q109">
        <f t="shared" ca="1" si="72"/>
        <v>91.512673645436337</v>
      </c>
      <c r="R109">
        <f t="shared" ca="1" si="73"/>
        <v>0</v>
      </c>
      <c r="S109">
        <f t="shared" ca="1" si="74"/>
        <v>0</v>
      </c>
    </row>
    <row r="110" spans="5:19" x14ac:dyDescent="0.75">
      <c r="E110">
        <v>105</v>
      </c>
      <c r="F110">
        <v>100</v>
      </c>
      <c r="G110">
        <f t="shared" ca="1" si="70"/>
        <v>109.08687745725183</v>
      </c>
      <c r="H110">
        <f t="shared" ca="1" si="70"/>
        <v>112.82388511015779</v>
      </c>
      <c r="I110">
        <f t="shared" ca="1" si="70"/>
        <v>122.03122386647664</v>
      </c>
      <c r="J110">
        <f t="shared" ca="1" si="70"/>
        <v>120.23368219636777</v>
      </c>
      <c r="K110">
        <f t="shared" ref="K110:P110" ca="1" si="113">J110*EXP(($C$4-0.5*$C$5^2)*$C$10+$C$5*SQRT($C$10)*NORMINV(RAND(),0,1))</f>
        <v>124.83159641646208</v>
      </c>
      <c r="L110">
        <f t="shared" ca="1" si="113"/>
        <v>131.57247829619308</v>
      </c>
      <c r="M110">
        <f t="shared" ca="1" si="113"/>
        <v>137.86755966586938</v>
      </c>
      <c r="N110">
        <f t="shared" ca="1" si="113"/>
        <v>151.87202033032872</v>
      </c>
      <c r="O110">
        <f t="shared" ca="1" si="113"/>
        <v>163.01738481487385</v>
      </c>
      <c r="P110">
        <f t="shared" ca="1" si="113"/>
        <v>177.35131809751203</v>
      </c>
      <c r="Q110">
        <f t="shared" ca="1" si="72"/>
        <v>131.88072965922663</v>
      </c>
      <c r="R110">
        <f t="shared" ca="1" si="73"/>
        <v>31.880729659226631</v>
      </c>
      <c r="S110">
        <f t="shared" ca="1" si="74"/>
        <v>30.325888126408994</v>
      </c>
    </row>
    <row r="111" spans="5:19" x14ac:dyDescent="0.75">
      <c r="E111">
        <v>106</v>
      </c>
      <c r="F111">
        <v>100</v>
      </c>
      <c r="G111">
        <f t="shared" ca="1" si="70"/>
        <v>109.09223298267463</v>
      </c>
      <c r="H111">
        <f t="shared" ca="1" si="70"/>
        <v>115.63600999941249</v>
      </c>
      <c r="I111">
        <f t="shared" ca="1" si="70"/>
        <v>115.34716553307159</v>
      </c>
      <c r="J111">
        <f t="shared" ca="1" si="70"/>
        <v>119.47470894993275</v>
      </c>
      <c r="K111">
        <f t="shared" ref="K111:P111" ca="1" si="114">J111*EXP(($C$4-0.5*$C$5^2)*$C$10+$C$5*SQRT($C$10)*NORMINV(RAND(),0,1))</f>
        <v>114.56658266265713</v>
      </c>
      <c r="L111">
        <f t="shared" ca="1" si="114"/>
        <v>115.98365934892314</v>
      </c>
      <c r="M111">
        <f t="shared" ca="1" si="114"/>
        <v>119.07186678544052</v>
      </c>
      <c r="N111">
        <f t="shared" ca="1" si="114"/>
        <v>133.94616791293382</v>
      </c>
      <c r="O111">
        <f t="shared" ca="1" si="114"/>
        <v>131.50414078511395</v>
      </c>
      <c r="P111">
        <f t="shared" ca="1" si="114"/>
        <v>130.66667243067536</v>
      </c>
      <c r="Q111">
        <f t="shared" ca="1" si="72"/>
        <v>118.66265521734867</v>
      </c>
      <c r="R111">
        <f t="shared" ca="1" si="73"/>
        <v>18.662655217348671</v>
      </c>
      <c r="S111">
        <f t="shared" ca="1" si="74"/>
        <v>17.752466782053826</v>
      </c>
    </row>
    <row r="112" spans="5:19" x14ac:dyDescent="0.75">
      <c r="E112">
        <v>107</v>
      </c>
      <c r="F112">
        <v>100</v>
      </c>
      <c r="G112">
        <f t="shared" ca="1" si="70"/>
        <v>106.52607081629002</v>
      </c>
      <c r="H112">
        <f t="shared" ca="1" si="70"/>
        <v>103.9264061569891</v>
      </c>
      <c r="I112">
        <f t="shared" ca="1" si="70"/>
        <v>99.656515557984832</v>
      </c>
      <c r="J112">
        <f t="shared" ca="1" si="70"/>
        <v>101.09994647759645</v>
      </c>
      <c r="K112">
        <f t="shared" ref="K112:P112" ca="1" si="115">J112*EXP(($C$4-0.5*$C$5^2)*$C$10+$C$5*SQRT($C$10)*NORMINV(RAND(),0,1))</f>
        <v>104.34018332301952</v>
      </c>
      <c r="L112">
        <f t="shared" ca="1" si="115"/>
        <v>107.15093116916889</v>
      </c>
      <c r="M112">
        <f t="shared" ca="1" si="115"/>
        <v>102.91368208815658</v>
      </c>
      <c r="N112">
        <f t="shared" ca="1" si="115"/>
        <v>97.222727384730575</v>
      </c>
      <c r="O112">
        <f t="shared" ca="1" si="115"/>
        <v>112.11063104124442</v>
      </c>
      <c r="P112">
        <f t="shared" ca="1" si="115"/>
        <v>107.29739473285711</v>
      </c>
      <c r="Q112">
        <f t="shared" ca="1" si="72"/>
        <v>103.8404080680034</v>
      </c>
      <c r="R112">
        <f t="shared" ca="1" si="73"/>
        <v>3.8404080680033985</v>
      </c>
      <c r="S112">
        <f t="shared" ca="1" si="74"/>
        <v>3.653109156374772</v>
      </c>
    </row>
    <row r="113" spans="5:19" x14ac:dyDescent="0.75">
      <c r="E113">
        <v>108</v>
      </c>
      <c r="F113">
        <v>100</v>
      </c>
      <c r="G113">
        <f t="shared" ca="1" si="70"/>
        <v>106.2812282289193</v>
      </c>
      <c r="H113">
        <f t="shared" ca="1" si="70"/>
        <v>101.8185462756871</v>
      </c>
      <c r="I113">
        <f t="shared" ca="1" si="70"/>
        <v>97.632421456489183</v>
      </c>
      <c r="J113">
        <f t="shared" ca="1" si="70"/>
        <v>100.18285128172815</v>
      </c>
      <c r="K113">
        <f t="shared" ref="K113:P113" ca="1" si="116">J113*EXP(($C$4-0.5*$C$5^2)*$C$10+$C$5*SQRT($C$10)*NORMINV(RAND(),0,1))</f>
        <v>92.831481072331471</v>
      </c>
      <c r="L113">
        <f t="shared" ca="1" si="116"/>
        <v>89.361238529478896</v>
      </c>
      <c r="M113">
        <f t="shared" ca="1" si="116"/>
        <v>81.111234473588098</v>
      </c>
      <c r="N113">
        <f t="shared" ca="1" si="116"/>
        <v>80.226124413308966</v>
      </c>
      <c r="O113">
        <f t="shared" ca="1" si="116"/>
        <v>92.531447392234043</v>
      </c>
      <c r="P113">
        <f t="shared" ca="1" si="116"/>
        <v>92.700000773203314</v>
      </c>
      <c r="Q113">
        <f t="shared" ca="1" si="72"/>
        <v>94.061506717906227</v>
      </c>
      <c r="R113">
        <f t="shared" ca="1" si="73"/>
        <v>0</v>
      </c>
      <c r="S113">
        <f t="shared" ca="1" si="74"/>
        <v>0</v>
      </c>
    </row>
    <row r="114" spans="5:19" x14ac:dyDescent="0.75">
      <c r="E114">
        <v>109</v>
      </c>
      <c r="F114">
        <v>100</v>
      </c>
      <c r="G114">
        <f t="shared" ca="1" si="70"/>
        <v>90.3610965311548</v>
      </c>
      <c r="H114">
        <f t="shared" ca="1" si="70"/>
        <v>91.992990066114842</v>
      </c>
      <c r="I114">
        <f t="shared" ca="1" si="70"/>
        <v>94.020928597046179</v>
      </c>
      <c r="J114">
        <f t="shared" ca="1" si="70"/>
        <v>100.56698217347265</v>
      </c>
      <c r="K114">
        <f t="shared" ref="K114:P114" ca="1" si="117">J114*EXP(($C$4-0.5*$C$5^2)*$C$10+$C$5*SQRT($C$10)*NORMINV(RAND(),0,1))</f>
        <v>100.37434288327151</v>
      </c>
      <c r="L114">
        <f t="shared" ca="1" si="117"/>
        <v>103.25660902993889</v>
      </c>
      <c r="M114">
        <f t="shared" ca="1" si="117"/>
        <v>92.831139159346534</v>
      </c>
      <c r="N114">
        <f t="shared" ca="1" si="117"/>
        <v>99.852420542998146</v>
      </c>
      <c r="O114">
        <f t="shared" ca="1" si="117"/>
        <v>96.203888045587945</v>
      </c>
      <c r="P114">
        <f t="shared" ca="1" si="117"/>
        <v>99.103670134168098</v>
      </c>
      <c r="Q114">
        <f t="shared" ca="1" si="72"/>
        <v>97.142187923918158</v>
      </c>
      <c r="R114">
        <f t="shared" ca="1" si="73"/>
        <v>0</v>
      </c>
      <c r="S114">
        <f t="shared" ca="1" si="74"/>
        <v>0</v>
      </c>
    </row>
    <row r="115" spans="5:19" x14ac:dyDescent="0.75">
      <c r="E115">
        <v>110</v>
      </c>
      <c r="F115">
        <v>100</v>
      </c>
      <c r="G115">
        <f t="shared" ca="1" si="70"/>
        <v>102.05246530421942</v>
      </c>
      <c r="H115">
        <f t="shared" ca="1" si="70"/>
        <v>101.2995221345644</v>
      </c>
      <c r="I115">
        <f t="shared" ca="1" si="70"/>
        <v>101.92923574699444</v>
      </c>
      <c r="J115">
        <f t="shared" ca="1" si="70"/>
        <v>101.47282393374559</v>
      </c>
      <c r="K115">
        <f t="shared" ref="K115:P115" ca="1" si="118">J115*EXP(($C$4-0.5*$C$5^2)*$C$10+$C$5*SQRT($C$10)*NORMINV(RAND(),0,1))</f>
        <v>97.787973720594934</v>
      </c>
      <c r="L115">
        <f t="shared" ca="1" si="118"/>
        <v>101.19284059817444</v>
      </c>
      <c r="M115">
        <f t="shared" ca="1" si="118"/>
        <v>104.61735189628425</v>
      </c>
      <c r="N115">
        <f t="shared" ca="1" si="118"/>
        <v>112.71216037250274</v>
      </c>
      <c r="O115">
        <f t="shared" ca="1" si="118"/>
        <v>123.78615450718038</v>
      </c>
      <c r="P115">
        <f t="shared" ca="1" si="118"/>
        <v>124.57583132224221</v>
      </c>
      <c r="Q115">
        <f t="shared" ca="1" si="72"/>
        <v>106.49330541240934</v>
      </c>
      <c r="R115">
        <f t="shared" ca="1" si="73"/>
        <v>6.4933054124093417</v>
      </c>
      <c r="S115">
        <f t="shared" ca="1" si="74"/>
        <v>6.1766231705535093</v>
      </c>
    </row>
    <row r="116" spans="5:19" x14ac:dyDescent="0.75">
      <c r="E116">
        <v>111</v>
      </c>
      <c r="F116">
        <v>100</v>
      </c>
      <c r="G116">
        <f t="shared" ca="1" si="70"/>
        <v>95.624346920605802</v>
      </c>
      <c r="H116">
        <f t="shared" ca="1" si="70"/>
        <v>103.96454690933746</v>
      </c>
      <c r="I116">
        <f t="shared" ca="1" si="70"/>
        <v>97.895905744461061</v>
      </c>
      <c r="J116">
        <f t="shared" ca="1" si="70"/>
        <v>95.869912951343267</v>
      </c>
      <c r="K116">
        <f t="shared" ref="K116:P116" ca="1" si="119">J116*EXP(($C$4-0.5*$C$5^2)*$C$10+$C$5*SQRT($C$10)*NORMINV(RAND(),0,1))</f>
        <v>89.357864513608675</v>
      </c>
      <c r="L116">
        <f t="shared" ca="1" si="119"/>
        <v>80.493732932589225</v>
      </c>
      <c r="M116">
        <f t="shared" ca="1" si="119"/>
        <v>86.353887473824329</v>
      </c>
      <c r="N116">
        <f t="shared" ca="1" si="119"/>
        <v>96.787905877902702</v>
      </c>
      <c r="O116">
        <f t="shared" ca="1" si="119"/>
        <v>88.689410885881571</v>
      </c>
      <c r="P116">
        <f t="shared" ca="1" si="119"/>
        <v>84.881994094970139</v>
      </c>
      <c r="Q116">
        <f t="shared" ca="1" si="72"/>
        <v>92.7199553004113</v>
      </c>
      <c r="R116">
        <f t="shared" ca="1" si="73"/>
        <v>0</v>
      </c>
      <c r="S116">
        <f t="shared" ca="1" si="74"/>
        <v>0</v>
      </c>
    </row>
    <row r="117" spans="5:19" x14ac:dyDescent="0.75">
      <c r="E117">
        <v>112</v>
      </c>
      <c r="F117">
        <v>100</v>
      </c>
      <c r="G117">
        <f t="shared" ca="1" si="70"/>
        <v>104.99212702253726</v>
      </c>
      <c r="H117">
        <f t="shared" ca="1" si="70"/>
        <v>115.3080246964639</v>
      </c>
      <c r="I117">
        <f t="shared" ca="1" si="70"/>
        <v>118.26962585603387</v>
      </c>
      <c r="J117">
        <f t="shared" ca="1" si="70"/>
        <v>105.69737305283604</v>
      </c>
      <c r="K117">
        <f t="shared" ref="K117:P117" ca="1" si="120">J117*EXP(($C$4-0.5*$C$5^2)*$C$10+$C$5*SQRT($C$10)*NORMINV(RAND(),0,1))</f>
        <v>108.31000183227302</v>
      </c>
      <c r="L117">
        <f t="shared" ca="1" si="120"/>
        <v>113.15880285182783</v>
      </c>
      <c r="M117">
        <f t="shared" ca="1" si="120"/>
        <v>111.24069563966488</v>
      </c>
      <c r="N117">
        <f t="shared" ca="1" si="120"/>
        <v>101.8076045215284</v>
      </c>
      <c r="O117">
        <f t="shared" ca="1" si="120"/>
        <v>102.61675996459032</v>
      </c>
      <c r="P117">
        <f t="shared" ca="1" si="120"/>
        <v>108.74467762641788</v>
      </c>
      <c r="Q117">
        <f t="shared" ca="1" si="72"/>
        <v>108.19506300583394</v>
      </c>
      <c r="R117">
        <f t="shared" ca="1" si="73"/>
        <v>8.1950630058339442</v>
      </c>
      <c r="S117">
        <f t="shared" ca="1" si="74"/>
        <v>7.7953850667865145</v>
      </c>
    </row>
    <row r="118" spans="5:19" x14ac:dyDescent="0.75">
      <c r="E118">
        <v>113</v>
      </c>
      <c r="F118">
        <v>100</v>
      </c>
      <c r="G118">
        <f t="shared" ca="1" si="70"/>
        <v>99.961286184570426</v>
      </c>
      <c r="H118">
        <f t="shared" ca="1" si="70"/>
        <v>80.433621550829599</v>
      </c>
      <c r="I118">
        <f t="shared" ca="1" si="70"/>
        <v>82.44703346248329</v>
      </c>
      <c r="J118">
        <f t="shared" ca="1" si="70"/>
        <v>80.339048506243742</v>
      </c>
      <c r="K118">
        <f t="shared" ref="K118:P118" ca="1" si="121">J118*EXP(($C$4-0.5*$C$5^2)*$C$10+$C$5*SQRT($C$10)*NORMINV(RAND(),0,1))</f>
        <v>78.964861103633481</v>
      </c>
      <c r="L118">
        <f t="shared" ca="1" si="121"/>
        <v>78.171565065318944</v>
      </c>
      <c r="M118">
        <f t="shared" ca="1" si="121"/>
        <v>76.844784213544344</v>
      </c>
      <c r="N118">
        <f t="shared" ca="1" si="121"/>
        <v>73.022445549000707</v>
      </c>
      <c r="O118">
        <f t="shared" ca="1" si="121"/>
        <v>78.775974270827987</v>
      </c>
      <c r="P118">
        <f t="shared" ca="1" si="121"/>
        <v>68.415919656963808</v>
      </c>
      <c r="Q118">
        <f t="shared" ca="1" si="72"/>
        <v>81.57968541485603</v>
      </c>
      <c r="R118">
        <f t="shared" ca="1" si="73"/>
        <v>0</v>
      </c>
      <c r="S118">
        <f t="shared" ca="1" si="74"/>
        <v>0</v>
      </c>
    </row>
    <row r="119" spans="5:19" x14ac:dyDescent="0.75">
      <c r="E119">
        <v>114</v>
      </c>
      <c r="F119">
        <v>100</v>
      </c>
      <c r="G119">
        <f t="shared" ca="1" si="70"/>
        <v>110.32682256619772</v>
      </c>
      <c r="H119">
        <f t="shared" ca="1" si="70"/>
        <v>108.26671273895823</v>
      </c>
      <c r="I119">
        <f t="shared" ca="1" si="70"/>
        <v>93.270026812486321</v>
      </c>
      <c r="J119">
        <f t="shared" ca="1" si="70"/>
        <v>91.136058390483214</v>
      </c>
      <c r="K119">
        <f t="shared" ref="K119:P119" ca="1" si="122">J119*EXP(($C$4-0.5*$C$5^2)*$C$10+$C$5*SQRT($C$10)*NORMINV(RAND(),0,1))</f>
        <v>91.744255653332274</v>
      </c>
      <c r="L119">
        <f t="shared" ca="1" si="122"/>
        <v>93.786897350095316</v>
      </c>
      <c r="M119">
        <f t="shared" ca="1" si="122"/>
        <v>91.961259483068915</v>
      </c>
      <c r="N119">
        <f t="shared" ca="1" si="122"/>
        <v>87.469046891651644</v>
      </c>
      <c r="O119">
        <f t="shared" ca="1" si="122"/>
        <v>80.477457372316451</v>
      </c>
      <c r="P119">
        <f t="shared" ca="1" si="122"/>
        <v>85.73080239187685</v>
      </c>
      <c r="Q119">
        <f t="shared" ca="1" si="72"/>
        <v>94.0153945136788</v>
      </c>
      <c r="R119">
        <f t="shared" ca="1" si="73"/>
        <v>0</v>
      </c>
      <c r="S119">
        <f t="shared" ca="1" si="74"/>
        <v>0</v>
      </c>
    </row>
    <row r="120" spans="5:19" x14ac:dyDescent="0.75">
      <c r="E120">
        <v>115</v>
      </c>
      <c r="F120">
        <v>100</v>
      </c>
      <c r="G120">
        <f t="shared" ca="1" si="70"/>
        <v>101.44406057427638</v>
      </c>
      <c r="H120">
        <f t="shared" ca="1" si="70"/>
        <v>97.479635667639442</v>
      </c>
      <c r="I120">
        <f t="shared" ca="1" si="70"/>
        <v>92.758177608751254</v>
      </c>
      <c r="J120">
        <f t="shared" ca="1" si="70"/>
        <v>92.71608581570942</v>
      </c>
      <c r="K120">
        <f t="shared" ref="K120:P120" ca="1" si="123">J120*EXP(($C$4-0.5*$C$5^2)*$C$10+$C$5*SQRT($C$10)*NORMINV(RAND(),0,1))</f>
        <v>101.28776500551172</v>
      </c>
      <c r="L120">
        <f t="shared" ca="1" si="123"/>
        <v>101.72866205040719</v>
      </c>
      <c r="M120">
        <f t="shared" ca="1" si="123"/>
        <v>101.793060089158</v>
      </c>
      <c r="N120">
        <f t="shared" ca="1" si="123"/>
        <v>112.65033514660428</v>
      </c>
      <c r="O120">
        <f t="shared" ca="1" si="123"/>
        <v>113.33537685211766</v>
      </c>
      <c r="P120">
        <f t="shared" ca="1" si="123"/>
        <v>126.3334934241657</v>
      </c>
      <c r="Q120">
        <f t="shared" ca="1" si="72"/>
        <v>103.7751502031219</v>
      </c>
      <c r="R120">
        <f t="shared" ca="1" si="73"/>
        <v>3.7751502031218962</v>
      </c>
      <c r="S120">
        <f t="shared" ca="1" si="74"/>
        <v>3.591033955119395</v>
      </c>
    </row>
    <row r="121" spans="5:19" x14ac:dyDescent="0.75">
      <c r="E121">
        <v>116</v>
      </c>
      <c r="F121">
        <v>100</v>
      </c>
      <c r="G121">
        <f t="shared" ca="1" si="70"/>
        <v>103.74400145225388</v>
      </c>
      <c r="H121">
        <f t="shared" ca="1" si="70"/>
        <v>91.575744873001526</v>
      </c>
      <c r="I121">
        <f t="shared" ca="1" si="70"/>
        <v>92.582346395963285</v>
      </c>
      <c r="J121">
        <f t="shared" ca="1" si="70"/>
        <v>87.522642310086908</v>
      </c>
      <c r="K121">
        <f t="shared" ref="K121:P121" ca="1" si="124">J121*EXP(($C$4-0.5*$C$5^2)*$C$10+$C$5*SQRT($C$10)*NORMINV(RAND(),0,1))</f>
        <v>90.777548975077465</v>
      </c>
      <c r="L121">
        <f t="shared" ca="1" si="124"/>
        <v>88.274427840267663</v>
      </c>
      <c r="M121">
        <f t="shared" ca="1" si="124"/>
        <v>87.345423423839819</v>
      </c>
      <c r="N121">
        <f t="shared" ca="1" si="124"/>
        <v>89.010098661535537</v>
      </c>
      <c r="O121">
        <f t="shared" ca="1" si="124"/>
        <v>85.212146796206781</v>
      </c>
      <c r="P121">
        <f t="shared" ca="1" si="124"/>
        <v>89.114214212432032</v>
      </c>
      <c r="Q121">
        <f t="shared" ca="1" si="72"/>
        <v>91.378054085514975</v>
      </c>
      <c r="R121">
        <f t="shared" ca="1" si="73"/>
        <v>0</v>
      </c>
      <c r="S121">
        <f t="shared" ca="1" si="74"/>
        <v>0</v>
      </c>
    </row>
    <row r="122" spans="5:19" x14ac:dyDescent="0.75">
      <c r="E122">
        <v>117</v>
      </c>
      <c r="F122">
        <v>100</v>
      </c>
      <c r="G122">
        <f t="shared" ca="1" si="70"/>
        <v>96.261837243795384</v>
      </c>
      <c r="H122">
        <f t="shared" ca="1" si="70"/>
        <v>108.45244095233517</v>
      </c>
      <c r="I122">
        <f t="shared" ca="1" si="70"/>
        <v>115.96818824996454</v>
      </c>
      <c r="J122">
        <f t="shared" ca="1" si="70"/>
        <v>108.93339123900172</v>
      </c>
      <c r="K122">
        <f t="shared" ref="K122:P122" ca="1" si="125">J122*EXP(($C$4-0.5*$C$5^2)*$C$10+$C$5*SQRT($C$10)*NORMINV(RAND(),0,1))</f>
        <v>109.29272575758773</v>
      </c>
      <c r="L122">
        <f t="shared" ca="1" si="125"/>
        <v>102.95695511320073</v>
      </c>
      <c r="M122">
        <f t="shared" ca="1" si="125"/>
        <v>108.1509574169894</v>
      </c>
      <c r="N122">
        <f t="shared" ca="1" si="125"/>
        <v>109.20754307826164</v>
      </c>
      <c r="O122">
        <f t="shared" ca="1" si="125"/>
        <v>108.31028273962789</v>
      </c>
      <c r="P122">
        <f t="shared" ca="1" si="125"/>
        <v>110.49005800225504</v>
      </c>
      <c r="Q122">
        <f t="shared" ca="1" si="72"/>
        <v>107.09312543572901</v>
      </c>
      <c r="R122">
        <f t="shared" ca="1" si="73"/>
        <v>7.0931254357290072</v>
      </c>
      <c r="S122">
        <f t="shared" ca="1" si="74"/>
        <v>6.74718962613988</v>
      </c>
    </row>
    <row r="123" spans="5:19" x14ac:dyDescent="0.75">
      <c r="E123">
        <v>118</v>
      </c>
      <c r="F123">
        <v>100</v>
      </c>
      <c r="G123">
        <f t="shared" ca="1" si="70"/>
        <v>102.13592957736017</v>
      </c>
      <c r="H123">
        <f t="shared" ca="1" si="70"/>
        <v>112.01638135924476</v>
      </c>
      <c r="I123">
        <f t="shared" ca="1" si="70"/>
        <v>113.22968071202047</v>
      </c>
      <c r="J123">
        <f t="shared" ca="1" si="70"/>
        <v>113.16170937068928</v>
      </c>
      <c r="K123">
        <f t="shared" ref="K123:P123" ca="1" si="126">J123*EXP(($C$4-0.5*$C$5^2)*$C$10+$C$5*SQRT($C$10)*NORMINV(RAND(),0,1))</f>
        <v>115.63067269124889</v>
      </c>
      <c r="L123">
        <f t="shared" ca="1" si="126"/>
        <v>109.30369973424379</v>
      </c>
      <c r="M123">
        <f t="shared" ca="1" si="126"/>
        <v>102.58023704041172</v>
      </c>
      <c r="N123">
        <f t="shared" ca="1" si="126"/>
        <v>100.14558738020224</v>
      </c>
      <c r="O123">
        <f t="shared" ca="1" si="126"/>
        <v>96.537509050808964</v>
      </c>
      <c r="P123">
        <f t="shared" ca="1" si="126"/>
        <v>89.628934369709327</v>
      </c>
      <c r="Q123">
        <f t="shared" ca="1" si="72"/>
        <v>104.94275829872177</v>
      </c>
      <c r="R123">
        <f t="shared" ca="1" si="73"/>
        <v>4.9427582987217704</v>
      </c>
      <c r="S123">
        <f t="shared" ca="1" si="74"/>
        <v>4.7016971319392376</v>
      </c>
    </row>
    <row r="124" spans="5:19" x14ac:dyDescent="0.75">
      <c r="E124">
        <v>119</v>
      </c>
      <c r="F124">
        <v>100</v>
      </c>
      <c r="G124">
        <f t="shared" ca="1" si="70"/>
        <v>103.43301907136934</v>
      </c>
      <c r="H124">
        <f t="shared" ca="1" si="70"/>
        <v>102.92115209912777</v>
      </c>
      <c r="I124">
        <f t="shared" ca="1" si="70"/>
        <v>101.90523432103622</v>
      </c>
      <c r="J124">
        <f t="shared" ca="1" si="70"/>
        <v>100.35328801670468</v>
      </c>
      <c r="K124">
        <f t="shared" ref="K124:P124" ca="1" si="127">J124*EXP(($C$4-0.5*$C$5^2)*$C$10+$C$5*SQRT($C$10)*NORMINV(RAND(),0,1))</f>
        <v>88.044867425726906</v>
      </c>
      <c r="L124">
        <f t="shared" ca="1" si="127"/>
        <v>86.856186333747587</v>
      </c>
      <c r="M124">
        <f t="shared" ca="1" si="127"/>
        <v>92.873026042318799</v>
      </c>
      <c r="N124">
        <f t="shared" ca="1" si="127"/>
        <v>91.312992944084797</v>
      </c>
      <c r="O124">
        <f t="shared" ca="1" si="127"/>
        <v>89.103971613861901</v>
      </c>
      <c r="P124">
        <f t="shared" ca="1" si="127"/>
        <v>88.944232041182801</v>
      </c>
      <c r="Q124">
        <f t="shared" ca="1" si="72"/>
        <v>95.06799726446917</v>
      </c>
      <c r="R124">
        <f t="shared" ca="1" si="73"/>
        <v>0</v>
      </c>
      <c r="S124">
        <f t="shared" ca="1" si="74"/>
        <v>0</v>
      </c>
    </row>
    <row r="125" spans="5:19" x14ac:dyDescent="0.75">
      <c r="E125">
        <v>120</v>
      </c>
      <c r="F125">
        <v>100</v>
      </c>
      <c r="G125">
        <f t="shared" ca="1" si="70"/>
        <v>100.16660782055995</v>
      </c>
      <c r="H125">
        <f t="shared" ca="1" si="70"/>
        <v>98.421948450626118</v>
      </c>
      <c r="I125">
        <f t="shared" ca="1" si="70"/>
        <v>103.91069670572227</v>
      </c>
      <c r="J125">
        <f t="shared" ca="1" si="70"/>
        <v>106.1463029577758</v>
      </c>
      <c r="K125">
        <f t="shared" ref="K125:P125" ca="1" si="128">J125*EXP(($C$4-0.5*$C$5^2)*$C$10+$C$5*SQRT($C$10)*NORMINV(RAND(),0,1))</f>
        <v>103.39186253775725</v>
      </c>
      <c r="L125">
        <f t="shared" ca="1" si="128"/>
        <v>101.34788968459175</v>
      </c>
      <c r="M125">
        <f t="shared" ca="1" si="128"/>
        <v>103.73740553700429</v>
      </c>
      <c r="N125">
        <f t="shared" ca="1" si="128"/>
        <v>101.29340346448477</v>
      </c>
      <c r="O125">
        <f t="shared" ca="1" si="128"/>
        <v>94.363380091463242</v>
      </c>
      <c r="P125">
        <f t="shared" ca="1" si="128"/>
        <v>98.149517369698714</v>
      </c>
      <c r="Q125">
        <f t="shared" ca="1" si="72"/>
        <v>100.99354678360764</v>
      </c>
      <c r="R125">
        <f t="shared" ca="1" si="73"/>
        <v>0.99354678360764126</v>
      </c>
      <c r="S125">
        <f t="shared" ca="1" si="74"/>
        <v>0.94509093518563203</v>
      </c>
    </row>
    <row r="126" spans="5:19" x14ac:dyDescent="0.75">
      <c r="E126">
        <v>121</v>
      </c>
      <c r="F126">
        <v>100</v>
      </c>
      <c r="G126">
        <f t="shared" ca="1" si="70"/>
        <v>92.57121935075449</v>
      </c>
      <c r="H126">
        <f t="shared" ca="1" si="70"/>
        <v>102.9324456647654</v>
      </c>
      <c r="I126">
        <f t="shared" ca="1" si="70"/>
        <v>94.810172495522622</v>
      </c>
      <c r="J126">
        <f t="shared" ca="1" si="70"/>
        <v>99.396419059520667</v>
      </c>
      <c r="K126">
        <f t="shared" ref="K126:P126" ca="1" si="129">J126*EXP(($C$4-0.5*$C$5^2)*$C$10+$C$5*SQRT($C$10)*NORMINV(RAND(),0,1))</f>
        <v>96.36770532647644</v>
      </c>
      <c r="L126">
        <f t="shared" ca="1" si="129"/>
        <v>106.22177240122205</v>
      </c>
      <c r="M126">
        <f t="shared" ca="1" si="129"/>
        <v>100.71572398283421</v>
      </c>
      <c r="N126">
        <f t="shared" ca="1" si="129"/>
        <v>107.77628855347209</v>
      </c>
      <c r="O126">
        <f t="shared" ca="1" si="129"/>
        <v>115.62131960767798</v>
      </c>
      <c r="P126">
        <f t="shared" ca="1" si="129"/>
        <v>119.6073406584476</v>
      </c>
      <c r="Q126">
        <f t="shared" ca="1" si="72"/>
        <v>103.27458246369943</v>
      </c>
      <c r="R126">
        <f t="shared" ca="1" si="73"/>
        <v>3.2745824636994314</v>
      </c>
      <c r="S126">
        <f t="shared" ca="1" si="74"/>
        <v>3.1148791924249402</v>
      </c>
    </row>
    <row r="127" spans="5:19" x14ac:dyDescent="0.75">
      <c r="E127">
        <v>122</v>
      </c>
      <c r="F127">
        <v>100</v>
      </c>
      <c r="G127">
        <f t="shared" ca="1" si="70"/>
        <v>107.02062877235552</v>
      </c>
      <c r="H127">
        <f t="shared" ca="1" si="70"/>
        <v>99.698134746023811</v>
      </c>
      <c r="I127">
        <f t="shared" ca="1" si="70"/>
        <v>101.84758004868245</v>
      </c>
      <c r="J127">
        <f t="shared" ca="1" si="70"/>
        <v>100.46766444202056</v>
      </c>
      <c r="K127">
        <f t="shared" ref="K127:P127" ca="1" si="130">J127*EXP(($C$4-0.5*$C$5^2)*$C$10+$C$5*SQRT($C$10)*NORMINV(RAND(),0,1))</f>
        <v>91.030376280324703</v>
      </c>
      <c r="L127">
        <f t="shared" ca="1" si="130"/>
        <v>99.084205453331307</v>
      </c>
      <c r="M127">
        <f t="shared" ca="1" si="130"/>
        <v>102.28225686988465</v>
      </c>
      <c r="N127">
        <f t="shared" ca="1" si="130"/>
        <v>108.32891763242716</v>
      </c>
      <c r="O127">
        <f t="shared" ca="1" si="130"/>
        <v>104.99811801174589</v>
      </c>
      <c r="P127">
        <f t="shared" ca="1" si="130"/>
        <v>112.24112396904923</v>
      </c>
      <c r="Q127">
        <f t="shared" ca="1" si="72"/>
        <v>102.45445511144048</v>
      </c>
      <c r="R127">
        <f t="shared" ca="1" si="73"/>
        <v>2.4544551114404811</v>
      </c>
      <c r="S127">
        <f t="shared" ca="1" si="74"/>
        <v>2.3347499231183648</v>
      </c>
    </row>
    <row r="128" spans="5:19" x14ac:dyDescent="0.75">
      <c r="E128">
        <v>123</v>
      </c>
      <c r="F128">
        <v>100</v>
      </c>
      <c r="G128">
        <f t="shared" ca="1" si="70"/>
        <v>104.86172300330657</v>
      </c>
      <c r="H128">
        <f t="shared" ca="1" si="70"/>
        <v>117.82890050964102</v>
      </c>
      <c r="I128">
        <f t="shared" ca="1" si="70"/>
        <v>123.65687206372687</v>
      </c>
      <c r="J128">
        <f t="shared" ca="1" si="70"/>
        <v>129.3659712349766</v>
      </c>
      <c r="K128">
        <f t="shared" ref="K128:P128" ca="1" si="131">J128*EXP(($C$4-0.5*$C$5^2)*$C$10+$C$5*SQRT($C$10)*NORMINV(RAND(),0,1))</f>
        <v>149.38182841580993</v>
      </c>
      <c r="L128">
        <f t="shared" ca="1" si="131"/>
        <v>154.86507111466034</v>
      </c>
      <c r="M128">
        <f t="shared" ca="1" si="131"/>
        <v>161.98908708921644</v>
      </c>
      <c r="N128">
        <f t="shared" ca="1" si="131"/>
        <v>157.04142577433149</v>
      </c>
      <c r="O128">
        <f t="shared" ca="1" si="131"/>
        <v>155.54940332933947</v>
      </c>
      <c r="P128">
        <f t="shared" ca="1" si="131"/>
        <v>150.4668480166668</v>
      </c>
      <c r="Q128">
        <f t="shared" ca="1" si="72"/>
        <v>136.81883005015229</v>
      </c>
      <c r="R128">
        <f t="shared" ca="1" si="73"/>
        <v>36.818830050152286</v>
      </c>
      <c r="S128">
        <f t="shared" ca="1" si="74"/>
        <v>35.023154519395952</v>
      </c>
    </row>
    <row r="129" spans="5:19" x14ac:dyDescent="0.75">
      <c r="E129">
        <v>124</v>
      </c>
      <c r="F129">
        <v>100</v>
      </c>
      <c r="G129">
        <f t="shared" ca="1" si="70"/>
        <v>98.894482822587506</v>
      </c>
      <c r="H129">
        <f t="shared" ca="1" si="70"/>
        <v>91.212184393362932</v>
      </c>
      <c r="I129">
        <f t="shared" ca="1" si="70"/>
        <v>90.094017361548609</v>
      </c>
      <c r="J129">
        <f t="shared" ca="1" si="70"/>
        <v>93.191123256439596</v>
      </c>
      <c r="K129">
        <f t="shared" ref="K129:P129" ca="1" si="132">J129*EXP(($C$4-0.5*$C$5^2)*$C$10+$C$5*SQRT($C$10)*NORMINV(RAND(),0,1))</f>
        <v>94.152576125933166</v>
      </c>
      <c r="L129">
        <f t="shared" ca="1" si="132"/>
        <v>107.76518029524851</v>
      </c>
      <c r="M129">
        <f t="shared" ca="1" si="132"/>
        <v>102.02208352941867</v>
      </c>
      <c r="N129">
        <f t="shared" ca="1" si="132"/>
        <v>104.01776593088498</v>
      </c>
      <c r="O129">
        <f t="shared" ca="1" si="132"/>
        <v>108.4517585265689</v>
      </c>
      <c r="P129">
        <f t="shared" ca="1" si="132"/>
        <v>115.95939977075416</v>
      </c>
      <c r="Q129">
        <f t="shared" ca="1" si="72"/>
        <v>100.52368836479518</v>
      </c>
      <c r="R129">
        <f t="shared" ca="1" si="73"/>
        <v>0.52368836479517711</v>
      </c>
      <c r="S129">
        <f t="shared" ca="1" si="74"/>
        <v>0.49814778186183628</v>
      </c>
    </row>
    <row r="130" spans="5:19" x14ac:dyDescent="0.75">
      <c r="E130">
        <v>125</v>
      </c>
      <c r="F130">
        <v>100</v>
      </c>
      <c r="G130">
        <f t="shared" ca="1" si="70"/>
        <v>105.86321525207691</v>
      </c>
      <c r="H130">
        <f t="shared" ca="1" si="70"/>
        <v>112.55910835725666</v>
      </c>
      <c r="I130">
        <f t="shared" ca="1" si="70"/>
        <v>129.47824794289338</v>
      </c>
      <c r="J130">
        <f t="shared" ca="1" si="70"/>
        <v>139.62244943397695</v>
      </c>
      <c r="K130">
        <f t="shared" ref="K130:P130" ca="1" si="133">J130*EXP(($C$4-0.5*$C$5^2)*$C$10+$C$5*SQRT($C$10)*NORMINV(RAND(),0,1))</f>
        <v>134.51899953849019</v>
      </c>
      <c r="L130">
        <f t="shared" ca="1" si="133"/>
        <v>136.12926048539651</v>
      </c>
      <c r="M130">
        <f t="shared" ca="1" si="133"/>
        <v>125.781786610167</v>
      </c>
      <c r="N130">
        <f t="shared" ca="1" si="133"/>
        <v>127.74570999757779</v>
      </c>
      <c r="O130">
        <f t="shared" ca="1" si="133"/>
        <v>127.37420042702992</v>
      </c>
      <c r="P130">
        <f t="shared" ca="1" si="133"/>
        <v>128.96704530711236</v>
      </c>
      <c r="Q130">
        <f t="shared" ca="1" si="72"/>
        <v>124.36727485017981</v>
      </c>
      <c r="R130">
        <f t="shared" ca="1" si="73"/>
        <v>24.367274850179811</v>
      </c>
      <c r="S130">
        <f t="shared" ca="1" si="74"/>
        <v>23.178868832387263</v>
      </c>
    </row>
    <row r="131" spans="5:19" x14ac:dyDescent="0.75">
      <c r="E131">
        <v>126</v>
      </c>
      <c r="F131">
        <v>100</v>
      </c>
      <c r="G131">
        <f t="shared" ca="1" si="70"/>
        <v>99.543221293472229</v>
      </c>
      <c r="H131">
        <f t="shared" ca="1" si="70"/>
        <v>98.21002355308822</v>
      </c>
      <c r="I131">
        <f t="shared" ca="1" si="70"/>
        <v>97.928325020919985</v>
      </c>
      <c r="J131">
        <f t="shared" ca="1" si="70"/>
        <v>99.979225285634925</v>
      </c>
      <c r="K131">
        <f t="shared" ref="K131:P131" ca="1" si="134">J131*EXP(($C$4-0.5*$C$5^2)*$C$10+$C$5*SQRT($C$10)*NORMINV(RAND(),0,1))</f>
        <v>98.489357775902036</v>
      </c>
      <c r="L131">
        <f t="shared" ca="1" si="134"/>
        <v>104.36015098871304</v>
      </c>
      <c r="M131">
        <f t="shared" ca="1" si="134"/>
        <v>110.6208721121663</v>
      </c>
      <c r="N131">
        <f t="shared" ca="1" si="134"/>
        <v>105.01909872039312</v>
      </c>
      <c r="O131">
        <f t="shared" ca="1" si="134"/>
        <v>98.430709235547241</v>
      </c>
      <c r="P131">
        <f t="shared" ca="1" si="134"/>
        <v>93.851381139647216</v>
      </c>
      <c r="Q131">
        <f t="shared" ca="1" si="72"/>
        <v>100.58476046595314</v>
      </c>
      <c r="R131">
        <f t="shared" ca="1" si="73"/>
        <v>0.58476046595313846</v>
      </c>
      <c r="S131">
        <f t="shared" ca="1" si="74"/>
        <v>0.55624136149937331</v>
      </c>
    </row>
    <row r="132" spans="5:19" x14ac:dyDescent="0.75">
      <c r="E132">
        <v>127</v>
      </c>
      <c r="F132">
        <v>100</v>
      </c>
      <c r="G132">
        <f t="shared" ca="1" si="70"/>
        <v>107.22160485577798</v>
      </c>
      <c r="H132">
        <f t="shared" ca="1" si="70"/>
        <v>105.29629040139601</v>
      </c>
      <c r="I132">
        <f t="shared" ca="1" si="70"/>
        <v>104.45831277579883</v>
      </c>
      <c r="J132">
        <f t="shared" ca="1" si="70"/>
        <v>99.986174347447374</v>
      </c>
      <c r="K132">
        <f t="shared" ref="K132:P132" ca="1" si="135">J132*EXP(($C$4-0.5*$C$5^2)*$C$10+$C$5*SQRT($C$10)*NORMINV(RAND(),0,1))</f>
        <v>97.075066484979928</v>
      </c>
      <c r="L132">
        <f t="shared" ca="1" si="135"/>
        <v>88.358722524005856</v>
      </c>
      <c r="M132">
        <f t="shared" ca="1" si="135"/>
        <v>96.676061059755554</v>
      </c>
      <c r="N132">
        <f t="shared" ca="1" si="135"/>
        <v>97.574842711334185</v>
      </c>
      <c r="O132">
        <f t="shared" ca="1" si="135"/>
        <v>98.81819127441014</v>
      </c>
      <c r="P132">
        <f t="shared" ca="1" si="135"/>
        <v>98.489366534917863</v>
      </c>
      <c r="Q132">
        <f t="shared" ca="1" si="72"/>
        <v>99.450421179074908</v>
      </c>
      <c r="R132">
        <f t="shared" ca="1" si="73"/>
        <v>0</v>
      </c>
      <c r="S132">
        <f t="shared" ca="1" si="74"/>
        <v>0</v>
      </c>
    </row>
    <row r="133" spans="5:19" x14ac:dyDescent="0.75">
      <c r="E133">
        <v>128</v>
      </c>
      <c r="F133">
        <v>100</v>
      </c>
      <c r="G133">
        <f t="shared" ca="1" si="70"/>
        <v>101.97687212672957</v>
      </c>
      <c r="H133">
        <f t="shared" ca="1" si="70"/>
        <v>115.41857906833695</v>
      </c>
      <c r="I133">
        <f t="shared" ca="1" si="70"/>
        <v>119.19464435416722</v>
      </c>
      <c r="J133">
        <f t="shared" ca="1" si="70"/>
        <v>124.76300519375596</v>
      </c>
      <c r="K133">
        <f t="shared" ref="K133:P133" ca="1" si="136">J133*EXP(($C$4-0.5*$C$5^2)*$C$10+$C$5*SQRT($C$10)*NORMINV(RAND(),0,1))</f>
        <v>138.14485344522865</v>
      </c>
      <c r="L133">
        <f t="shared" ca="1" si="136"/>
        <v>140.1468582687277</v>
      </c>
      <c r="M133">
        <f t="shared" ca="1" si="136"/>
        <v>155.2100359762378</v>
      </c>
      <c r="N133">
        <f t="shared" ca="1" si="136"/>
        <v>150.03426706982964</v>
      </c>
      <c r="O133">
        <f t="shared" ca="1" si="136"/>
        <v>146.41443258101225</v>
      </c>
      <c r="P133">
        <f t="shared" ca="1" si="136"/>
        <v>161.63916233257601</v>
      </c>
      <c r="Q133">
        <f t="shared" ca="1" si="72"/>
        <v>132.08570094696378</v>
      </c>
      <c r="R133">
        <f t="shared" ca="1" si="73"/>
        <v>32.085700946963783</v>
      </c>
      <c r="S133">
        <f t="shared" ca="1" si="74"/>
        <v>30.520862846482373</v>
      </c>
    </row>
    <row r="134" spans="5:19" x14ac:dyDescent="0.75">
      <c r="E134">
        <v>129</v>
      </c>
      <c r="F134">
        <v>100</v>
      </c>
      <c r="G134">
        <f t="shared" ca="1" si="70"/>
        <v>104.64673356327914</v>
      </c>
      <c r="H134">
        <f t="shared" ca="1" si="70"/>
        <v>105.52219098181004</v>
      </c>
      <c r="I134">
        <f t="shared" ca="1" si="70"/>
        <v>103.87197906295373</v>
      </c>
      <c r="J134">
        <f t="shared" ref="J134:P134" ca="1" si="137">I134*EXP(($C$4-0.5*$C$5^2)*$C$10+$C$5*SQRT($C$10)*NORMINV(RAND(),0,1))</f>
        <v>100.12500571080143</v>
      </c>
      <c r="K134">
        <f t="shared" ca="1" si="137"/>
        <v>93.686672565137599</v>
      </c>
      <c r="L134">
        <f t="shared" ca="1" si="137"/>
        <v>89.97894818216102</v>
      </c>
      <c r="M134">
        <f t="shared" ca="1" si="137"/>
        <v>89.256581860289231</v>
      </c>
      <c r="N134">
        <f t="shared" ca="1" si="137"/>
        <v>94.976039412418174</v>
      </c>
      <c r="O134">
        <f t="shared" ca="1" si="137"/>
        <v>109.07395388386173</v>
      </c>
      <c r="P134">
        <f t="shared" ca="1" si="137"/>
        <v>104.98956656821547</v>
      </c>
      <c r="Q134">
        <f t="shared" ca="1" si="72"/>
        <v>99.647970162811603</v>
      </c>
      <c r="R134">
        <f t="shared" ca="1" si="73"/>
        <v>0</v>
      </c>
      <c r="S134">
        <f t="shared" ca="1" si="74"/>
        <v>0</v>
      </c>
    </row>
    <row r="135" spans="5:19" x14ac:dyDescent="0.75">
      <c r="E135">
        <v>130</v>
      </c>
      <c r="F135">
        <v>100</v>
      </c>
      <c r="G135">
        <f t="shared" ref="G135:J198" ca="1" si="138">F135*EXP(($C$4-0.5*$C$5^2)*$C$10+$C$5*SQRT($C$10)*NORMINV(RAND(),0,1))</f>
        <v>113.897920900287</v>
      </c>
      <c r="H135">
        <f t="shared" ca="1" si="138"/>
        <v>122.00496640927886</v>
      </c>
      <c r="I135">
        <f t="shared" ca="1" si="138"/>
        <v>115.85514587857</v>
      </c>
      <c r="J135">
        <f t="shared" ca="1" si="138"/>
        <v>118.36782231958284</v>
      </c>
      <c r="K135">
        <f t="shared" ref="K135:P135" ca="1" si="139">J135*EXP(($C$4-0.5*$C$5^2)*$C$10+$C$5*SQRT($C$10)*NORMINV(RAND(),0,1))</f>
        <v>128.90480079239987</v>
      </c>
      <c r="L135">
        <f t="shared" ca="1" si="139"/>
        <v>125.01216908585107</v>
      </c>
      <c r="M135">
        <f t="shared" ca="1" si="139"/>
        <v>132.43478005705376</v>
      </c>
      <c r="N135">
        <f t="shared" ca="1" si="139"/>
        <v>128.77539667579848</v>
      </c>
      <c r="O135">
        <f t="shared" ca="1" si="139"/>
        <v>128.12701576258891</v>
      </c>
      <c r="P135">
        <f t="shared" ca="1" si="139"/>
        <v>133.13151095378026</v>
      </c>
      <c r="Q135">
        <f t="shared" ref="Q135:Q198" ca="1" si="140">AVERAGE(F135:P135)</f>
        <v>122.41013898501737</v>
      </c>
      <c r="R135">
        <f t="shared" ref="R135:R198" ca="1" si="141">MAX(Q135-$C$7,0)</f>
        <v>22.410138985017369</v>
      </c>
      <c r="S135">
        <f t="shared" ref="S135:S198" ca="1" si="142">EXP(-$C$4*$C$6)*R135</f>
        <v>21.317183609699086</v>
      </c>
    </row>
    <row r="136" spans="5:19" x14ac:dyDescent="0.75">
      <c r="E136">
        <v>131</v>
      </c>
      <c r="F136">
        <v>100</v>
      </c>
      <c r="G136">
        <f t="shared" ca="1" si="138"/>
        <v>92.080711098418249</v>
      </c>
      <c r="H136">
        <f t="shared" ca="1" si="138"/>
        <v>95.074165757687496</v>
      </c>
      <c r="I136">
        <f t="shared" ca="1" si="138"/>
        <v>99.340309627708038</v>
      </c>
      <c r="J136">
        <f t="shared" ca="1" si="138"/>
        <v>107.25916630241203</v>
      </c>
      <c r="K136">
        <f t="shared" ref="K136:P136" ca="1" si="143">J136*EXP(($C$4-0.5*$C$5^2)*$C$10+$C$5*SQRT($C$10)*NORMINV(RAND(),0,1))</f>
        <v>99.468772598416351</v>
      </c>
      <c r="L136">
        <f t="shared" ca="1" si="143"/>
        <v>99.278464823569479</v>
      </c>
      <c r="M136">
        <f t="shared" ca="1" si="143"/>
        <v>99.846550565060042</v>
      </c>
      <c r="N136">
        <f t="shared" ca="1" si="143"/>
        <v>96.150763996655115</v>
      </c>
      <c r="O136">
        <f t="shared" ca="1" si="143"/>
        <v>89.769135983766063</v>
      </c>
      <c r="P136">
        <f t="shared" ca="1" si="143"/>
        <v>97.769573147123523</v>
      </c>
      <c r="Q136">
        <f t="shared" ca="1" si="140"/>
        <v>97.821601263710576</v>
      </c>
      <c r="R136">
        <f t="shared" ca="1" si="141"/>
        <v>0</v>
      </c>
      <c r="S136">
        <f t="shared" ca="1" si="142"/>
        <v>0</v>
      </c>
    </row>
    <row r="137" spans="5:19" x14ac:dyDescent="0.75">
      <c r="E137">
        <v>132</v>
      </c>
      <c r="F137">
        <v>100</v>
      </c>
      <c r="G137">
        <f t="shared" ca="1" si="138"/>
        <v>91.836149723741428</v>
      </c>
      <c r="H137">
        <f t="shared" ca="1" si="138"/>
        <v>86.472394305267699</v>
      </c>
      <c r="I137">
        <f t="shared" ca="1" si="138"/>
        <v>86.499344667173659</v>
      </c>
      <c r="J137">
        <f t="shared" ca="1" si="138"/>
        <v>81.265817760927519</v>
      </c>
      <c r="K137">
        <f t="shared" ref="K137:P137" ca="1" si="144">J137*EXP(($C$4-0.5*$C$5^2)*$C$10+$C$5*SQRT($C$10)*NORMINV(RAND(),0,1))</f>
        <v>78.574338981951584</v>
      </c>
      <c r="L137">
        <f t="shared" ca="1" si="144"/>
        <v>82.983783935603029</v>
      </c>
      <c r="M137">
        <f t="shared" ca="1" si="144"/>
        <v>88.805134298738366</v>
      </c>
      <c r="N137">
        <f t="shared" ca="1" si="144"/>
        <v>85.614837325304364</v>
      </c>
      <c r="O137">
        <f t="shared" ca="1" si="144"/>
        <v>82.5095030463727</v>
      </c>
      <c r="P137">
        <f t="shared" ca="1" si="144"/>
        <v>84.168155006260463</v>
      </c>
      <c r="Q137">
        <f t="shared" ca="1" si="140"/>
        <v>86.248132641030992</v>
      </c>
      <c r="R137">
        <f t="shared" ca="1" si="141"/>
        <v>0</v>
      </c>
      <c r="S137">
        <f t="shared" ca="1" si="142"/>
        <v>0</v>
      </c>
    </row>
    <row r="138" spans="5:19" x14ac:dyDescent="0.75">
      <c r="E138">
        <v>133</v>
      </c>
      <c r="F138">
        <v>100</v>
      </c>
      <c r="G138">
        <f t="shared" ca="1" si="138"/>
        <v>109.77255446174867</v>
      </c>
      <c r="H138">
        <f t="shared" ca="1" si="138"/>
        <v>108.54551181301473</v>
      </c>
      <c r="I138">
        <f t="shared" ca="1" si="138"/>
        <v>103.41376439246618</v>
      </c>
      <c r="J138">
        <f t="shared" ca="1" si="138"/>
        <v>108.94125243719141</v>
      </c>
      <c r="K138">
        <f t="shared" ref="K138:P138" ca="1" si="145">J138*EXP(($C$4-0.5*$C$5^2)*$C$10+$C$5*SQRT($C$10)*NORMINV(RAND(),0,1))</f>
        <v>113.01911404164477</v>
      </c>
      <c r="L138">
        <f t="shared" ca="1" si="145"/>
        <v>125.56291577097794</v>
      </c>
      <c r="M138">
        <f t="shared" ca="1" si="145"/>
        <v>133.05799429872113</v>
      </c>
      <c r="N138">
        <f t="shared" ca="1" si="145"/>
        <v>144.58284811847994</v>
      </c>
      <c r="O138">
        <f t="shared" ca="1" si="145"/>
        <v>127.5448165720539</v>
      </c>
      <c r="P138">
        <f t="shared" ca="1" si="145"/>
        <v>126.34874360103396</v>
      </c>
      <c r="Q138">
        <f t="shared" ca="1" si="140"/>
        <v>118.25359231884842</v>
      </c>
      <c r="R138">
        <f t="shared" ca="1" si="141"/>
        <v>18.253592318848419</v>
      </c>
      <c r="S138">
        <f t="shared" ca="1" si="142"/>
        <v>17.363354116528836</v>
      </c>
    </row>
    <row r="139" spans="5:19" x14ac:dyDescent="0.75">
      <c r="E139">
        <v>134</v>
      </c>
      <c r="F139">
        <v>100</v>
      </c>
      <c r="G139">
        <f t="shared" ca="1" si="138"/>
        <v>97.413325223835088</v>
      </c>
      <c r="H139">
        <f t="shared" ca="1" si="138"/>
        <v>99.691500410346947</v>
      </c>
      <c r="I139">
        <f t="shared" ca="1" si="138"/>
        <v>104.16265406208171</v>
      </c>
      <c r="J139">
        <f t="shared" ca="1" si="138"/>
        <v>94.84490681098859</v>
      </c>
      <c r="K139">
        <f t="shared" ref="K139:P139" ca="1" si="146">J139*EXP(($C$4-0.5*$C$5^2)*$C$10+$C$5*SQRT($C$10)*NORMINV(RAND(),0,1))</f>
        <v>92.680874117691118</v>
      </c>
      <c r="L139">
        <f t="shared" ca="1" si="146"/>
        <v>91.483672867468215</v>
      </c>
      <c r="M139">
        <f t="shared" ca="1" si="146"/>
        <v>95.080140646365678</v>
      </c>
      <c r="N139">
        <f t="shared" ca="1" si="146"/>
        <v>91.328930880520602</v>
      </c>
      <c r="O139">
        <f t="shared" ca="1" si="146"/>
        <v>87.98956163111005</v>
      </c>
      <c r="P139">
        <f t="shared" ca="1" si="146"/>
        <v>88.091814155126713</v>
      </c>
      <c r="Q139">
        <f t="shared" ca="1" si="140"/>
        <v>94.797034618684975</v>
      </c>
      <c r="R139">
        <f t="shared" ca="1" si="141"/>
        <v>0</v>
      </c>
      <c r="S139">
        <f t="shared" ca="1" si="142"/>
        <v>0</v>
      </c>
    </row>
    <row r="140" spans="5:19" x14ac:dyDescent="0.75">
      <c r="E140">
        <v>135</v>
      </c>
      <c r="F140">
        <v>100</v>
      </c>
      <c r="G140">
        <f t="shared" ca="1" si="138"/>
        <v>98.678815682210541</v>
      </c>
      <c r="H140">
        <f t="shared" ca="1" si="138"/>
        <v>90.988431867031295</v>
      </c>
      <c r="I140">
        <f t="shared" ca="1" si="138"/>
        <v>89.808114202607854</v>
      </c>
      <c r="J140">
        <f t="shared" ca="1" si="138"/>
        <v>86.42350787812704</v>
      </c>
      <c r="K140">
        <f t="shared" ref="K140:P140" ca="1" si="147">J140*EXP(($C$4-0.5*$C$5^2)*$C$10+$C$5*SQRT($C$10)*NORMINV(RAND(),0,1))</f>
        <v>98.95115267723817</v>
      </c>
      <c r="L140">
        <f t="shared" ca="1" si="147"/>
        <v>109.25699353269481</v>
      </c>
      <c r="M140">
        <f t="shared" ca="1" si="147"/>
        <v>112.64128700902469</v>
      </c>
      <c r="N140">
        <f t="shared" ca="1" si="147"/>
        <v>108.93793935980828</v>
      </c>
      <c r="O140">
        <f t="shared" ca="1" si="147"/>
        <v>96.592844324546576</v>
      </c>
      <c r="P140">
        <f t="shared" ca="1" si="147"/>
        <v>99.317545880881809</v>
      </c>
      <c r="Q140">
        <f t="shared" ca="1" si="140"/>
        <v>99.236057492197375</v>
      </c>
      <c r="R140">
        <f t="shared" ca="1" si="141"/>
        <v>0</v>
      </c>
      <c r="S140">
        <f t="shared" ca="1" si="142"/>
        <v>0</v>
      </c>
    </row>
    <row r="141" spans="5:19" x14ac:dyDescent="0.75">
      <c r="E141">
        <v>136</v>
      </c>
      <c r="F141">
        <v>100</v>
      </c>
      <c r="G141">
        <f t="shared" ca="1" si="138"/>
        <v>101.50804266921816</v>
      </c>
      <c r="H141">
        <f t="shared" ca="1" si="138"/>
        <v>102.41461639687797</v>
      </c>
      <c r="I141">
        <f t="shared" ca="1" si="138"/>
        <v>107.43152497949002</v>
      </c>
      <c r="J141">
        <f t="shared" ca="1" si="138"/>
        <v>99.380360238932838</v>
      </c>
      <c r="K141">
        <f t="shared" ref="K141:P141" ca="1" si="148">J141*EXP(($C$4-0.5*$C$5^2)*$C$10+$C$5*SQRT($C$10)*NORMINV(RAND(),0,1))</f>
        <v>98.774417746493469</v>
      </c>
      <c r="L141">
        <f t="shared" ca="1" si="148"/>
        <v>96.038766013883148</v>
      </c>
      <c r="M141">
        <f t="shared" ca="1" si="148"/>
        <v>94.33084216188675</v>
      </c>
      <c r="N141">
        <f t="shared" ca="1" si="148"/>
        <v>99.466755248156176</v>
      </c>
      <c r="O141">
        <f t="shared" ca="1" si="148"/>
        <v>97.666466091493376</v>
      </c>
      <c r="P141">
        <f t="shared" ca="1" si="148"/>
        <v>106.46589932051633</v>
      </c>
      <c r="Q141">
        <f t="shared" ca="1" si="140"/>
        <v>100.31615371517709</v>
      </c>
      <c r="R141">
        <f t="shared" ca="1" si="141"/>
        <v>0.31615371517709434</v>
      </c>
      <c r="S141">
        <f t="shared" ca="1" si="142"/>
        <v>0.30073471654167011</v>
      </c>
    </row>
    <row r="142" spans="5:19" x14ac:dyDescent="0.75">
      <c r="E142">
        <v>137</v>
      </c>
      <c r="F142">
        <v>100</v>
      </c>
      <c r="G142">
        <f t="shared" ca="1" si="138"/>
        <v>92.750138337303824</v>
      </c>
      <c r="H142">
        <f t="shared" ca="1" si="138"/>
        <v>85.031274027749717</v>
      </c>
      <c r="I142">
        <f t="shared" ca="1" si="138"/>
        <v>88.793291435547459</v>
      </c>
      <c r="J142">
        <f t="shared" ca="1" si="138"/>
        <v>93.39311398606614</v>
      </c>
      <c r="K142">
        <f t="shared" ref="K142:P142" ca="1" si="149">J142*EXP(($C$4-0.5*$C$5^2)*$C$10+$C$5*SQRT($C$10)*NORMINV(RAND(),0,1))</f>
        <v>97.108797661312778</v>
      </c>
      <c r="L142">
        <f t="shared" ca="1" si="149"/>
        <v>106.17813557891994</v>
      </c>
      <c r="M142">
        <f t="shared" ca="1" si="149"/>
        <v>99.331302205335277</v>
      </c>
      <c r="N142">
        <f t="shared" ca="1" si="149"/>
        <v>84.351558650491285</v>
      </c>
      <c r="O142">
        <f t="shared" ca="1" si="149"/>
        <v>83.918068135072147</v>
      </c>
      <c r="P142">
        <f t="shared" ca="1" si="149"/>
        <v>91.336941587666146</v>
      </c>
      <c r="Q142">
        <f t="shared" ca="1" si="140"/>
        <v>92.92660196413317</v>
      </c>
      <c r="R142">
        <f t="shared" ca="1" si="141"/>
        <v>0</v>
      </c>
      <c r="S142">
        <f t="shared" ca="1" si="142"/>
        <v>0</v>
      </c>
    </row>
    <row r="143" spans="5:19" x14ac:dyDescent="0.75">
      <c r="E143">
        <v>138</v>
      </c>
      <c r="F143">
        <v>100</v>
      </c>
      <c r="G143">
        <f t="shared" ca="1" si="138"/>
        <v>101.60728248817486</v>
      </c>
      <c r="H143">
        <f t="shared" ca="1" si="138"/>
        <v>99.770642547619488</v>
      </c>
      <c r="I143">
        <f t="shared" ca="1" si="138"/>
        <v>103.64468378061304</v>
      </c>
      <c r="J143">
        <f t="shared" ca="1" si="138"/>
        <v>101.75624614539902</v>
      </c>
      <c r="K143">
        <f t="shared" ref="K143:P143" ca="1" si="150">J143*EXP(($C$4-0.5*$C$5^2)*$C$10+$C$5*SQRT($C$10)*NORMINV(RAND(),0,1))</f>
        <v>103.29761714239326</v>
      </c>
      <c r="L143">
        <f t="shared" ca="1" si="150"/>
        <v>97.182873880516937</v>
      </c>
      <c r="M143">
        <f t="shared" ca="1" si="150"/>
        <v>103.2318816602919</v>
      </c>
      <c r="N143">
        <f t="shared" ca="1" si="150"/>
        <v>116.16680062780551</v>
      </c>
      <c r="O143">
        <f t="shared" ca="1" si="150"/>
        <v>106.61179662388619</v>
      </c>
      <c r="P143">
        <f t="shared" ca="1" si="150"/>
        <v>104.10428561673524</v>
      </c>
      <c r="Q143">
        <f t="shared" ca="1" si="140"/>
        <v>103.3976464103123</v>
      </c>
      <c r="R143">
        <f t="shared" ca="1" si="141"/>
        <v>3.397646410312305</v>
      </c>
      <c r="S143">
        <f t="shared" ca="1" si="142"/>
        <v>3.2319412395382905</v>
      </c>
    </row>
    <row r="144" spans="5:19" x14ac:dyDescent="0.75">
      <c r="E144">
        <v>139</v>
      </c>
      <c r="F144">
        <v>100</v>
      </c>
      <c r="G144">
        <f t="shared" ca="1" si="138"/>
        <v>94.24683823458318</v>
      </c>
      <c r="H144">
        <f t="shared" ca="1" si="138"/>
        <v>88.062805583700623</v>
      </c>
      <c r="I144">
        <f t="shared" ca="1" si="138"/>
        <v>90.694907530125207</v>
      </c>
      <c r="J144">
        <f t="shared" ca="1" si="138"/>
        <v>100.64003782184756</v>
      </c>
      <c r="K144">
        <f t="shared" ref="K144:P144" ca="1" si="151">J144*EXP(($C$4-0.5*$C$5^2)*$C$10+$C$5*SQRT($C$10)*NORMINV(RAND(),0,1))</f>
        <v>105.14112766037937</v>
      </c>
      <c r="L144">
        <f t="shared" ca="1" si="151"/>
        <v>108.67073059571051</v>
      </c>
      <c r="M144">
        <f t="shared" ca="1" si="151"/>
        <v>97.066783782115223</v>
      </c>
      <c r="N144">
        <f t="shared" ca="1" si="151"/>
        <v>95.131619855112746</v>
      </c>
      <c r="O144">
        <f t="shared" ca="1" si="151"/>
        <v>107.31646213839748</v>
      </c>
      <c r="P144">
        <f t="shared" ca="1" si="151"/>
        <v>107.23300513915325</v>
      </c>
      <c r="Q144">
        <f t="shared" ca="1" si="140"/>
        <v>99.473119849193196</v>
      </c>
      <c r="R144">
        <f t="shared" ca="1" si="141"/>
        <v>0</v>
      </c>
      <c r="S144">
        <f t="shared" ca="1" si="142"/>
        <v>0</v>
      </c>
    </row>
    <row r="145" spans="5:19" x14ac:dyDescent="0.75">
      <c r="E145">
        <v>140</v>
      </c>
      <c r="F145">
        <v>100</v>
      </c>
      <c r="G145">
        <f t="shared" ca="1" si="138"/>
        <v>105.97425375777523</v>
      </c>
      <c r="H145">
        <f t="shared" ca="1" si="138"/>
        <v>114.47356203413166</v>
      </c>
      <c r="I145">
        <f t="shared" ca="1" si="138"/>
        <v>115.90132747701624</v>
      </c>
      <c r="J145">
        <f t="shared" ca="1" si="138"/>
        <v>127.68328461930089</v>
      </c>
      <c r="K145">
        <f t="shared" ref="K145:P145" ca="1" si="152">J145*EXP(($C$4-0.5*$C$5^2)*$C$10+$C$5*SQRT($C$10)*NORMINV(RAND(),0,1))</f>
        <v>130.71302462627085</v>
      </c>
      <c r="L145">
        <f t="shared" ca="1" si="152"/>
        <v>126.50150548896916</v>
      </c>
      <c r="M145">
        <f t="shared" ca="1" si="152"/>
        <v>126.03783094453222</v>
      </c>
      <c r="N145">
        <f t="shared" ca="1" si="152"/>
        <v>128.76651694197358</v>
      </c>
      <c r="O145">
        <f t="shared" ca="1" si="152"/>
        <v>130.56935083498516</v>
      </c>
      <c r="P145">
        <f t="shared" ca="1" si="152"/>
        <v>134.01803240215395</v>
      </c>
      <c r="Q145">
        <f t="shared" ca="1" si="140"/>
        <v>121.87624446610083</v>
      </c>
      <c r="R145">
        <f t="shared" ca="1" si="141"/>
        <v>21.876244466100829</v>
      </c>
      <c r="S145">
        <f t="shared" ca="1" si="142"/>
        <v>20.809327433726022</v>
      </c>
    </row>
    <row r="146" spans="5:19" x14ac:dyDescent="0.75">
      <c r="E146">
        <v>141</v>
      </c>
      <c r="F146">
        <v>100</v>
      </c>
      <c r="G146">
        <f t="shared" ca="1" si="138"/>
        <v>107.19879686489577</v>
      </c>
      <c r="H146">
        <f t="shared" ca="1" si="138"/>
        <v>116.56898827026006</v>
      </c>
      <c r="I146">
        <f t="shared" ca="1" si="138"/>
        <v>115.6340215980169</v>
      </c>
      <c r="J146">
        <f t="shared" ca="1" si="138"/>
        <v>122.40050868948603</v>
      </c>
      <c r="K146">
        <f t="shared" ref="K146:P146" ca="1" si="153">J146*EXP(($C$4-0.5*$C$5^2)*$C$10+$C$5*SQRT($C$10)*NORMINV(RAND(),0,1))</f>
        <v>120.95135798111359</v>
      </c>
      <c r="L146">
        <f t="shared" ca="1" si="153"/>
        <v>124.44654929952954</v>
      </c>
      <c r="M146">
        <f t="shared" ca="1" si="153"/>
        <v>129.84777858416666</v>
      </c>
      <c r="N146">
        <f t="shared" ca="1" si="153"/>
        <v>136.07300761805749</v>
      </c>
      <c r="O146">
        <f t="shared" ca="1" si="153"/>
        <v>134.36330930498698</v>
      </c>
      <c r="P146">
        <f t="shared" ca="1" si="153"/>
        <v>137.51550080931514</v>
      </c>
      <c r="Q146">
        <f t="shared" ca="1" si="140"/>
        <v>122.27271081998438</v>
      </c>
      <c r="R146">
        <f t="shared" ca="1" si="141"/>
        <v>22.272710819984383</v>
      </c>
      <c r="S146">
        <f t="shared" ca="1" si="142"/>
        <v>21.186457895364569</v>
      </c>
    </row>
    <row r="147" spans="5:19" x14ac:dyDescent="0.75">
      <c r="E147">
        <v>142</v>
      </c>
      <c r="F147">
        <v>100</v>
      </c>
      <c r="G147">
        <f t="shared" ca="1" si="138"/>
        <v>90.200307914369787</v>
      </c>
      <c r="H147">
        <f t="shared" ca="1" si="138"/>
        <v>77.740374932073678</v>
      </c>
      <c r="I147">
        <f t="shared" ca="1" si="138"/>
        <v>79.044548184333664</v>
      </c>
      <c r="J147">
        <f t="shared" ca="1" si="138"/>
        <v>82.733568164149801</v>
      </c>
      <c r="K147">
        <f t="shared" ref="K147:P147" ca="1" si="154">J147*EXP(($C$4-0.5*$C$5^2)*$C$10+$C$5*SQRT($C$10)*NORMINV(RAND(),0,1))</f>
        <v>72.139850166660594</v>
      </c>
      <c r="L147">
        <f t="shared" ca="1" si="154"/>
        <v>69.218924109486593</v>
      </c>
      <c r="M147">
        <f t="shared" ca="1" si="154"/>
        <v>71.420479944241379</v>
      </c>
      <c r="N147">
        <f t="shared" ca="1" si="154"/>
        <v>70.070437794712447</v>
      </c>
      <c r="O147">
        <f t="shared" ca="1" si="154"/>
        <v>74.640684957140309</v>
      </c>
      <c r="P147">
        <f t="shared" ca="1" si="154"/>
        <v>73.562897268262518</v>
      </c>
      <c r="Q147">
        <f t="shared" ca="1" si="140"/>
        <v>78.252006675948266</v>
      </c>
      <c r="R147">
        <f t="shared" ca="1" si="141"/>
        <v>0</v>
      </c>
      <c r="S147">
        <f t="shared" ca="1" si="142"/>
        <v>0</v>
      </c>
    </row>
    <row r="148" spans="5:19" x14ac:dyDescent="0.75">
      <c r="E148">
        <v>143</v>
      </c>
      <c r="F148">
        <v>100</v>
      </c>
      <c r="G148">
        <f t="shared" ca="1" si="138"/>
        <v>101.80183336839632</v>
      </c>
      <c r="H148">
        <f t="shared" ca="1" si="138"/>
        <v>106.451554139791</v>
      </c>
      <c r="I148">
        <f t="shared" ca="1" si="138"/>
        <v>96.618550436556376</v>
      </c>
      <c r="J148">
        <f t="shared" ca="1" si="138"/>
        <v>91.490875522007585</v>
      </c>
      <c r="K148">
        <f t="shared" ref="K148:P148" ca="1" si="155">J148*EXP(($C$4-0.5*$C$5^2)*$C$10+$C$5*SQRT($C$10)*NORMINV(RAND(),0,1))</f>
        <v>93.662737648470127</v>
      </c>
      <c r="L148">
        <f t="shared" ca="1" si="155"/>
        <v>101.23082921169691</v>
      </c>
      <c r="M148">
        <f t="shared" ca="1" si="155"/>
        <v>107.76444560031197</v>
      </c>
      <c r="N148">
        <f t="shared" ca="1" si="155"/>
        <v>97.723593431827737</v>
      </c>
      <c r="O148">
        <f t="shared" ca="1" si="155"/>
        <v>99.167443498111709</v>
      </c>
      <c r="P148">
        <f t="shared" ca="1" si="155"/>
        <v>109.85572992596194</v>
      </c>
      <c r="Q148">
        <f t="shared" ca="1" si="140"/>
        <v>100.52432661664831</v>
      </c>
      <c r="R148">
        <f t="shared" ca="1" si="141"/>
        <v>0.5243266166483096</v>
      </c>
      <c r="S148">
        <f t="shared" ca="1" si="142"/>
        <v>0.49875490580477805</v>
      </c>
    </row>
    <row r="149" spans="5:19" x14ac:dyDescent="0.75">
      <c r="E149">
        <v>144</v>
      </c>
      <c r="F149">
        <v>100</v>
      </c>
      <c r="G149">
        <f t="shared" ca="1" si="138"/>
        <v>98.055384700405213</v>
      </c>
      <c r="H149">
        <f t="shared" ca="1" si="138"/>
        <v>95.217271869180252</v>
      </c>
      <c r="I149">
        <f t="shared" ca="1" si="138"/>
        <v>97.989050877516078</v>
      </c>
      <c r="J149">
        <f t="shared" ca="1" si="138"/>
        <v>104.09016758823654</v>
      </c>
      <c r="K149">
        <f t="shared" ref="K149:P149" ca="1" si="156">J149*EXP(($C$4-0.5*$C$5^2)*$C$10+$C$5*SQRT($C$10)*NORMINV(RAND(),0,1))</f>
        <v>105.41029449927542</v>
      </c>
      <c r="L149">
        <f t="shared" ca="1" si="156"/>
        <v>93.815423813687573</v>
      </c>
      <c r="M149">
        <f t="shared" ca="1" si="156"/>
        <v>94.997277499748449</v>
      </c>
      <c r="N149">
        <f t="shared" ca="1" si="156"/>
        <v>98.288289148847213</v>
      </c>
      <c r="O149">
        <f t="shared" ca="1" si="156"/>
        <v>88.173631013536166</v>
      </c>
      <c r="P149">
        <f t="shared" ca="1" si="156"/>
        <v>90.45008335866433</v>
      </c>
      <c r="Q149">
        <f t="shared" ca="1" si="140"/>
        <v>96.953352215372476</v>
      </c>
      <c r="R149">
        <f t="shared" ca="1" si="141"/>
        <v>0</v>
      </c>
      <c r="S149">
        <f t="shared" ca="1" si="142"/>
        <v>0</v>
      </c>
    </row>
    <row r="150" spans="5:19" x14ac:dyDescent="0.75">
      <c r="E150">
        <v>145</v>
      </c>
      <c r="F150">
        <v>100</v>
      </c>
      <c r="G150">
        <f t="shared" ca="1" si="138"/>
        <v>91.201933477452286</v>
      </c>
      <c r="H150">
        <f t="shared" ca="1" si="138"/>
        <v>85.159931268211167</v>
      </c>
      <c r="I150">
        <f t="shared" ca="1" si="138"/>
        <v>87.641475546515181</v>
      </c>
      <c r="J150">
        <f t="shared" ca="1" si="138"/>
        <v>80.653545687459541</v>
      </c>
      <c r="K150">
        <f t="shared" ref="K150:P150" ca="1" si="157">J150*EXP(($C$4-0.5*$C$5^2)*$C$10+$C$5*SQRT($C$10)*NORMINV(RAND(),0,1))</f>
        <v>84.573795810453163</v>
      </c>
      <c r="L150">
        <f t="shared" ca="1" si="157"/>
        <v>83.58512188445998</v>
      </c>
      <c r="M150">
        <f t="shared" ca="1" si="157"/>
        <v>78.085947856300791</v>
      </c>
      <c r="N150">
        <f t="shared" ca="1" si="157"/>
        <v>79.311195437022462</v>
      </c>
      <c r="O150">
        <f t="shared" ca="1" si="157"/>
        <v>75.694971472184676</v>
      </c>
      <c r="P150">
        <f t="shared" ca="1" si="157"/>
        <v>71.80044988706176</v>
      </c>
      <c r="Q150">
        <f t="shared" ca="1" si="140"/>
        <v>83.428033484283731</v>
      </c>
      <c r="R150">
        <f t="shared" ca="1" si="141"/>
        <v>0</v>
      </c>
      <c r="S150">
        <f t="shared" ca="1" si="142"/>
        <v>0</v>
      </c>
    </row>
    <row r="151" spans="5:19" x14ac:dyDescent="0.75">
      <c r="E151">
        <v>146</v>
      </c>
      <c r="F151">
        <v>100</v>
      </c>
      <c r="G151">
        <f t="shared" ca="1" si="138"/>
        <v>98.88830160506798</v>
      </c>
      <c r="H151">
        <f t="shared" ca="1" si="138"/>
        <v>100.59728678142238</v>
      </c>
      <c r="I151">
        <f t="shared" ca="1" si="138"/>
        <v>103.57371836616912</v>
      </c>
      <c r="J151">
        <f t="shared" ca="1" si="138"/>
        <v>92.170552675934985</v>
      </c>
      <c r="K151">
        <f t="shared" ref="K151:P151" ca="1" si="158">J151*EXP(($C$4-0.5*$C$5^2)*$C$10+$C$5*SQRT($C$10)*NORMINV(RAND(),0,1))</f>
        <v>86.443458380101902</v>
      </c>
      <c r="L151">
        <f t="shared" ca="1" si="158"/>
        <v>88.207675313525158</v>
      </c>
      <c r="M151">
        <f t="shared" ca="1" si="158"/>
        <v>89.341875372416013</v>
      </c>
      <c r="N151">
        <f t="shared" ca="1" si="158"/>
        <v>87.465540451339166</v>
      </c>
      <c r="O151">
        <f t="shared" ca="1" si="158"/>
        <v>90.635147023836069</v>
      </c>
      <c r="P151">
        <f t="shared" ca="1" si="158"/>
        <v>92.646303807245687</v>
      </c>
      <c r="Q151">
        <f t="shared" ca="1" si="140"/>
        <v>93.633623616096216</v>
      </c>
      <c r="R151">
        <f t="shared" ca="1" si="141"/>
        <v>0</v>
      </c>
      <c r="S151">
        <f t="shared" ca="1" si="142"/>
        <v>0</v>
      </c>
    </row>
    <row r="152" spans="5:19" x14ac:dyDescent="0.75">
      <c r="E152">
        <v>147</v>
      </c>
      <c r="F152">
        <v>100</v>
      </c>
      <c r="G152">
        <f t="shared" ca="1" si="138"/>
        <v>96.757426334680346</v>
      </c>
      <c r="H152">
        <f t="shared" ca="1" si="138"/>
        <v>97.728120753946669</v>
      </c>
      <c r="I152">
        <f t="shared" ca="1" si="138"/>
        <v>108.44630450240541</v>
      </c>
      <c r="J152">
        <f t="shared" ca="1" si="138"/>
        <v>106.67429903254423</v>
      </c>
      <c r="K152">
        <f t="shared" ref="K152:P152" ca="1" si="159">J152*EXP(($C$4-0.5*$C$5^2)*$C$10+$C$5*SQRT($C$10)*NORMINV(RAND(),0,1))</f>
        <v>100.90565898767377</v>
      </c>
      <c r="L152">
        <f t="shared" ca="1" si="159"/>
        <v>100.34219216701118</v>
      </c>
      <c r="M152">
        <f t="shared" ca="1" si="159"/>
        <v>106.33921939719932</v>
      </c>
      <c r="N152">
        <f t="shared" ca="1" si="159"/>
        <v>108.52565806457309</v>
      </c>
      <c r="O152">
        <f t="shared" ca="1" si="159"/>
        <v>112.26753902400152</v>
      </c>
      <c r="P152">
        <f t="shared" ca="1" si="159"/>
        <v>114.44084471985413</v>
      </c>
      <c r="Q152">
        <f t="shared" ca="1" si="140"/>
        <v>104.76611481671725</v>
      </c>
      <c r="R152">
        <f t="shared" ca="1" si="141"/>
        <v>4.7661148167172485</v>
      </c>
      <c r="S152">
        <f t="shared" ca="1" si="142"/>
        <v>4.533668654210274</v>
      </c>
    </row>
    <row r="153" spans="5:19" x14ac:dyDescent="0.75">
      <c r="E153">
        <v>148</v>
      </c>
      <c r="F153">
        <v>100</v>
      </c>
      <c r="G153">
        <f t="shared" ca="1" si="138"/>
        <v>103.61824157809359</v>
      </c>
      <c r="H153">
        <f t="shared" ca="1" si="138"/>
        <v>110.8694134895055</v>
      </c>
      <c r="I153">
        <f t="shared" ca="1" si="138"/>
        <v>109.69739438661405</v>
      </c>
      <c r="J153">
        <f t="shared" ca="1" si="138"/>
        <v>123.01397695890984</v>
      </c>
      <c r="K153">
        <f t="shared" ref="K153:P153" ca="1" si="160">J153*EXP(($C$4-0.5*$C$5^2)*$C$10+$C$5*SQRT($C$10)*NORMINV(RAND(),0,1))</f>
        <v>119.73767852621522</v>
      </c>
      <c r="L153">
        <f t="shared" ca="1" si="160"/>
        <v>117.26993341833793</v>
      </c>
      <c r="M153">
        <f t="shared" ca="1" si="160"/>
        <v>118.37641111045212</v>
      </c>
      <c r="N153">
        <f t="shared" ca="1" si="160"/>
        <v>113.39971499123381</v>
      </c>
      <c r="O153">
        <f t="shared" ca="1" si="160"/>
        <v>110.5579291921939</v>
      </c>
      <c r="P153">
        <f t="shared" ca="1" si="160"/>
        <v>114.09404816390176</v>
      </c>
      <c r="Q153">
        <f t="shared" ca="1" si="140"/>
        <v>112.78497652867796</v>
      </c>
      <c r="R153">
        <f t="shared" ca="1" si="141"/>
        <v>12.784976528677959</v>
      </c>
      <c r="S153">
        <f t="shared" ca="1" si="142"/>
        <v>12.161445865629471</v>
      </c>
    </row>
    <row r="154" spans="5:19" x14ac:dyDescent="0.75">
      <c r="E154">
        <v>149</v>
      </c>
      <c r="F154">
        <v>100</v>
      </c>
      <c r="G154">
        <f t="shared" ca="1" si="138"/>
        <v>109.6544354734142</v>
      </c>
      <c r="H154">
        <f t="shared" ca="1" si="138"/>
        <v>100.97650337598044</v>
      </c>
      <c r="I154">
        <f t="shared" ca="1" si="138"/>
        <v>99.325431024560956</v>
      </c>
      <c r="J154">
        <f t="shared" ca="1" si="138"/>
        <v>111.18446880648104</v>
      </c>
      <c r="K154">
        <f t="shared" ref="K154:P154" ca="1" si="161">J154*EXP(($C$4-0.5*$C$5^2)*$C$10+$C$5*SQRT($C$10)*NORMINV(RAND(),0,1))</f>
        <v>118.56523779650212</v>
      </c>
      <c r="L154">
        <f t="shared" ca="1" si="161"/>
        <v>117.47768638895137</v>
      </c>
      <c r="M154">
        <f t="shared" ca="1" si="161"/>
        <v>116.65450593611379</v>
      </c>
      <c r="N154">
        <f t="shared" ca="1" si="161"/>
        <v>116.48294537599359</v>
      </c>
      <c r="O154">
        <f t="shared" ca="1" si="161"/>
        <v>121.52423806046862</v>
      </c>
      <c r="P154">
        <f t="shared" ca="1" si="161"/>
        <v>118.7940506797414</v>
      </c>
      <c r="Q154">
        <f t="shared" ca="1" si="140"/>
        <v>111.87631844710977</v>
      </c>
      <c r="R154">
        <f t="shared" ca="1" si="141"/>
        <v>11.876318447109767</v>
      </c>
      <c r="S154">
        <f t="shared" ca="1" si="142"/>
        <v>11.297103561631438</v>
      </c>
    </row>
    <row r="155" spans="5:19" x14ac:dyDescent="0.75">
      <c r="E155">
        <v>150</v>
      </c>
      <c r="F155">
        <v>100</v>
      </c>
      <c r="G155">
        <f t="shared" ca="1" si="138"/>
        <v>106.92626215285775</v>
      </c>
      <c r="H155">
        <f t="shared" ca="1" si="138"/>
        <v>101.8869319692093</v>
      </c>
      <c r="I155">
        <f t="shared" ca="1" si="138"/>
        <v>108.57856018888576</v>
      </c>
      <c r="J155">
        <f t="shared" ca="1" si="138"/>
        <v>107.84304063261945</v>
      </c>
      <c r="K155">
        <f t="shared" ref="K155:P155" ca="1" si="162">J155*EXP(($C$4-0.5*$C$5^2)*$C$10+$C$5*SQRT($C$10)*NORMINV(RAND(),0,1))</f>
        <v>122.94891572031489</v>
      </c>
      <c r="L155">
        <f t="shared" ca="1" si="162"/>
        <v>113.25929482812256</v>
      </c>
      <c r="M155">
        <f t="shared" ca="1" si="162"/>
        <v>116.09228364031979</v>
      </c>
      <c r="N155">
        <f t="shared" ca="1" si="162"/>
        <v>117.77696020922727</v>
      </c>
      <c r="O155">
        <f t="shared" ca="1" si="162"/>
        <v>124.43298769266627</v>
      </c>
      <c r="P155">
        <f t="shared" ca="1" si="162"/>
        <v>128.95420466442928</v>
      </c>
      <c r="Q155">
        <f t="shared" ca="1" si="140"/>
        <v>113.51813106351383</v>
      </c>
      <c r="R155">
        <f t="shared" ca="1" si="141"/>
        <v>13.518131063513835</v>
      </c>
      <c r="S155">
        <f t="shared" ca="1" si="142"/>
        <v>12.85884403187149</v>
      </c>
    </row>
    <row r="156" spans="5:19" x14ac:dyDescent="0.75">
      <c r="E156">
        <v>151</v>
      </c>
      <c r="F156">
        <v>100</v>
      </c>
      <c r="G156">
        <f t="shared" ca="1" si="138"/>
        <v>101.45379541267133</v>
      </c>
      <c r="H156">
        <f t="shared" ca="1" si="138"/>
        <v>90.359005335643872</v>
      </c>
      <c r="I156">
        <f t="shared" ca="1" si="138"/>
        <v>87.156688710295157</v>
      </c>
      <c r="J156">
        <f t="shared" ca="1" si="138"/>
        <v>82.653174448900558</v>
      </c>
      <c r="K156">
        <f t="shared" ref="K156:P156" ca="1" si="163">J156*EXP(($C$4-0.5*$C$5^2)*$C$10+$C$5*SQRT($C$10)*NORMINV(RAND(),0,1))</f>
        <v>86.711153621099484</v>
      </c>
      <c r="L156">
        <f t="shared" ca="1" si="163"/>
        <v>83.227329872630591</v>
      </c>
      <c r="M156">
        <f t="shared" ca="1" si="163"/>
        <v>85.808150500344098</v>
      </c>
      <c r="N156">
        <f t="shared" ca="1" si="163"/>
        <v>94.700854380432787</v>
      </c>
      <c r="O156">
        <f t="shared" ca="1" si="163"/>
        <v>92.781287184809429</v>
      </c>
      <c r="P156">
        <f t="shared" ca="1" si="163"/>
        <v>91.151703334205152</v>
      </c>
      <c r="Q156">
        <f t="shared" ca="1" si="140"/>
        <v>90.545740254639327</v>
      </c>
      <c r="R156">
        <f t="shared" ca="1" si="141"/>
        <v>0</v>
      </c>
      <c r="S156">
        <f t="shared" ca="1" si="142"/>
        <v>0</v>
      </c>
    </row>
    <row r="157" spans="5:19" x14ac:dyDescent="0.75">
      <c r="E157">
        <v>152</v>
      </c>
      <c r="F157">
        <v>100</v>
      </c>
      <c r="G157">
        <f t="shared" ca="1" si="138"/>
        <v>96.256031543001924</v>
      </c>
      <c r="H157">
        <f t="shared" ca="1" si="138"/>
        <v>101.12254512386447</v>
      </c>
      <c r="I157">
        <f t="shared" ca="1" si="138"/>
        <v>108.41636419924716</v>
      </c>
      <c r="J157">
        <f t="shared" ca="1" si="138"/>
        <v>111.98377249405368</v>
      </c>
      <c r="K157">
        <f t="shared" ref="K157:P157" ca="1" si="164">J157*EXP(($C$4-0.5*$C$5^2)*$C$10+$C$5*SQRT($C$10)*NORMINV(RAND(),0,1))</f>
        <v>101.1973818857481</v>
      </c>
      <c r="L157">
        <f t="shared" ca="1" si="164"/>
        <v>98.939978162189846</v>
      </c>
      <c r="M157">
        <f t="shared" ca="1" si="164"/>
        <v>108.93045220898223</v>
      </c>
      <c r="N157">
        <f t="shared" ca="1" si="164"/>
        <v>116.58027827575742</v>
      </c>
      <c r="O157">
        <f t="shared" ca="1" si="164"/>
        <v>127.56319397110187</v>
      </c>
      <c r="P157">
        <f t="shared" ca="1" si="164"/>
        <v>131.90373094807077</v>
      </c>
      <c r="Q157">
        <f t="shared" ca="1" si="140"/>
        <v>109.35397534654703</v>
      </c>
      <c r="R157">
        <f t="shared" ca="1" si="141"/>
        <v>9.3539753465470312</v>
      </c>
      <c r="S157">
        <f t="shared" ca="1" si="142"/>
        <v>8.8977765856897992</v>
      </c>
    </row>
    <row r="158" spans="5:19" x14ac:dyDescent="0.75">
      <c r="E158">
        <v>153</v>
      </c>
      <c r="F158">
        <v>100</v>
      </c>
      <c r="G158">
        <f t="shared" ca="1" si="138"/>
        <v>95.680521775709124</v>
      </c>
      <c r="H158">
        <f t="shared" ca="1" si="138"/>
        <v>98.512855758150536</v>
      </c>
      <c r="I158">
        <f t="shared" ca="1" si="138"/>
        <v>110.80150581294323</v>
      </c>
      <c r="J158">
        <f t="shared" ca="1" si="138"/>
        <v>111.30044527613937</v>
      </c>
      <c r="K158">
        <f t="shared" ref="K158:P158" ca="1" si="165">J158*EXP(($C$4-0.5*$C$5^2)*$C$10+$C$5*SQRT($C$10)*NORMINV(RAND(),0,1))</f>
        <v>101.77402046143477</v>
      </c>
      <c r="L158">
        <f t="shared" ca="1" si="165"/>
        <v>109.69363435337914</v>
      </c>
      <c r="M158">
        <f t="shared" ca="1" si="165"/>
        <v>107.32704999604003</v>
      </c>
      <c r="N158">
        <f t="shared" ca="1" si="165"/>
        <v>112.07740405774872</v>
      </c>
      <c r="O158">
        <f t="shared" ca="1" si="165"/>
        <v>119.84167236454401</v>
      </c>
      <c r="P158">
        <f t="shared" ca="1" si="165"/>
        <v>127.55946858875927</v>
      </c>
      <c r="Q158">
        <f t="shared" ca="1" si="140"/>
        <v>108.59714349498618</v>
      </c>
      <c r="R158">
        <f t="shared" ca="1" si="141"/>
        <v>8.5971434949861845</v>
      </c>
      <c r="S158">
        <f t="shared" ca="1" si="142"/>
        <v>8.1778558590857653</v>
      </c>
    </row>
    <row r="159" spans="5:19" x14ac:dyDescent="0.75">
      <c r="E159">
        <v>154</v>
      </c>
      <c r="F159">
        <v>100</v>
      </c>
      <c r="G159">
        <f t="shared" ca="1" si="138"/>
        <v>105.687079063086</v>
      </c>
      <c r="H159">
        <f t="shared" ca="1" si="138"/>
        <v>111.93006941463643</v>
      </c>
      <c r="I159">
        <f t="shared" ca="1" si="138"/>
        <v>102.83734133763875</v>
      </c>
      <c r="J159">
        <f t="shared" ca="1" si="138"/>
        <v>108.77274566470598</v>
      </c>
      <c r="K159">
        <f t="shared" ref="K159:P159" ca="1" si="166">J159*EXP(($C$4-0.5*$C$5^2)*$C$10+$C$5*SQRT($C$10)*NORMINV(RAND(),0,1))</f>
        <v>111.37795536519175</v>
      </c>
      <c r="L159">
        <f t="shared" ca="1" si="166"/>
        <v>121.70673622325292</v>
      </c>
      <c r="M159">
        <f t="shared" ca="1" si="166"/>
        <v>124.30478327771353</v>
      </c>
      <c r="N159">
        <f t="shared" ca="1" si="166"/>
        <v>116.41532567789351</v>
      </c>
      <c r="O159">
        <f t="shared" ca="1" si="166"/>
        <v>110.42031140393125</v>
      </c>
      <c r="P159">
        <f t="shared" ca="1" si="166"/>
        <v>106.45495343615895</v>
      </c>
      <c r="Q159">
        <f t="shared" ca="1" si="140"/>
        <v>110.90066371492811</v>
      </c>
      <c r="R159">
        <f t="shared" ca="1" si="141"/>
        <v>10.900663714928115</v>
      </c>
      <c r="S159">
        <f t="shared" ca="1" si="142"/>
        <v>10.369032072226886</v>
      </c>
    </row>
    <row r="160" spans="5:19" x14ac:dyDescent="0.75">
      <c r="E160">
        <v>155</v>
      </c>
      <c r="F160">
        <v>100</v>
      </c>
      <c r="G160">
        <f t="shared" ca="1" si="138"/>
        <v>103.45924134611506</v>
      </c>
      <c r="H160">
        <f t="shared" ca="1" si="138"/>
        <v>100.77390174874115</v>
      </c>
      <c r="I160">
        <f t="shared" ca="1" si="138"/>
        <v>106.14758864593317</v>
      </c>
      <c r="J160">
        <f t="shared" ca="1" si="138"/>
        <v>99.012276810176189</v>
      </c>
      <c r="K160">
        <f t="shared" ref="K160:P160" ca="1" si="167">J160*EXP(($C$4-0.5*$C$5^2)*$C$10+$C$5*SQRT($C$10)*NORMINV(RAND(),0,1))</f>
        <v>102.28766468013328</v>
      </c>
      <c r="L160">
        <f t="shared" ca="1" si="167"/>
        <v>104.02328619651236</v>
      </c>
      <c r="M160">
        <f t="shared" ca="1" si="167"/>
        <v>118.01356806681059</v>
      </c>
      <c r="N160">
        <f t="shared" ca="1" si="167"/>
        <v>113.48775503698737</v>
      </c>
      <c r="O160">
        <f t="shared" ca="1" si="167"/>
        <v>109.26379175153552</v>
      </c>
      <c r="P160">
        <f t="shared" ca="1" si="167"/>
        <v>107.3889166376901</v>
      </c>
      <c r="Q160">
        <f t="shared" ca="1" si="140"/>
        <v>105.80527190187587</v>
      </c>
      <c r="R160">
        <f t="shared" ca="1" si="141"/>
        <v>5.8052719018758694</v>
      </c>
      <c r="S160">
        <f t="shared" ca="1" si="142"/>
        <v>5.522145450291549</v>
      </c>
    </row>
    <row r="161" spans="5:19" x14ac:dyDescent="0.75">
      <c r="E161">
        <v>156</v>
      </c>
      <c r="F161">
        <v>100</v>
      </c>
      <c r="G161">
        <f t="shared" ca="1" si="138"/>
        <v>94.122476262478429</v>
      </c>
      <c r="H161">
        <f t="shared" ca="1" si="138"/>
        <v>97.038226978055278</v>
      </c>
      <c r="I161">
        <f t="shared" ca="1" si="138"/>
        <v>106.56574188923551</v>
      </c>
      <c r="J161">
        <f t="shared" ca="1" si="138"/>
        <v>112.59208954329718</v>
      </c>
      <c r="K161">
        <f t="shared" ref="K161:P161" ca="1" si="168">J161*EXP(($C$4-0.5*$C$5^2)*$C$10+$C$5*SQRT($C$10)*NORMINV(RAND(),0,1))</f>
        <v>109.84398157790612</v>
      </c>
      <c r="L161">
        <f t="shared" ca="1" si="168"/>
        <v>124.52757478223019</v>
      </c>
      <c r="M161">
        <f t="shared" ca="1" si="168"/>
        <v>125.01762928177111</v>
      </c>
      <c r="N161">
        <f t="shared" ca="1" si="168"/>
        <v>130.16194563885148</v>
      </c>
      <c r="O161">
        <f t="shared" ca="1" si="168"/>
        <v>132.96620393070296</v>
      </c>
      <c r="P161">
        <f t="shared" ca="1" si="168"/>
        <v>130.29457922726539</v>
      </c>
      <c r="Q161">
        <f t="shared" ca="1" si="140"/>
        <v>114.83004082834486</v>
      </c>
      <c r="R161">
        <f t="shared" ca="1" si="141"/>
        <v>14.830040828344863</v>
      </c>
      <c r="S161">
        <f t="shared" ca="1" si="142"/>
        <v>14.106771202468577</v>
      </c>
    </row>
    <row r="162" spans="5:19" x14ac:dyDescent="0.75">
      <c r="E162">
        <v>157</v>
      </c>
      <c r="F162">
        <v>100</v>
      </c>
      <c r="G162">
        <f t="shared" ca="1" si="138"/>
        <v>95.664826475163835</v>
      </c>
      <c r="H162">
        <f t="shared" ca="1" si="138"/>
        <v>94.643752320353897</v>
      </c>
      <c r="I162">
        <f t="shared" ca="1" si="138"/>
        <v>84.55028673839351</v>
      </c>
      <c r="J162">
        <f t="shared" ca="1" si="138"/>
        <v>91.499336836458539</v>
      </c>
      <c r="K162">
        <f t="shared" ref="K162:P162" ca="1" si="169">J162*EXP(($C$4-0.5*$C$5^2)*$C$10+$C$5*SQRT($C$10)*NORMINV(RAND(),0,1))</f>
        <v>97.641960409193075</v>
      </c>
      <c r="L162">
        <f t="shared" ca="1" si="169"/>
        <v>102.76991482902403</v>
      </c>
      <c r="M162">
        <f t="shared" ca="1" si="169"/>
        <v>105.31068056651381</v>
      </c>
      <c r="N162">
        <f t="shared" ca="1" si="169"/>
        <v>104.77825878211627</v>
      </c>
      <c r="O162">
        <f t="shared" ca="1" si="169"/>
        <v>99.905692566876013</v>
      </c>
      <c r="P162">
        <f t="shared" ca="1" si="169"/>
        <v>101.91048364857339</v>
      </c>
      <c r="Q162">
        <f t="shared" ca="1" si="140"/>
        <v>98.061381197515132</v>
      </c>
      <c r="R162">
        <f t="shared" ca="1" si="141"/>
        <v>0</v>
      </c>
      <c r="S162">
        <f t="shared" ca="1" si="142"/>
        <v>0</v>
      </c>
    </row>
    <row r="163" spans="5:19" x14ac:dyDescent="0.75">
      <c r="E163">
        <v>158</v>
      </c>
      <c r="F163">
        <v>100</v>
      </c>
      <c r="G163">
        <f t="shared" ca="1" si="138"/>
        <v>112.0421255174732</v>
      </c>
      <c r="H163">
        <f t="shared" ca="1" si="138"/>
        <v>112.90960958557407</v>
      </c>
      <c r="I163">
        <f t="shared" ca="1" si="138"/>
        <v>120.80569649791875</v>
      </c>
      <c r="J163">
        <f t="shared" ca="1" si="138"/>
        <v>128.33298616495128</v>
      </c>
      <c r="K163">
        <f t="shared" ref="K163:P163" ca="1" si="170">J163*EXP(($C$4-0.5*$C$5^2)*$C$10+$C$5*SQRT($C$10)*NORMINV(RAND(),0,1))</f>
        <v>138.11399610830267</v>
      </c>
      <c r="L163">
        <f t="shared" ca="1" si="170"/>
        <v>132.86458171101933</v>
      </c>
      <c r="M163">
        <f t="shared" ca="1" si="170"/>
        <v>147.82503481595487</v>
      </c>
      <c r="N163">
        <f t="shared" ca="1" si="170"/>
        <v>144.09968598429401</v>
      </c>
      <c r="O163">
        <f t="shared" ca="1" si="170"/>
        <v>149.35360768925437</v>
      </c>
      <c r="P163">
        <f t="shared" ca="1" si="170"/>
        <v>165.46089148789713</v>
      </c>
      <c r="Q163">
        <f t="shared" ca="1" si="140"/>
        <v>131.98256505114907</v>
      </c>
      <c r="R163">
        <f t="shared" ca="1" si="141"/>
        <v>31.982565051149066</v>
      </c>
      <c r="S163">
        <f t="shared" ca="1" si="142"/>
        <v>30.422756947661174</v>
      </c>
    </row>
    <row r="164" spans="5:19" x14ac:dyDescent="0.75">
      <c r="E164">
        <v>159</v>
      </c>
      <c r="F164">
        <v>100</v>
      </c>
      <c r="G164">
        <f t="shared" ca="1" si="138"/>
        <v>95.921987265397945</v>
      </c>
      <c r="H164">
        <f t="shared" ca="1" si="138"/>
        <v>105.03896988621263</v>
      </c>
      <c r="I164">
        <f t="shared" ca="1" si="138"/>
        <v>103.69269538644167</v>
      </c>
      <c r="J164">
        <f t="shared" ca="1" si="138"/>
        <v>97.898400616148351</v>
      </c>
      <c r="K164">
        <f t="shared" ref="K164:P164" ca="1" si="171">J164*EXP(($C$4-0.5*$C$5^2)*$C$10+$C$5*SQRT($C$10)*NORMINV(RAND(),0,1))</f>
        <v>104.24566958942395</v>
      </c>
      <c r="L164">
        <f t="shared" ca="1" si="171"/>
        <v>105.85580573597976</v>
      </c>
      <c r="M164">
        <f t="shared" ca="1" si="171"/>
        <v>99.261019053013058</v>
      </c>
      <c r="N164">
        <f t="shared" ca="1" si="171"/>
        <v>108.06642150182543</v>
      </c>
      <c r="O164">
        <f t="shared" ca="1" si="171"/>
        <v>110.3926867046633</v>
      </c>
      <c r="P164">
        <f t="shared" ca="1" si="171"/>
        <v>111.50629825409392</v>
      </c>
      <c r="Q164">
        <f t="shared" ca="1" si="140"/>
        <v>103.80726854483638</v>
      </c>
      <c r="R164">
        <f t="shared" ca="1" si="141"/>
        <v>3.8072685448363757</v>
      </c>
      <c r="S164">
        <f t="shared" ca="1" si="142"/>
        <v>3.6215858668243763</v>
      </c>
    </row>
    <row r="165" spans="5:19" x14ac:dyDescent="0.75">
      <c r="E165">
        <v>160</v>
      </c>
      <c r="F165">
        <v>100</v>
      </c>
      <c r="G165">
        <f t="shared" ca="1" si="138"/>
        <v>98.986279593530057</v>
      </c>
      <c r="H165">
        <f t="shared" ca="1" si="138"/>
        <v>88.657569981562105</v>
      </c>
      <c r="I165">
        <f t="shared" ca="1" si="138"/>
        <v>90.267909829162932</v>
      </c>
      <c r="J165">
        <f t="shared" ca="1" si="138"/>
        <v>82.660491333143</v>
      </c>
      <c r="K165">
        <f t="shared" ref="K165:P165" ca="1" si="172">J165*EXP(($C$4-0.5*$C$5^2)*$C$10+$C$5*SQRT($C$10)*NORMINV(RAND(),0,1))</f>
        <v>80.705474158008329</v>
      </c>
      <c r="L165">
        <f t="shared" ca="1" si="172"/>
        <v>89.501017737409484</v>
      </c>
      <c r="M165">
        <f t="shared" ca="1" si="172"/>
        <v>80.617692906432865</v>
      </c>
      <c r="N165">
        <f t="shared" ca="1" si="172"/>
        <v>82.820552946989551</v>
      </c>
      <c r="O165">
        <f t="shared" ca="1" si="172"/>
        <v>87.652910331439585</v>
      </c>
      <c r="P165">
        <f t="shared" ca="1" si="172"/>
        <v>98.40605236190116</v>
      </c>
      <c r="Q165">
        <f t="shared" ca="1" si="140"/>
        <v>89.115995561779926</v>
      </c>
      <c r="R165">
        <f t="shared" ca="1" si="141"/>
        <v>0</v>
      </c>
      <c r="S165">
        <f t="shared" ca="1" si="142"/>
        <v>0</v>
      </c>
    </row>
    <row r="166" spans="5:19" x14ac:dyDescent="0.75">
      <c r="E166">
        <v>161</v>
      </c>
      <c r="F166">
        <v>100</v>
      </c>
      <c r="G166">
        <f t="shared" ca="1" si="138"/>
        <v>101.66621351311875</v>
      </c>
      <c r="H166">
        <f t="shared" ca="1" si="138"/>
        <v>107.74288103241695</v>
      </c>
      <c r="I166">
        <f t="shared" ca="1" si="138"/>
        <v>101.17017082475699</v>
      </c>
      <c r="J166">
        <f t="shared" ca="1" si="138"/>
        <v>100.70825318792275</v>
      </c>
      <c r="K166">
        <f t="shared" ref="K166:P166" ca="1" si="173">J166*EXP(($C$4-0.5*$C$5^2)*$C$10+$C$5*SQRT($C$10)*NORMINV(RAND(),0,1))</f>
        <v>98.321883156155337</v>
      </c>
      <c r="L166">
        <f t="shared" ca="1" si="173"/>
        <v>99.938814583571173</v>
      </c>
      <c r="M166">
        <f t="shared" ca="1" si="173"/>
        <v>100.63292128968871</v>
      </c>
      <c r="N166">
        <f t="shared" ca="1" si="173"/>
        <v>92.56717046899243</v>
      </c>
      <c r="O166">
        <f t="shared" ca="1" si="173"/>
        <v>97.157628832641848</v>
      </c>
      <c r="P166">
        <f t="shared" ca="1" si="173"/>
        <v>98.4649477427905</v>
      </c>
      <c r="Q166">
        <f t="shared" ca="1" si="140"/>
        <v>99.851898602914147</v>
      </c>
      <c r="R166">
        <f t="shared" ca="1" si="141"/>
        <v>0</v>
      </c>
      <c r="S166">
        <f t="shared" ca="1" si="142"/>
        <v>0</v>
      </c>
    </row>
    <row r="167" spans="5:19" x14ac:dyDescent="0.75">
      <c r="E167">
        <v>162</v>
      </c>
      <c r="F167">
        <v>100</v>
      </c>
      <c r="G167">
        <f t="shared" ca="1" si="138"/>
        <v>93.503138465927861</v>
      </c>
      <c r="H167">
        <f t="shared" ca="1" si="138"/>
        <v>88.289258634046462</v>
      </c>
      <c r="I167">
        <f t="shared" ca="1" si="138"/>
        <v>80.980743175949385</v>
      </c>
      <c r="J167">
        <f t="shared" ca="1" si="138"/>
        <v>81.956643535657349</v>
      </c>
      <c r="K167">
        <f t="shared" ref="K167:P167" ca="1" si="174">J167*EXP(($C$4-0.5*$C$5^2)*$C$10+$C$5*SQRT($C$10)*NORMINV(RAND(),0,1))</f>
        <v>69.47917348787179</v>
      </c>
      <c r="L167">
        <f t="shared" ca="1" si="174"/>
        <v>66.969611093491224</v>
      </c>
      <c r="M167">
        <f t="shared" ca="1" si="174"/>
        <v>69.974984522511747</v>
      </c>
      <c r="N167">
        <f t="shared" ca="1" si="174"/>
        <v>68.302932640870424</v>
      </c>
      <c r="O167">
        <f t="shared" ca="1" si="174"/>
        <v>66.038102729593319</v>
      </c>
      <c r="P167">
        <f t="shared" ca="1" si="174"/>
        <v>60.546713453994037</v>
      </c>
      <c r="Q167">
        <f t="shared" ca="1" si="140"/>
        <v>76.912845612719423</v>
      </c>
      <c r="R167">
        <f t="shared" ca="1" si="141"/>
        <v>0</v>
      </c>
      <c r="S167">
        <f t="shared" ca="1" si="142"/>
        <v>0</v>
      </c>
    </row>
    <row r="168" spans="5:19" x14ac:dyDescent="0.75">
      <c r="E168">
        <v>163</v>
      </c>
      <c r="F168">
        <v>100</v>
      </c>
      <c r="G168">
        <f t="shared" ca="1" si="138"/>
        <v>95.182392612077948</v>
      </c>
      <c r="H168">
        <f t="shared" ca="1" si="138"/>
        <v>98.577737291605388</v>
      </c>
      <c r="I168">
        <f t="shared" ca="1" si="138"/>
        <v>98.375433012929662</v>
      </c>
      <c r="J168">
        <f t="shared" ca="1" si="138"/>
        <v>94.792500286388204</v>
      </c>
      <c r="K168">
        <f t="shared" ref="K168:P168" ca="1" si="175">J168*EXP(($C$4-0.5*$C$5^2)*$C$10+$C$5*SQRT($C$10)*NORMINV(RAND(),0,1))</f>
        <v>90.085095552731786</v>
      </c>
      <c r="L168">
        <f t="shared" ca="1" si="175"/>
        <v>96.335955997131535</v>
      </c>
      <c r="M168">
        <f t="shared" ca="1" si="175"/>
        <v>86.569962511989743</v>
      </c>
      <c r="N168">
        <f t="shared" ca="1" si="175"/>
        <v>79.554437137985474</v>
      </c>
      <c r="O168">
        <f t="shared" ca="1" si="175"/>
        <v>89.38643948148399</v>
      </c>
      <c r="P168">
        <f t="shared" ca="1" si="175"/>
        <v>91.718898067259943</v>
      </c>
      <c r="Q168">
        <f t="shared" ca="1" si="140"/>
        <v>92.779895631962162</v>
      </c>
      <c r="R168">
        <f t="shared" ca="1" si="141"/>
        <v>0</v>
      </c>
      <c r="S168">
        <f t="shared" ca="1" si="142"/>
        <v>0</v>
      </c>
    </row>
    <row r="169" spans="5:19" x14ac:dyDescent="0.75">
      <c r="E169">
        <v>164</v>
      </c>
      <c r="F169">
        <v>100</v>
      </c>
      <c r="G169">
        <f t="shared" ca="1" si="138"/>
        <v>107.28065666423956</v>
      </c>
      <c r="H169">
        <f t="shared" ca="1" si="138"/>
        <v>109.3512078095912</v>
      </c>
      <c r="I169">
        <f t="shared" ca="1" si="138"/>
        <v>112.75983375103013</v>
      </c>
      <c r="J169">
        <f t="shared" ca="1" si="138"/>
        <v>114.09892000365002</v>
      </c>
      <c r="K169">
        <f t="shared" ref="K169:P169" ca="1" si="176">J169*EXP(($C$4-0.5*$C$5^2)*$C$10+$C$5*SQRT($C$10)*NORMINV(RAND(),0,1))</f>
        <v>118.96711512678679</v>
      </c>
      <c r="L169">
        <f t="shared" ca="1" si="176"/>
        <v>117.90363468724298</v>
      </c>
      <c r="M169">
        <f t="shared" ca="1" si="176"/>
        <v>114.5870272596067</v>
      </c>
      <c r="N169">
        <f t="shared" ca="1" si="176"/>
        <v>130.17316728750001</v>
      </c>
      <c r="O169">
        <f t="shared" ca="1" si="176"/>
        <v>127.25826277114975</v>
      </c>
      <c r="P169">
        <f t="shared" ca="1" si="176"/>
        <v>140.77344374258664</v>
      </c>
      <c r="Q169">
        <f t="shared" ca="1" si="140"/>
        <v>117.5593881003076</v>
      </c>
      <c r="R169">
        <f t="shared" ca="1" si="141"/>
        <v>17.559388100307601</v>
      </c>
      <c r="S169">
        <f t="shared" ca="1" si="142"/>
        <v>16.703006637240286</v>
      </c>
    </row>
    <row r="170" spans="5:19" x14ac:dyDescent="0.75">
      <c r="E170">
        <v>165</v>
      </c>
      <c r="F170">
        <v>100</v>
      </c>
      <c r="G170">
        <f t="shared" ca="1" si="138"/>
        <v>107.99629033193214</v>
      </c>
      <c r="H170">
        <f t="shared" ca="1" si="138"/>
        <v>100.33181476460462</v>
      </c>
      <c r="I170">
        <f t="shared" ca="1" si="138"/>
        <v>101.43051055627849</v>
      </c>
      <c r="J170">
        <f t="shared" ca="1" si="138"/>
        <v>106.26994358094763</v>
      </c>
      <c r="K170">
        <f t="shared" ref="K170:P170" ca="1" si="177">J170*EXP(($C$4-0.5*$C$5^2)*$C$10+$C$5*SQRT($C$10)*NORMINV(RAND(),0,1))</f>
        <v>97.914537896159359</v>
      </c>
      <c r="L170">
        <f t="shared" ca="1" si="177"/>
        <v>103.56731179034908</v>
      </c>
      <c r="M170">
        <f t="shared" ca="1" si="177"/>
        <v>104.49108637427707</v>
      </c>
      <c r="N170">
        <f t="shared" ca="1" si="177"/>
        <v>109.58508957647766</v>
      </c>
      <c r="O170">
        <f t="shared" ca="1" si="177"/>
        <v>112.85540201363156</v>
      </c>
      <c r="P170">
        <f t="shared" ca="1" si="177"/>
        <v>110.48735739836374</v>
      </c>
      <c r="Q170">
        <f t="shared" ca="1" si="140"/>
        <v>104.99357675300193</v>
      </c>
      <c r="R170">
        <f t="shared" ca="1" si="141"/>
        <v>4.9935767530019319</v>
      </c>
      <c r="S170">
        <f t="shared" ca="1" si="142"/>
        <v>4.7500371409581721</v>
      </c>
    </row>
    <row r="171" spans="5:19" x14ac:dyDescent="0.75">
      <c r="E171">
        <v>166</v>
      </c>
      <c r="F171">
        <v>100</v>
      </c>
      <c r="G171">
        <f t="shared" ca="1" si="138"/>
        <v>98.349456006106408</v>
      </c>
      <c r="H171">
        <f t="shared" ca="1" si="138"/>
        <v>94.833668362748043</v>
      </c>
      <c r="I171">
        <f t="shared" ca="1" si="138"/>
        <v>90.759768528946609</v>
      </c>
      <c r="J171">
        <f t="shared" ca="1" si="138"/>
        <v>86.852782127356434</v>
      </c>
      <c r="K171">
        <f t="shared" ref="K171:P171" ca="1" si="178">J171*EXP(($C$4-0.5*$C$5^2)*$C$10+$C$5*SQRT($C$10)*NORMINV(RAND(),0,1))</f>
        <v>92.827653087141115</v>
      </c>
      <c r="L171">
        <f t="shared" ca="1" si="178"/>
        <v>90.589520525267304</v>
      </c>
      <c r="M171">
        <f t="shared" ca="1" si="178"/>
        <v>82.093446722292555</v>
      </c>
      <c r="N171">
        <f t="shared" ca="1" si="178"/>
        <v>78.590720950848052</v>
      </c>
      <c r="O171">
        <f t="shared" ca="1" si="178"/>
        <v>77.417357729040233</v>
      </c>
      <c r="P171">
        <f t="shared" ca="1" si="178"/>
        <v>72.097855212361736</v>
      </c>
      <c r="Q171">
        <f t="shared" ca="1" si="140"/>
        <v>87.673839022918955</v>
      </c>
      <c r="R171">
        <f t="shared" ca="1" si="141"/>
        <v>0</v>
      </c>
      <c r="S171">
        <f t="shared" ca="1" si="142"/>
        <v>0</v>
      </c>
    </row>
    <row r="172" spans="5:19" x14ac:dyDescent="0.75">
      <c r="E172">
        <v>167</v>
      </c>
      <c r="F172">
        <v>100</v>
      </c>
      <c r="G172">
        <f t="shared" ca="1" si="138"/>
        <v>110.89824228426617</v>
      </c>
      <c r="H172">
        <f t="shared" ca="1" si="138"/>
        <v>103.69148724270585</v>
      </c>
      <c r="I172">
        <f t="shared" ca="1" si="138"/>
        <v>105.78299734966902</v>
      </c>
      <c r="J172">
        <f t="shared" ca="1" si="138"/>
        <v>114.20711339469463</v>
      </c>
      <c r="K172">
        <f t="shared" ref="K172:P172" ca="1" si="179">J172*EXP(($C$4-0.5*$C$5^2)*$C$10+$C$5*SQRT($C$10)*NORMINV(RAND(),0,1))</f>
        <v>110.96138530728409</v>
      </c>
      <c r="L172">
        <f t="shared" ca="1" si="179"/>
        <v>115.57796825126096</v>
      </c>
      <c r="M172">
        <f t="shared" ca="1" si="179"/>
        <v>106.29689509355764</v>
      </c>
      <c r="N172">
        <f t="shared" ca="1" si="179"/>
        <v>103.51380740852998</v>
      </c>
      <c r="O172">
        <f t="shared" ca="1" si="179"/>
        <v>95.623452282116787</v>
      </c>
      <c r="P172">
        <f t="shared" ca="1" si="179"/>
        <v>89.063521997879121</v>
      </c>
      <c r="Q172">
        <f t="shared" ca="1" si="140"/>
        <v>105.0560791465422</v>
      </c>
      <c r="R172">
        <f t="shared" ca="1" si="141"/>
        <v>5.0560791465422028</v>
      </c>
      <c r="S172">
        <f t="shared" ca="1" si="142"/>
        <v>4.8094912567954005</v>
      </c>
    </row>
    <row r="173" spans="5:19" x14ac:dyDescent="0.75">
      <c r="E173">
        <v>168</v>
      </c>
      <c r="F173">
        <v>100</v>
      </c>
      <c r="G173">
        <f t="shared" ca="1" si="138"/>
        <v>106.40884521663227</v>
      </c>
      <c r="H173">
        <f t="shared" ca="1" si="138"/>
        <v>105.12908379551659</v>
      </c>
      <c r="I173">
        <f t="shared" ca="1" si="138"/>
        <v>110.29291900120556</v>
      </c>
      <c r="J173">
        <f t="shared" ca="1" si="138"/>
        <v>120.46903508691784</v>
      </c>
      <c r="K173">
        <f t="shared" ref="K173:P173" ca="1" si="180">J173*EXP(($C$4-0.5*$C$5^2)*$C$10+$C$5*SQRT($C$10)*NORMINV(RAND(),0,1))</f>
        <v>115.23550087027381</v>
      </c>
      <c r="L173">
        <f t="shared" ca="1" si="180"/>
        <v>118.85633890618132</v>
      </c>
      <c r="M173">
        <f t="shared" ca="1" si="180"/>
        <v>123.56781326906116</v>
      </c>
      <c r="N173">
        <f t="shared" ca="1" si="180"/>
        <v>125.66903149940681</v>
      </c>
      <c r="O173">
        <f t="shared" ca="1" si="180"/>
        <v>118.35974002298424</v>
      </c>
      <c r="P173">
        <f t="shared" ca="1" si="180"/>
        <v>116.83015103568431</v>
      </c>
      <c r="Q173">
        <f t="shared" ca="1" si="140"/>
        <v>114.61985988216944</v>
      </c>
      <c r="R173">
        <f t="shared" ca="1" si="141"/>
        <v>14.619859882169436</v>
      </c>
      <c r="S173">
        <f t="shared" ca="1" si="142"/>
        <v>13.906840901997109</v>
      </c>
    </row>
    <row r="174" spans="5:19" x14ac:dyDescent="0.75">
      <c r="E174">
        <v>169</v>
      </c>
      <c r="F174">
        <v>100</v>
      </c>
      <c r="G174">
        <f t="shared" ca="1" si="138"/>
        <v>103.42560923495272</v>
      </c>
      <c r="H174">
        <f t="shared" ca="1" si="138"/>
        <v>100.90407403073354</v>
      </c>
      <c r="I174">
        <f t="shared" ca="1" si="138"/>
        <v>94.65938515765626</v>
      </c>
      <c r="J174">
        <f t="shared" ca="1" si="138"/>
        <v>88.662041975789919</v>
      </c>
      <c r="K174">
        <f t="shared" ref="K174:P174" ca="1" si="181">J174*EXP(($C$4-0.5*$C$5^2)*$C$10+$C$5*SQRT($C$10)*NORMINV(RAND(),0,1))</f>
        <v>103.75876381482881</v>
      </c>
      <c r="L174">
        <f t="shared" ca="1" si="181"/>
        <v>93.527200629472304</v>
      </c>
      <c r="M174">
        <f t="shared" ca="1" si="181"/>
        <v>85.73034640492142</v>
      </c>
      <c r="N174">
        <f t="shared" ca="1" si="181"/>
        <v>82.23266413125944</v>
      </c>
      <c r="O174">
        <f t="shared" ca="1" si="181"/>
        <v>82.89842469591963</v>
      </c>
      <c r="P174">
        <f t="shared" ca="1" si="181"/>
        <v>71.574189871459993</v>
      </c>
      <c r="Q174">
        <f t="shared" ca="1" si="140"/>
        <v>91.579336358817642</v>
      </c>
      <c r="R174">
        <f t="shared" ca="1" si="141"/>
        <v>0</v>
      </c>
      <c r="S174">
        <f t="shared" ca="1" si="142"/>
        <v>0</v>
      </c>
    </row>
    <row r="175" spans="5:19" x14ac:dyDescent="0.75">
      <c r="E175">
        <v>170</v>
      </c>
      <c r="F175">
        <v>100</v>
      </c>
      <c r="G175">
        <f t="shared" ca="1" si="138"/>
        <v>91.976032513021295</v>
      </c>
      <c r="H175">
        <f t="shared" ca="1" si="138"/>
        <v>83.149264181337131</v>
      </c>
      <c r="I175">
        <f t="shared" ca="1" si="138"/>
        <v>79.464191515456577</v>
      </c>
      <c r="J175">
        <f t="shared" ca="1" si="138"/>
        <v>83.263339241392558</v>
      </c>
      <c r="K175">
        <f t="shared" ref="K175:P175" ca="1" si="182">J175*EXP(($C$4-0.5*$C$5^2)*$C$10+$C$5*SQRT($C$10)*NORMINV(RAND(),0,1))</f>
        <v>76.750114562871914</v>
      </c>
      <c r="L175">
        <f t="shared" ca="1" si="182"/>
        <v>85.856054479147858</v>
      </c>
      <c r="M175">
        <f t="shared" ca="1" si="182"/>
        <v>80.156736020628841</v>
      </c>
      <c r="N175">
        <f t="shared" ca="1" si="182"/>
        <v>89.102423001888482</v>
      </c>
      <c r="O175">
        <f t="shared" ca="1" si="182"/>
        <v>90.342497258187265</v>
      </c>
      <c r="P175">
        <f t="shared" ca="1" si="182"/>
        <v>86.67751463754982</v>
      </c>
      <c r="Q175">
        <f t="shared" ca="1" si="140"/>
        <v>86.067106128316524</v>
      </c>
      <c r="R175">
        <f t="shared" ca="1" si="141"/>
        <v>0</v>
      </c>
      <c r="S175">
        <f t="shared" ca="1" si="142"/>
        <v>0</v>
      </c>
    </row>
    <row r="176" spans="5:19" x14ac:dyDescent="0.75">
      <c r="E176">
        <v>171</v>
      </c>
      <c r="F176">
        <v>100</v>
      </c>
      <c r="G176">
        <f t="shared" ca="1" si="138"/>
        <v>109.7088089616197</v>
      </c>
      <c r="H176">
        <f t="shared" ca="1" si="138"/>
        <v>108.65721799365537</v>
      </c>
      <c r="I176">
        <f t="shared" ca="1" si="138"/>
        <v>116.85088482945929</v>
      </c>
      <c r="J176">
        <f t="shared" ca="1" si="138"/>
        <v>129.70292026442024</v>
      </c>
      <c r="K176">
        <f t="shared" ref="K176:P176" ca="1" si="183">J176*EXP(($C$4-0.5*$C$5^2)*$C$10+$C$5*SQRT($C$10)*NORMINV(RAND(),0,1))</f>
        <v>129.33884807383407</v>
      </c>
      <c r="L176">
        <f t="shared" ca="1" si="183"/>
        <v>122.03836884009998</v>
      </c>
      <c r="M176">
        <f t="shared" ca="1" si="183"/>
        <v>123.71581241967091</v>
      </c>
      <c r="N176">
        <f t="shared" ca="1" si="183"/>
        <v>116.97286123206523</v>
      </c>
      <c r="O176">
        <f t="shared" ca="1" si="183"/>
        <v>124.48292322223043</v>
      </c>
      <c r="P176">
        <f t="shared" ca="1" si="183"/>
        <v>125.73339789727193</v>
      </c>
      <c r="Q176">
        <f t="shared" ca="1" si="140"/>
        <v>118.83654943039338</v>
      </c>
      <c r="R176">
        <f t="shared" ca="1" si="141"/>
        <v>18.836549430393376</v>
      </c>
      <c r="S176">
        <f t="shared" ca="1" si="142"/>
        <v>17.917880074252345</v>
      </c>
    </row>
    <row r="177" spans="5:19" x14ac:dyDescent="0.75">
      <c r="E177">
        <v>172</v>
      </c>
      <c r="F177">
        <v>100</v>
      </c>
      <c r="G177">
        <f t="shared" ca="1" si="138"/>
        <v>93.863076871614524</v>
      </c>
      <c r="H177">
        <f t="shared" ca="1" si="138"/>
        <v>94.877236750785741</v>
      </c>
      <c r="I177">
        <f t="shared" ca="1" si="138"/>
        <v>101.52493453959667</v>
      </c>
      <c r="J177">
        <f t="shared" ca="1" si="138"/>
        <v>103.36651601948333</v>
      </c>
      <c r="K177">
        <f t="shared" ref="K177:P177" ca="1" si="184">J177*EXP(($C$4-0.5*$C$5^2)*$C$10+$C$5*SQRT($C$10)*NORMINV(RAND(),0,1))</f>
        <v>112.40600054171655</v>
      </c>
      <c r="L177">
        <f t="shared" ca="1" si="184"/>
        <v>107.53678301759848</v>
      </c>
      <c r="M177">
        <f t="shared" ca="1" si="184"/>
        <v>109.16513359328326</v>
      </c>
      <c r="N177">
        <f t="shared" ca="1" si="184"/>
        <v>107.01355749363745</v>
      </c>
      <c r="O177">
        <f t="shared" ca="1" si="184"/>
        <v>114.58846934395136</v>
      </c>
      <c r="P177">
        <f t="shared" ca="1" si="184"/>
        <v>104.91799759340869</v>
      </c>
      <c r="Q177">
        <f t="shared" ca="1" si="140"/>
        <v>104.47815506955239</v>
      </c>
      <c r="R177">
        <f t="shared" ca="1" si="141"/>
        <v>4.4781550695523862</v>
      </c>
      <c r="S177">
        <f t="shared" ca="1" si="142"/>
        <v>4.2597528696352711</v>
      </c>
    </row>
    <row r="178" spans="5:19" x14ac:dyDescent="0.75">
      <c r="E178">
        <v>173</v>
      </c>
      <c r="F178">
        <v>100</v>
      </c>
      <c r="G178">
        <f t="shared" ca="1" si="138"/>
        <v>96.255122477103484</v>
      </c>
      <c r="H178">
        <f t="shared" ca="1" si="138"/>
        <v>106.33688061416596</v>
      </c>
      <c r="I178">
        <f t="shared" ca="1" si="138"/>
        <v>109.32163680907152</v>
      </c>
      <c r="J178">
        <f t="shared" ca="1" si="138"/>
        <v>99.818428248232237</v>
      </c>
      <c r="K178">
        <f t="shared" ref="K178:P178" ca="1" si="185">J178*EXP(($C$4-0.5*$C$5^2)*$C$10+$C$5*SQRT($C$10)*NORMINV(RAND(),0,1))</f>
        <v>89.855783224177955</v>
      </c>
      <c r="L178">
        <f t="shared" ca="1" si="185"/>
        <v>90.87625886079411</v>
      </c>
      <c r="M178">
        <f t="shared" ca="1" si="185"/>
        <v>92.049863364011856</v>
      </c>
      <c r="N178">
        <f t="shared" ca="1" si="185"/>
        <v>98.087181930077037</v>
      </c>
      <c r="O178">
        <f t="shared" ca="1" si="185"/>
        <v>106.05737800853699</v>
      </c>
      <c r="P178">
        <f t="shared" ca="1" si="185"/>
        <v>99.800982261006553</v>
      </c>
      <c r="Q178">
        <f t="shared" ca="1" si="140"/>
        <v>98.950865072470705</v>
      </c>
      <c r="R178">
        <f t="shared" ca="1" si="141"/>
        <v>0</v>
      </c>
      <c r="S178">
        <f t="shared" ca="1" si="142"/>
        <v>0</v>
      </c>
    </row>
    <row r="179" spans="5:19" x14ac:dyDescent="0.75">
      <c r="E179">
        <v>174</v>
      </c>
      <c r="F179">
        <v>100</v>
      </c>
      <c r="G179">
        <f t="shared" ca="1" si="138"/>
        <v>97.440003258289948</v>
      </c>
      <c r="H179">
        <f t="shared" ca="1" si="138"/>
        <v>91.681001607404525</v>
      </c>
      <c r="I179">
        <f t="shared" ca="1" si="138"/>
        <v>97.556332081525198</v>
      </c>
      <c r="J179">
        <f t="shared" ca="1" si="138"/>
        <v>100.1258899213687</v>
      </c>
      <c r="K179">
        <f t="shared" ref="K179:P179" ca="1" si="186">J179*EXP(($C$4-0.5*$C$5^2)*$C$10+$C$5*SQRT($C$10)*NORMINV(RAND(),0,1))</f>
        <v>91.164435179963633</v>
      </c>
      <c r="L179">
        <f t="shared" ca="1" si="186"/>
        <v>97.68550197326023</v>
      </c>
      <c r="M179">
        <f t="shared" ca="1" si="186"/>
        <v>101.57950554696636</v>
      </c>
      <c r="N179">
        <f t="shared" ca="1" si="186"/>
        <v>104.64270923847037</v>
      </c>
      <c r="O179">
        <f t="shared" ca="1" si="186"/>
        <v>99.481641311164665</v>
      </c>
      <c r="P179">
        <f t="shared" ca="1" si="186"/>
        <v>100.63258789596121</v>
      </c>
      <c r="Q179">
        <f t="shared" ca="1" si="140"/>
        <v>98.362691637670437</v>
      </c>
      <c r="R179">
        <f t="shared" ca="1" si="141"/>
        <v>0</v>
      </c>
      <c r="S179">
        <f t="shared" ca="1" si="142"/>
        <v>0</v>
      </c>
    </row>
    <row r="180" spans="5:19" x14ac:dyDescent="0.75">
      <c r="E180">
        <v>175</v>
      </c>
      <c r="F180">
        <v>100</v>
      </c>
      <c r="G180">
        <f t="shared" ca="1" si="138"/>
        <v>98.57996970433679</v>
      </c>
      <c r="H180">
        <f t="shared" ca="1" si="138"/>
        <v>100.56028349173656</v>
      </c>
      <c r="I180">
        <f t="shared" ca="1" si="138"/>
        <v>97.634090787794207</v>
      </c>
      <c r="J180">
        <f t="shared" ca="1" si="138"/>
        <v>90.57716236896951</v>
      </c>
      <c r="K180">
        <f t="shared" ref="K180:P180" ca="1" si="187">J180*EXP(($C$4-0.5*$C$5^2)*$C$10+$C$5*SQRT($C$10)*NORMINV(RAND(),0,1))</f>
        <v>91.815024954672964</v>
      </c>
      <c r="L180">
        <f t="shared" ca="1" si="187"/>
        <v>89.602658574852398</v>
      </c>
      <c r="M180">
        <f t="shared" ca="1" si="187"/>
        <v>89.804839986889291</v>
      </c>
      <c r="N180">
        <f t="shared" ca="1" si="187"/>
        <v>91.887825042414889</v>
      </c>
      <c r="O180">
        <f t="shared" ca="1" si="187"/>
        <v>95.867280523105421</v>
      </c>
      <c r="P180">
        <f t="shared" ca="1" si="187"/>
        <v>104.90939049920395</v>
      </c>
      <c r="Q180">
        <f t="shared" ca="1" si="140"/>
        <v>95.567138721270553</v>
      </c>
      <c r="R180">
        <f t="shared" ca="1" si="141"/>
        <v>0</v>
      </c>
      <c r="S180">
        <f t="shared" ca="1" si="142"/>
        <v>0</v>
      </c>
    </row>
    <row r="181" spans="5:19" x14ac:dyDescent="0.75">
      <c r="E181">
        <v>176</v>
      </c>
      <c r="F181">
        <v>100</v>
      </c>
      <c r="G181">
        <f t="shared" ca="1" si="138"/>
        <v>104.70244305913687</v>
      </c>
      <c r="H181">
        <f t="shared" ca="1" si="138"/>
        <v>110.37294112363379</v>
      </c>
      <c r="I181">
        <f t="shared" ca="1" si="138"/>
        <v>120.56628428480123</v>
      </c>
      <c r="J181">
        <f t="shared" ca="1" si="138"/>
        <v>119.16730127548641</v>
      </c>
      <c r="K181">
        <f t="shared" ref="K181:P181" ca="1" si="188">J181*EXP(($C$4-0.5*$C$5^2)*$C$10+$C$5*SQRT($C$10)*NORMINV(RAND(),0,1))</f>
        <v>102.20162346101716</v>
      </c>
      <c r="L181">
        <f t="shared" ca="1" si="188"/>
        <v>104.86212768351793</v>
      </c>
      <c r="M181">
        <f t="shared" ca="1" si="188"/>
        <v>93.888557832868258</v>
      </c>
      <c r="N181">
        <f t="shared" ca="1" si="188"/>
        <v>93.55057922001437</v>
      </c>
      <c r="O181">
        <f t="shared" ca="1" si="188"/>
        <v>96.806323122453932</v>
      </c>
      <c r="P181">
        <f t="shared" ca="1" si="188"/>
        <v>105.34518362799925</v>
      </c>
      <c r="Q181">
        <f t="shared" ca="1" si="140"/>
        <v>104.67848769917536</v>
      </c>
      <c r="R181">
        <f t="shared" ca="1" si="141"/>
        <v>4.6784876991753634</v>
      </c>
      <c r="S181">
        <f t="shared" ca="1" si="142"/>
        <v>4.4503151616202503</v>
      </c>
    </row>
    <row r="182" spans="5:19" x14ac:dyDescent="0.75">
      <c r="E182">
        <v>177</v>
      </c>
      <c r="F182">
        <v>100</v>
      </c>
      <c r="G182">
        <f t="shared" ca="1" si="138"/>
        <v>100.91198220624842</v>
      </c>
      <c r="H182">
        <f t="shared" ca="1" si="138"/>
        <v>101.46225267276866</v>
      </c>
      <c r="I182">
        <f t="shared" ca="1" si="138"/>
        <v>98.628884719622647</v>
      </c>
      <c r="J182">
        <f t="shared" ca="1" si="138"/>
        <v>100.77612720902967</v>
      </c>
      <c r="K182">
        <f t="shared" ref="K182:P182" ca="1" si="189">J182*EXP(($C$4-0.5*$C$5^2)*$C$10+$C$5*SQRT($C$10)*NORMINV(RAND(),0,1))</f>
        <v>107.34160340625263</v>
      </c>
      <c r="L182">
        <f t="shared" ca="1" si="189"/>
        <v>113.79877004566397</v>
      </c>
      <c r="M182">
        <f t="shared" ca="1" si="189"/>
        <v>114.8877866996521</v>
      </c>
      <c r="N182">
        <f t="shared" ca="1" si="189"/>
        <v>109.43849221580764</v>
      </c>
      <c r="O182">
        <f t="shared" ca="1" si="189"/>
        <v>111.09838860261104</v>
      </c>
      <c r="P182">
        <f t="shared" ca="1" si="189"/>
        <v>99.94886663949498</v>
      </c>
      <c r="Q182">
        <f t="shared" ca="1" si="140"/>
        <v>105.29937767428652</v>
      </c>
      <c r="R182">
        <f t="shared" ca="1" si="141"/>
        <v>5.299377674286518</v>
      </c>
      <c r="S182">
        <f t="shared" ca="1" si="142"/>
        <v>5.0409239753234969</v>
      </c>
    </row>
    <row r="183" spans="5:19" x14ac:dyDescent="0.75">
      <c r="E183">
        <v>178</v>
      </c>
      <c r="F183">
        <v>100</v>
      </c>
      <c r="G183">
        <f t="shared" ca="1" si="138"/>
        <v>103.31299903596376</v>
      </c>
      <c r="H183">
        <f t="shared" ca="1" si="138"/>
        <v>102.17416289984352</v>
      </c>
      <c r="I183">
        <f t="shared" ca="1" si="138"/>
        <v>106.25564147869194</v>
      </c>
      <c r="J183">
        <f t="shared" ca="1" si="138"/>
        <v>104.46728007580994</v>
      </c>
      <c r="K183">
        <f t="shared" ref="K183:P183" ca="1" si="190">J183*EXP(($C$4-0.5*$C$5^2)*$C$10+$C$5*SQRT($C$10)*NORMINV(RAND(),0,1))</f>
        <v>103.12608560277117</v>
      </c>
      <c r="L183">
        <f t="shared" ca="1" si="190"/>
        <v>111.78462982874719</v>
      </c>
      <c r="M183">
        <f t="shared" ca="1" si="190"/>
        <v>105.79348743546804</v>
      </c>
      <c r="N183">
        <f t="shared" ca="1" si="190"/>
        <v>108.44699174073997</v>
      </c>
      <c r="O183">
        <f t="shared" ca="1" si="190"/>
        <v>110.52387164835621</v>
      </c>
      <c r="P183">
        <f t="shared" ca="1" si="190"/>
        <v>109.61830057315755</v>
      </c>
      <c r="Q183">
        <f t="shared" ca="1" si="140"/>
        <v>105.95485911995901</v>
      </c>
      <c r="R183">
        <f t="shared" ca="1" si="141"/>
        <v>5.9548591199590106</v>
      </c>
      <c r="S183">
        <f t="shared" ca="1" si="142"/>
        <v>5.6644372136614383</v>
      </c>
    </row>
    <row r="184" spans="5:19" x14ac:dyDescent="0.75">
      <c r="E184">
        <v>179</v>
      </c>
      <c r="F184">
        <v>100</v>
      </c>
      <c r="G184">
        <f t="shared" ca="1" si="138"/>
        <v>118.15049985857331</v>
      </c>
      <c r="H184">
        <f t="shared" ca="1" si="138"/>
        <v>110.46139428426861</v>
      </c>
      <c r="I184">
        <f t="shared" ca="1" si="138"/>
        <v>100.49884481153254</v>
      </c>
      <c r="J184">
        <f t="shared" ca="1" si="138"/>
        <v>97.669205341496905</v>
      </c>
      <c r="K184">
        <f t="shared" ref="K184:P184" ca="1" si="191">J184*EXP(($C$4-0.5*$C$5^2)*$C$10+$C$5*SQRT($C$10)*NORMINV(RAND(),0,1))</f>
        <v>99.03834563615554</v>
      </c>
      <c r="L184">
        <f t="shared" ca="1" si="191"/>
        <v>98.785106564031778</v>
      </c>
      <c r="M184">
        <f t="shared" ca="1" si="191"/>
        <v>97.048277253453918</v>
      </c>
      <c r="N184">
        <f t="shared" ca="1" si="191"/>
        <v>97.589254672466566</v>
      </c>
      <c r="O184">
        <f t="shared" ca="1" si="191"/>
        <v>101.11322703215677</v>
      </c>
      <c r="P184">
        <f t="shared" ca="1" si="191"/>
        <v>105.03516543628136</v>
      </c>
      <c r="Q184">
        <f t="shared" ca="1" si="140"/>
        <v>102.30812008094703</v>
      </c>
      <c r="R184">
        <f t="shared" ca="1" si="141"/>
        <v>2.3081200809470346</v>
      </c>
      <c r="S184">
        <f t="shared" ca="1" si="142"/>
        <v>2.195551736277789</v>
      </c>
    </row>
    <row r="185" spans="5:19" x14ac:dyDescent="0.75">
      <c r="E185">
        <v>180</v>
      </c>
      <c r="F185">
        <v>100</v>
      </c>
      <c r="G185">
        <f t="shared" ca="1" si="138"/>
        <v>98.602723890302357</v>
      </c>
      <c r="H185">
        <f t="shared" ca="1" si="138"/>
        <v>104.33153425564298</v>
      </c>
      <c r="I185">
        <f t="shared" ca="1" si="138"/>
        <v>94.931872186259554</v>
      </c>
      <c r="J185">
        <f t="shared" ca="1" si="138"/>
        <v>91.81813264626804</v>
      </c>
      <c r="K185">
        <f t="shared" ref="K185:P185" ca="1" si="192">J185*EXP(($C$4-0.5*$C$5^2)*$C$10+$C$5*SQRT($C$10)*NORMINV(RAND(),0,1))</f>
        <v>84.124341112127425</v>
      </c>
      <c r="L185">
        <f t="shared" ca="1" si="192"/>
        <v>79.933416630039815</v>
      </c>
      <c r="M185">
        <f t="shared" ca="1" si="192"/>
        <v>85.651272329359216</v>
      </c>
      <c r="N185">
        <f t="shared" ca="1" si="192"/>
        <v>74.12022234201936</v>
      </c>
      <c r="O185">
        <f t="shared" ca="1" si="192"/>
        <v>74.074064063093573</v>
      </c>
      <c r="P185">
        <f t="shared" ca="1" si="192"/>
        <v>65.672450146579166</v>
      </c>
      <c r="Q185">
        <f t="shared" ca="1" si="140"/>
        <v>86.660002691062871</v>
      </c>
      <c r="R185">
        <f t="shared" ca="1" si="141"/>
        <v>0</v>
      </c>
      <c r="S185">
        <f t="shared" ca="1" si="142"/>
        <v>0</v>
      </c>
    </row>
    <row r="186" spans="5:19" x14ac:dyDescent="0.75">
      <c r="E186">
        <v>181</v>
      </c>
      <c r="F186">
        <v>100</v>
      </c>
      <c r="G186">
        <f t="shared" ca="1" si="138"/>
        <v>112.61493683197676</v>
      </c>
      <c r="H186">
        <f t="shared" ca="1" si="138"/>
        <v>122.41477970498677</v>
      </c>
      <c r="I186">
        <f t="shared" ca="1" si="138"/>
        <v>128.6319773584496</v>
      </c>
      <c r="J186">
        <f t="shared" ca="1" si="138"/>
        <v>126.26614278480686</v>
      </c>
      <c r="K186">
        <f t="shared" ref="K186:P186" ca="1" si="193">J186*EXP(($C$4-0.5*$C$5^2)*$C$10+$C$5*SQRT($C$10)*NORMINV(RAND(),0,1))</f>
        <v>123.0176257637231</v>
      </c>
      <c r="L186">
        <f t="shared" ca="1" si="193"/>
        <v>138.82743197890983</v>
      </c>
      <c r="M186">
        <f t="shared" ca="1" si="193"/>
        <v>153.13732977810974</v>
      </c>
      <c r="N186">
        <f t="shared" ca="1" si="193"/>
        <v>149.33406353456337</v>
      </c>
      <c r="O186">
        <f t="shared" ca="1" si="193"/>
        <v>158.51853980033869</v>
      </c>
      <c r="P186">
        <f t="shared" ca="1" si="193"/>
        <v>157.07430674402249</v>
      </c>
      <c r="Q186">
        <f t="shared" ca="1" si="140"/>
        <v>133.62155766180794</v>
      </c>
      <c r="R186">
        <f t="shared" ca="1" si="141"/>
        <v>33.621557661807941</v>
      </c>
      <c r="S186">
        <f t="shared" ca="1" si="142"/>
        <v>31.981814945459138</v>
      </c>
    </row>
    <row r="187" spans="5:19" x14ac:dyDescent="0.75">
      <c r="E187">
        <v>182</v>
      </c>
      <c r="F187">
        <v>100</v>
      </c>
      <c r="G187">
        <f t="shared" ca="1" si="138"/>
        <v>95.928556756967097</v>
      </c>
      <c r="H187">
        <f t="shared" ca="1" si="138"/>
        <v>89.891705572963943</v>
      </c>
      <c r="I187">
        <f t="shared" ca="1" si="138"/>
        <v>91.843722249254142</v>
      </c>
      <c r="J187">
        <f t="shared" ca="1" si="138"/>
        <v>88.380797670416527</v>
      </c>
      <c r="K187">
        <f t="shared" ref="K187:P187" ca="1" si="194">J187*EXP(($C$4-0.5*$C$5^2)*$C$10+$C$5*SQRT($C$10)*NORMINV(RAND(),0,1))</f>
        <v>90.591272976945689</v>
      </c>
      <c r="L187">
        <f t="shared" ca="1" si="194"/>
        <v>82.693676560100357</v>
      </c>
      <c r="M187">
        <f t="shared" ca="1" si="194"/>
        <v>88.738300322319333</v>
      </c>
      <c r="N187">
        <f t="shared" ca="1" si="194"/>
        <v>84.171858188071468</v>
      </c>
      <c r="O187">
        <f t="shared" ca="1" si="194"/>
        <v>81.294851824772962</v>
      </c>
      <c r="P187">
        <f t="shared" ca="1" si="194"/>
        <v>81.560906009412946</v>
      </c>
      <c r="Q187">
        <f t="shared" ca="1" si="140"/>
        <v>88.645058921020421</v>
      </c>
      <c r="R187">
        <f t="shared" ca="1" si="141"/>
        <v>0</v>
      </c>
      <c r="S187">
        <f t="shared" ca="1" si="142"/>
        <v>0</v>
      </c>
    </row>
    <row r="188" spans="5:19" x14ac:dyDescent="0.75">
      <c r="E188">
        <v>183</v>
      </c>
      <c r="F188">
        <v>100</v>
      </c>
      <c r="G188">
        <f t="shared" ca="1" si="138"/>
        <v>107.22195805715431</v>
      </c>
      <c r="H188">
        <f t="shared" ca="1" si="138"/>
        <v>109.23018153887033</v>
      </c>
      <c r="I188">
        <f t="shared" ca="1" si="138"/>
        <v>114.49993464499501</v>
      </c>
      <c r="J188">
        <f t="shared" ca="1" si="138"/>
        <v>112.00354277859826</v>
      </c>
      <c r="K188">
        <f t="shared" ref="K188:P188" ca="1" si="195">J188*EXP(($C$4-0.5*$C$5^2)*$C$10+$C$5*SQRT($C$10)*NORMINV(RAND(),0,1))</f>
        <v>113.05693808909487</v>
      </c>
      <c r="L188">
        <f t="shared" ca="1" si="195"/>
        <v>109.74483598230088</v>
      </c>
      <c r="M188">
        <f t="shared" ca="1" si="195"/>
        <v>103.42867825558713</v>
      </c>
      <c r="N188">
        <f t="shared" ca="1" si="195"/>
        <v>101.44374664341765</v>
      </c>
      <c r="O188">
        <f t="shared" ca="1" si="195"/>
        <v>89.426792636774351</v>
      </c>
      <c r="P188">
        <f t="shared" ca="1" si="195"/>
        <v>102.83800210723719</v>
      </c>
      <c r="Q188">
        <f t="shared" ca="1" si="140"/>
        <v>105.7176918849118</v>
      </c>
      <c r="R188">
        <f t="shared" ca="1" si="141"/>
        <v>5.717691884911801</v>
      </c>
      <c r="S188">
        <f t="shared" ca="1" si="142"/>
        <v>5.4388367611570549</v>
      </c>
    </row>
    <row r="189" spans="5:19" x14ac:dyDescent="0.75">
      <c r="E189">
        <v>184</v>
      </c>
      <c r="F189">
        <v>100</v>
      </c>
      <c r="G189">
        <f t="shared" ca="1" si="138"/>
        <v>104.00521740230192</v>
      </c>
      <c r="H189">
        <f t="shared" ca="1" si="138"/>
        <v>99.923341025283094</v>
      </c>
      <c r="I189">
        <f t="shared" ca="1" si="138"/>
        <v>105.2509495445578</v>
      </c>
      <c r="J189">
        <f t="shared" ca="1" si="138"/>
        <v>116.84799129833014</v>
      </c>
      <c r="K189">
        <f t="shared" ref="K189:P189" ca="1" si="196">J189*EXP(($C$4-0.5*$C$5^2)*$C$10+$C$5*SQRT($C$10)*NORMINV(RAND(),0,1))</f>
        <v>121.72694031429015</v>
      </c>
      <c r="L189">
        <f t="shared" ca="1" si="196"/>
        <v>112.50244378680391</v>
      </c>
      <c r="M189">
        <f t="shared" ca="1" si="196"/>
        <v>115.80835037159852</v>
      </c>
      <c r="N189">
        <f t="shared" ca="1" si="196"/>
        <v>114.42749171161631</v>
      </c>
      <c r="O189">
        <f t="shared" ca="1" si="196"/>
        <v>105.09997551654682</v>
      </c>
      <c r="P189">
        <f t="shared" ca="1" si="196"/>
        <v>101.23188495666449</v>
      </c>
      <c r="Q189">
        <f t="shared" ca="1" si="140"/>
        <v>108.80223508436302</v>
      </c>
      <c r="R189">
        <f t="shared" ca="1" si="141"/>
        <v>8.8022350843630193</v>
      </c>
      <c r="S189">
        <f t="shared" ca="1" si="142"/>
        <v>8.3729450136186294</v>
      </c>
    </row>
    <row r="190" spans="5:19" x14ac:dyDescent="0.75">
      <c r="E190">
        <v>185</v>
      </c>
      <c r="F190">
        <v>100</v>
      </c>
      <c r="G190">
        <f t="shared" ca="1" si="138"/>
        <v>100.82865134009542</v>
      </c>
      <c r="H190">
        <f t="shared" ca="1" si="138"/>
        <v>95.668121165962361</v>
      </c>
      <c r="I190">
        <f t="shared" ca="1" si="138"/>
        <v>100.14554247363859</v>
      </c>
      <c r="J190">
        <f t="shared" ca="1" si="138"/>
        <v>95.474032178581126</v>
      </c>
      <c r="K190">
        <f t="shared" ref="K190:P190" ca="1" si="197">J190*EXP(($C$4-0.5*$C$5^2)*$C$10+$C$5*SQRT($C$10)*NORMINV(RAND(),0,1))</f>
        <v>88.41167200910256</v>
      </c>
      <c r="L190">
        <f t="shared" ca="1" si="197"/>
        <v>85.027730255489828</v>
      </c>
      <c r="M190">
        <f t="shared" ca="1" si="197"/>
        <v>85.398365141556553</v>
      </c>
      <c r="N190">
        <f t="shared" ca="1" si="197"/>
        <v>92.950985113585659</v>
      </c>
      <c r="O190">
        <f t="shared" ca="1" si="197"/>
        <v>102.31051150542511</v>
      </c>
      <c r="P190">
        <f t="shared" ca="1" si="197"/>
        <v>95.569619670476158</v>
      </c>
      <c r="Q190">
        <f t="shared" ca="1" si="140"/>
        <v>94.707748259446646</v>
      </c>
      <c r="R190">
        <f t="shared" ca="1" si="141"/>
        <v>0</v>
      </c>
      <c r="S190">
        <f t="shared" ca="1" si="142"/>
        <v>0</v>
      </c>
    </row>
    <row r="191" spans="5:19" x14ac:dyDescent="0.75">
      <c r="E191">
        <v>186</v>
      </c>
      <c r="F191">
        <v>100</v>
      </c>
      <c r="G191">
        <f t="shared" ca="1" si="138"/>
        <v>98.672448231195688</v>
      </c>
      <c r="H191">
        <f t="shared" ca="1" si="138"/>
        <v>105.87443165479735</v>
      </c>
      <c r="I191">
        <f t="shared" ca="1" si="138"/>
        <v>98.135304541010555</v>
      </c>
      <c r="J191">
        <f t="shared" ca="1" si="138"/>
        <v>93.468092802976074</v>
      </c>
      <c r="K191">
        <f t="shared" ref="K191:P191" ca="1" si="198">J191*EXP(($C$4-0.5*$C$5^2)*$C$10+$C$5*SQRT($C$10)*NORMINV(RAND(),0,1))</f>
        <v>91.862501585776499</v>
      </c>
      <c r="L191">
        <f t="shared" ca="1" si="198"/>
        <v>89.555330474021687</v>
      </c>
      <c r="M191">
        <f t="shared" ca="1" si="198"/>
        <v>89.676552481430221</v>
      </c>
      <c r="N191">
        <f t="shared" ca="1" si="198"/>
        <v>93.011984204517177</v>
      </c>
      <c r="O191">
        <f t="shared" ca="1" si="198"/>
        <v>93.561805427205272</v>
      </c>
      <c r="P191">
        <f t="shared" ca="1" si="198"/>
        <v>93.230098083954928</v>
      </c>
      <c r="Q191">
        <f t="shared" ca="1" si="140"/>
        <v>95.186231771535034</v>
      </c>
      <c r="R191">
        <f t="shared" ca="1" si="141"/>
        <v>0</v>
      </c>
      <c r="S191">
        <f t="shared" ca="1" si="142"/>
        <v>0</v>
      </c>
    </row>
    <row r="192" spans="5:19" x14ac:dyDescent="0.75">
      <c r="E192">
        <v>187</v>
      </c>
      <c r="F192">
        <v>100</v>
      </c>
      <c r="G192">
        <f t="shared" ca="1" si="138"/>
        <v>94.217503027020314</v>
      </c>
      <c r="H192">
        <f t="shared" ca="1" si="138"/>
        <v>88.513479426111516</v>
      </c>
      <c r="I192">
        <f t="shared" ca="1" si="138"/>
        <v>90.084752924762412</v>
      </c>
      <c r="J192">
        <f t="shared" ca="1" si="138"/>
        <v>91.800349933121979</v>
      </c>
      <c r="K192">
        <f t="shared" ref="K192:P192" ca="1" si="199">J192*EXP(($C$4-0.5*$C$5^2)*$C$10+$C$5*SQRT($C$10)*NORMINV(RAND(),0,1))</f>
        <v>95.709198550718781</v>
      </c>
      <c r="L192">
        <f t="shared" ca="1" si="199"/>
        <v>90.111359600896932</v>
      </c>
      <c r="M192">
        <f t="shared" ca="1" si="199"/>
        <v>89.740678585750089</v>
      </c>
      <c r="N192">
        <f t="shared" ca="1" si="199"/>
        <v>85.398277492263233</v>
      </c>
      <c r="O192">
        <f t="shared" ca="1" si="199"/>
        <v>84.981324247384364</v>
      </c>
      <c r="P192">
        <f t="shared" ca="1" si="199"/>
        <v>87.955541856213017</v>
      </c>
      <c r="Q192">
        <f t="shared" ca="1" si="140"/>
        <v>90.77386051311295</v>
      </c>
      <c r="R192">
        <f t="shared" ca="1" si="141"/>
        <v>0</v>
      </c>
      <c r="S192">
        <f t="shared" ca="1" si="142"/>
        <v>0</v>
      </c>
    </row>
    <row r="193" spans="5:19" x14ac:dyDescent="0.75">
      <c r="E193">
        <v>188</v>
      </c>
      <c r="F193">
        <v>100</v>
      </c>
      <c r="G193">
        <f t="shared" ca="1" si="138"/>
        <v>120.01535209795982</v>
      </c>
      <c r="H193">
        <f t="shared" ca="1" si="138"/>
        <v>121.4777340050574</v>
      </c>
      <c r="I193">
        <f t="shared" ca="1" si="138"/>
        <v>117.27871428256482</v>
      </c>
      <c r="J193">
        <f t="shared" ca="1" si="138"/>
        <v>127.11280064829815</v>
      </c>
      <c r="K193">
        <f t="shared" ref="K193:P193" ca="1" si="200">J193*EXP(($C$4-0.5*$C$5^2)*$C$10+$C$5*SQRT($C$10)*NORMINV(RAND(),0,1))</f>
        <v>128.22909233721481</v>
      </c>
      <c r="L193">
        <f t="shared" ca="1" si="200"/>
        <v>132.96249438150585</v>
      </c>
      <c r="M193">
        <f t="shared" ca="1" si="200"/>
        <v>127.03323651735091</v>
      </c>
      <c r="N193">
        <f t="shared" ca="1" si="200"/>
        <v>139.71971616383334</v>
      </c>
      <c r="O193">
        <f t="shared" ca="1" si="200"/>
        <v>134.16350916717172</v>
      </c>
      <c r="P193">
        <f t="shared" ca="1" si="200"/>
        <v>117.40905835133213</v>
      </c>
      <c r="Q193">
        <f t="shared" ca="1" si="140"/>
        <v>124.12742799566263</v>
      </c>
      <c r="R193">
        <f t="shared" ca="1" si="141"/>
        <v>24.127427995662629</v>
      </c>
      <c r="S193">
        <f t="shared" ca="1" si="142"/>
        <v>22.95071944699658</v>
      </c>
    </row>
    <row r="194" spans="5:19" x14ac:dyDescent="0.75">
      <c r="E194">
        <v>189</v>
      </c>
      <c r="F194">
        <v>100</v>
      </c>
      <c r="G194">
        <f t="shared" ca="1" si="138"/>
        <v>110.61085827884345</v>
      </c>
      <c r="H194">
        <f t="shared" ca="1" si="138"/>
        <v>111.67737695029128</v>
      </c>
      <c r="I194">
        <f t="shared" ca="1" si="138"/>
        <v>103.23530062776547</v>
      </c>
      <c r="J194">
        <f t="shared" ca="1" si="138"/>
        <v>101.64541976063853</v>
      </c>
      <c r="K194">
        <f t="shared" ref="K194:P194" ca="1" si="201">J194*EXP(($C$4-0.5*$C$5^2)*$C$10+$C$5*SQRT($C$10)*NORMINV(RAND(),0,1))</f>
        <v>94.778609424494903</v>
      </c>
      <c r="L194">
        <f t="shared" ca="1" si="201"/>
        <v>103.37543512055382</v>
      </c>
      <c r="M194">
        <f t="shared" ca="1" si="201"/>
        <v>99.088392396773685</v>
      </c>
      <c r="N194">
        <f t="shared" ca="1" si="201"/>
        <v>96.292478759440712</v>
      </c>
      <c r="O194">
        <f t="shared" ca="1" si="201"/>
        <v>89.323363451661834</v>
      </c>
      <c r="P194">
        <f t="shared" ca="1" si="201"/>
        <v>89.504910715226629</v>
      </c>
      <c r="Q194">
        <f t="shared" ca="1" si="140"/>
        <v>99.957467771426394</v>
      </c>
      <c r="R194">
        <f t="shared" ca="1" si="141"/>
        <v>0</v>
      </c>
      <c r="S194">
        <f t="shared" ca="1" si="142"/>
        <v>0</v>
      </c>
    </row>
    <row r="195" spans="5:19" x14ac:dyDescent="0.75">
      <c r="E195">
        <v>190</v>
      </c>
      <c r="F195">
        <v>100</v>
      </c>
      <c r="G195">
        <f t="shared" ca="1" si="138"/>
        <v>95.784014480429832</v>
      </c>
      <c r="H195">
        <f t="shared" ca="1" si="138"/>
        <v>100.12623549386015</v>
      </c>
      <c r="I195">
        <f t="shared" ca="1" si="138"/>
        <v>109.7669831422553</v>
      </c>
      <c r="J195">
        <f t="shared" ca="1" si="138"/>
        <v>105.08975343830411</v>
      </c>
      <c r="K195">
        <f t="shared" ref="K195:P195" ca="1" si="202">J195*EXP(($C$4-0.5*$C$5^2)*$C$10+$C$5*SQRT($C$10)*NORMINV(RAND(),0,1))</f>
        <v>108.14909568754078</v>
      </c>
      <c r="L195">
        <f t="shared" ca="1" si="202"/>
        <v>110.00129180913288</v>
      </c>
      <c r="M195">
        <f t="shared" ca="1" si="202"/>
        <v>116.44451939081</v>
      </c>
      <c r="N195">
        <f t="shared" ca="1" si="202"/>
        <v>110.8738798137874</v>
      </c>
      <c r="O195">
        <f t="shared" ca="1" si="202"/>
        <v>106.92521048250703</v>
      </c>
      <c r="P195">
        <f t="shared" ca="1" si="202"/>
        <v>116.77942864823959</v>
      </c>
      <c r="Q195">
        <f t="shared" ca="1" si="140"/>
        <v>107.26731021698792</v>
      </c>
      <c r="R195">
        <f t="shared" ca="1" si="141"/>
        <v>7.2673102169879229</v>
      </c>
      <c r="S195">
        <f t="shared" ca="1" si="142"/>
        <v>6.9128793153735808</v>
      </c>
    </row>
    <row r="196" spans="5:19" x14ac:dyDescent="0.75">
      <c r="E196">
        <v>191</v>
      </c>
      <c r="F196">
        <v>100</v>
      </c>
      <c r="G196">
        <f t="shared" ca="1" si="138"/>
        <v>99.63294634536652</v>
      </c>
      <c r="H196">
        <f t="shared" ca="1" si="138"/>
        <v>115.56075921771765</v>
      </c>
      <c r="I196">
        <f t="shared" ca="1" si="138"/>
        <v>113.65890716672072</v>
      </c>
      <c r="J196">
        <f t="shared" ca="1" si="138"/>
        <v>112.3107024992166</v>
      </c>
      <c r="K196">
        <f t="shared" ref="K196:P196" ca="1" si="203">J196*EXP(($C$4-0.5*$C$5^2)*$C$10+$C$5*SQRT($C$10)*NORMINV(RAND(),0,1))</f>
        <v>110.55152041515417</v>
      </c>
      <c r="L196">
        <f t="shared" ca="1" si="203"/>
        <v>102.20776204204131</v>
      </c>
      <c r="M196">
        <f t="shared" ca="1" si="203"/>
        <v>111.67020505330842</v>
      </c>
      <c r="N196">
        <f t="shared" ca="1" si="203"/>
        <v>115.06658437771112</v>
      </c>
      <c r="O196">
        <f t="shared" ca="1" si="203"/>
        <v>118.49412091651466</v>
      </c>
      <c r="P196">
        <f t="shared" ca="1" si="203"/>
        <v>116.19670514581431</v>
      </c>
      <c r="Q196">
        <f t="shared" ca="1" si="140"/>
        <v>110.48638301632414</v>
      </c>
      <c r="R196">
        <f t="shared" ca="1" si="141"/>
        <v>10.48638301632414</v>
      </c>
      <c r="S196">
        <f t="shared" ca="1" si="142"/>
        <v>9.9749560817120742</v>
      </c>
    </row>
    <row r="197" spans="5:19" x14ac:dyDescent="0.75">
      <c r="E197">
        <v>192</v>
      </c>
      <c r="F197">
        <v>100</v>
      </c>
      <c r="G197">
        <f t="shared" ca="1" si="138"/>
        <v>101.27363034512331</v>
      </c>
      <c r="H197">
        <f t="shared" ca="1" si="138"/>
        <v>104.77949292214494</v>
      </c>
      <c r="I197">
        <f t="shared" ca="1" si="138"/>
        <v>99.573302937612254</v>
      </c>
      <c r="J197">
        <f t="shared" ca="1" si="138"/>
        <v>101.19064920803748</v>
      </c>
      <c r="K197">
        <f t="shared" ref="K197:P197" ca="1" si="204">J197*EXP(($C$4-0.5*$C$5^2)*$C$10+$C$5*SQRT($C$10)*NORMINV(RAND(),0,1))</f>
        <v>97.017729814814714</v>
      </c>
      <c r="L197">
        <f t="shared" ca="1" si="204"/>
        <v>95.820122017884259</v>
      </c>
      <c r="M197">
        <f t="shared" ca="1" si="204"/>
        <v>103.74977172617508</v>
      </c>
      <c r="N197">
        <f t="shared" ca="1" si="204"/>
        <v>100.46039533112886</v>
      </c>
      <c r="O197">
        <f t="shared" ca="1" si="204"/>
        <v>113.22832799604504</v>
      </c>
      <c r="P197">
        <f t="shared" ca="1" si="204"/>
        <v>109.39976393203628</v>
      </c>
      <c r="Q197">
        <f t="shared" ca="1" si="140"/>
        <v>102.40847147554564</v>
      </c>
      <c r="R197">
        <f t="shared" ca="1" si="141"/>
        <v>2.4084714755456389</v>
      </c>
      <c r="S197">
        <f t="shared" ca="1" si="142"/>
        <v>2.2910089356096637</v>
      </c>
    </row>
    <row r="198" spans="5:19" x14ac:dyDescent="0.75">
      <c r="E198">
        <v>193</v>
      </c>
      <c r="F198">
        <v>100</v>
      </c>
      <c r="G198">
        <f t="shared" ca="1" si="138"/>
        <v>111.53270287477983</v>
      </c>
      <c r="H198">
        <f t="shared" ca="1" si="138"/>
        <v>120.24384402799565</v>
      </c>
      <c r="I198">
        <f t="shared" ca="1" si="138"/>
        <v>139.86216496981709</v>
      </c>
      <c r="J198">
        <f t="shared" ref="J198:P198" ca="1" si="205">I198*EXP(($C$4-0.5*$C$5^2)*$C$10+$C$5*SQRT($C$10)*NORMINV(RAND(),0,1))</f>
        <v>132.99833669614375</v>
      </c>
      <c r="K198">
        <f t="shared" ca="1" si="205"/>
        <v>146.91669865833887</v>
      </c>
      <c r="L198">
        <f t="shared" ca="1" si="205"/>
        <v>135.72466813892444</v>
      </c>
      <c r="M198">
        <f t="shared" ca="1" si="205"/>
        <v>135.06389219545909</v>
      </c>
      <c r="N198">
        <f t="shared" ca="1" si="205"/>
        <v>145.29475283373608</v>
      </c>
      <c r="O198">
        <f t="shared" ca="1" si="205"/>
        <v>139.73818036904339</v>
      </c>
      <c r="P198">
        <f t="shared" ca="1" si="205"/>
        <v>151.61925507094958</v>
      </c>
      <c r="Q198">
        <f t="shared" ca="1" si="140"/>
        <v>132.63586325774435</v>
      </c>
      <c r="R198">
        <f t="shared" ca="1" si="141"/>
        <v>32.635863257744347</v>
      </c>
      <c r="S198">
        <f t="shared" ca="1" si="142"/>
        <v>31.044193424748155</v>
      </c>
    </row>
    <row r="199" spans="5:19" x14ac:dyDescent="0.75">
      <c r="E199">
        <v>194</v>
      </c>
      <c r="F199">
        <v>100</v>
      </c>
      <c r="G199">
        <f t="shared" ref="G199:J262" ca="1" si="206">F199*EXP(($C$4-0.5*$C$5^2)*$C$10+$C$5*SQRT($C$10)*NORMINV(RAND(),0,1))</f>
        <v>102.12727242972687</v>
      </c>
      <c r="H199">
        <f t="shared" ca="1" si="206"/>
        <v>105.10585512014787</v>
      </c>
      <c r="I199">
        <f t="shared" ca="1" si="206"/>
        <v>104.52508269836359</v>
      </c>
      <c r="J199">
        <f t="shared" ca="1" si="206"/>
        <v>103.33595803017118</v>
      </c>
      <c r="K199">
        <f t="shared" ref="K199:P199" ca="1" si="207">J199*EXP(($C$4-0.5*$C$5^2)*$C$10+$C$5*SQRT($C$10)*NORMINV(RAND(),0,1))</f>
        <v>104.39592751847654</v>
      </c>
      <c r="L199">
        <f t="shared" ca="1" si="207"/>
        <v>111.88252585818007</v>
      </c>
      <c r="M199">
        <f t="shared" ca="1" si="207"/>
        <v>105.07316647751338</v>
      </c>
      <c r="N199">
        <f t="shared" ca="1" si="207"/>
        <v>106.44700763471999</v>
      </c>
      <c r="O199">
        <f t="shared" ca="1" si="207"/>
        <v>107.54574490013395</v>
      </c>
      <c r="P199">
        <f t="shared" ca="1" si="207"/>
        <v>102.50381164368953</v>
      </c>
      <c r="Q199">
        <f t="shared" ref="Q199:Q262" ca="1" si="208">AVERAGE(F199:P199)</f>
        <v>104.812941119193</v>
      </c>
      <c r="R199">
        <f t="shared" ref="R199:R262" ca="1" si="209">MAX(Q199-$C$7,0)</f>
        <v>4.8129411191929989</v>
      </c>
      <c r="S199">
        <f t="shared" ref="S199:S262" ca="1" si="210">EXP(-$C$4*$C$6)*R199</f>
        <v>4.5782112109657787</v>
      </c>
    </row>
    <row r="200" spans="5:19" x14ac:dyDescent="0.75">
      <c r="E200">
        <v>195</v>
      </c>
      <c r="F200">
        <v>100</v>
      </c>
      <c r="G200">
        <f t="shared" ca="1" si="206"/>
        <v>103.98720448021264</v>
      </c>
      <c r="H200">
        <f t="shared" ca="1" si="206"/>
        <v>91.01817695219188</v>
      </c>
      <c r="I200">
        <f t="shared" ca="1" si="206"/>
        <v>94.748324886666879</v>
      </c>
      <c r="J200">
        <f t="shared" ca="1" si="206"/>
        <v>102.43922623510221</v>
      </c>
      <c r="K200">
        <f t="shared" ref="K200:P200" ca="1" si="211">J200*EXP(($C$4-0.5*$C$5^2)*$C$10+$C$5*SQRT($C$10)*NORMINV(RAND(),0,1))</f>
        <v>96.800009918584294</v>
      </c>
      <c r="L200">
        <f t="shared" ca="1" si="211"/>
        <v>95.19931184078979</v>
      </c>
      <c r="M200">
        <f t="shared" ca="1" si="211"/>
        <v>89.540096402477488</v>
      </c>
      <c r="N200">
        <f t="shared" ca="1" si="211"/>
        <v>76.524248459124479</v>
      </c>
      <c r="O200">
        <f t="shared" ca="1" si="211"/>
        <v>78.302754996168403</v>
      </c>
      <c r="P200">
        <f t="shared" ca="1" si="211"/>
        <v>76.538197103235177</v>
      </c>
      <c r="Q200">
        <f t="shared" ca="1" si="208"/>
        <v>91.372504661323035</v>
      </c>
      <c r="R200">
        <f t="shared" ca="1" si="209"/>
        <v>0</v>
      </c>
      <c r="S200">
        <f t="shared" ca="1" si="210"/>
        <v>0</v>
      </c>
    </row>
    <row r="201" spans="5:19" x14ac:dyDescent="0.75">
      <c r="E201">
        <v>196</v>
      </c>
      <c r="F201">
        <v>100</v>
      </c>
      <c r="G201">
        <f t="shared" ca="1" si="206"/>
        <v>103.06424323621479</v>
      </c>
      <c r="H201">
        <f t="shared" ca="1" si="206"/>
        <v>108.53324348992875</v>
      </c>
      <c r="I201">
        <f t="shared" ca="1" si="206"/>
        <v>112.18017944532396</v>
      </c>
      <c r="J201">
        <f t="shared" ca="1" si="206"/>
        <v>124.27001372518656</v>
      </c>
      <c r="K201">
        <f t="shared" ref="K201:P201" ca="1" si="212">J201*EXP(($C$4-0.5*$C$5^2)*$C$10+$C$5*SQRT($C$10)*NORMINV(RAND(),0,1))</f>
        <v>124.42312581854898</v>
      </c>
      <c r="L201">
        <f t="shared" ca="1" si="212"/>
        <v>129.29171884299126</v>
      </c>
      <c r="M201">
        <f t="shared" ca="1" si="212"/>
        <v>125.98412923991961</v>
      </c>
      <c r="N201">
        <f t="shared" ca="1" si="212"/>
        <v>110.26448267698835</v>
      </c>
      <c r="O201">
        <f t="shared" ca="1" si="212"/>
        <v>107.52845818131321</v>
      </c>
      <c r="P201">
        <f t="shared" ca="1" si="212"/>
        <v>105.85577656039641</v>
      </c>
      <c r="Q201">
        <f t="shared" ca="1" si="208"/>
        <v>113.76321556516473</v>
      </c>
      <c r="R201">
        <f t="shared" ca="1" si="209"/>
        <v>13.763215565164728</v>
      </c>
      <c r="S201">
        <f t="shared" ca="1" si="210"/>
        <v>13.091975621330914</v>
      </c>
    </row>
    <row r="202" spans="5:19" x14ac:dyDescent="0.75">
      <c r="E202">
        <v>197</v>
      </c>
      <c r="F202">
        <v>100</v>
      </c>
      <c r="G202">
        <f t="shared" ca="1" si="206"/>
        <v>100.41943423684241</v>
      </c>
      <c r="H202">
        <f t="shared" ca="1" si="206"/>
        <v>97.987355345744746</v>
      </c>
      <c r="I202">
        <f t="shared" ca="1" si="206"/>
        <v>100.19265578715104</v>
      </c>
      <c r="J202">
        <f t="shared" ca="1" si="206"/>
        <v>100.62609311577907</v>
      </c>
      <c r="K202">
        <f t="shared" ref="K202:P202" ca="1" si="213">J202*EXP(($C$4-0.5*$C$5^2)*$C$10+$C$5*SQRT($C$10)*NORMINV(RAND(),0,1))</f>
        <v>111.98976625115041</v>
      </c>
      <c r="L202">
        <f t="shared" ca="1" si="213"/>
        <v>123.19997368357514</v>
      </c>
      <c r="M202">
        <f t="shared" ca="1" si="213"/>
        <v>139.09241516792537</v>
      </c>
      <c r="N202">
        <f t="shared" ca="1" si="213"/>
        <v>136.2683993930612</v>
      </c>
      <c r="O202">
        <f t="shared" ca="1" si="213"/>
        <v>136.51872765025925</v>
      </c>
      <c r="P202">
        <f t="shared" ca="1" si="213"/>
        <v>133.17250882442121</v>
      </c>
      <c r="Q202">
        <f t="shared" ca="1" si="208"/>
        <v>116.31521176871907</v>
      </c>
      <c r="R202">
        <f t="shared" ca="1" si="209"/>
        <v>16.315211768719067</v>
      </c>
      <c r="S202">
        <f t="shared" ca="1" si="210"/>
        <v>15.519509501365913</v>
      </c>
    </row>
    <row r="203" spans="5:19" x14ac:dyDescent="0.75">
      <c r="E203">
        <v>198</v>
      </c>
      <c r="F203">
        <v>100</v>
      </c>
      <c r="G203">
        <f t="shared" ca="1" si="206"/>
        <v>95.240478489403372</v>
      </c>
      <c r="H203">
        <f t="shared" ca="1" si="206"/>
        <v>97.152969232988227</v>
      </c>
      <c r="I203">
        <f t="shared" ca="1" si="206"/>
        <v>97.802746460145343</v>
      </c>
      <c r="J203">
        <f t="shared" ca="1" si="206"/>
        <v>104.57034655297163</v>
      </c>
      <c r="K203">
        <f t="shared" ref="K203:P203" ca="1" si="214">J203*EXP(($C$4-0.5*$C$5^2)*$C$10+$C$5*SQRT($C$10)*NORMINV(RAND(),0,1))</f>
        <v>102.85968173224995</v>
      </c>
      <c r="L203">
        <f t="shared" ca="1" si="214"/>
        <v>102.65171975170382</v>
      </c>
      <c r="M203">
        <f t="shared" ca="1" si="214"/>
        <v>115.11790070460714</v>
      </c>
      <c r="N203">
        <f t="shared" ca="1" si="214"/>
        <v>118.1669597782921</v>
      </c>
      <c r="O203">
        <f t="shared" ca="1" si="214"/>
        <v>118.18665339281985</v>
      </c>
      <c r="P203">
        <f t="shared" ca="1" si="214"/>
        <v>114.49732370009858</v>
      </c>
      <c r="Q203">
        <f t="shared" ca="1" si="208"/>
        <v>106.02243452684364</v>
      </c>
      <c r="R203">
        <f t="shared" ca="1" si="209"/>
        <v>6.0224345268436394</v>
      </c>
      <c r="S203">
        <f t="shared" ca="1" si="210"/>
        <v>5.7287169290627054</v>
      </c>
    </row>
    <row r="204" spans="5:19" x14ac:dyDescent="0.75">
      <c r="E204">
        <v>199</v>
      </c>
      <c r="F204">
        <v>100</v>
      </c>
      <c r="G204">
        <f t="shared" ca="1" si="206"/>
        <v>110.83811734143434</v>
      </c>
      <c r="H204">
        <f t="shared" ca="1" si="206"/>
        <v>115.48650125328258</v>
      </c>
      <c r="I204">
        <f t="shared" ca="1" si="206"/>
        <v>106.93901462285828</v>
      </c>
      <c r="J204">
        <f t="shared" ca="1" si="206"/>
        <v>119.30701874930233</v>
      </c>
      <c r="K204">
        <f t="shared" ref="K204:P204" ca="1" si="215">J204*EXP(($C$4-0.5*$C$5^2)*$C$10+$C$5*SQRT($C$10)*NORMINV(RAND(),0,1))</f>
        <v>112.16829981540502</v>
      </c>
      <c r="L204">
        <f t="shared" ca="1" si="215"/>
        <v>109.00855080133377</v>
      </c>
      <c r="M204">
        <f t="shared" ca="1" si="215"/>
        <v>101.2216956866037</v>
      </c>
      <c r="N204">
        <f t="shared" ca="1" si="215"/>
        <v>112.4328445362306</v>
      </c>
      <c r="O204">
        <f t="shared" ca="1" si="215"/>
        <v>118.43780754707618</v>
      </c>
      <c r="P204">
        <f t="shared" ca="1" si="215"/>
        <v>125.58848088737803</v>
      </c>
      <c r="Q204">
        <f t="shared" ca="1" si="208"/>
        <v>111.94803011280952</v>
      </c>
      <c r="R204">
        <f t="shared" ca="1" si="209"/>
        <v>11.948030112809519</v>
      </c>
      <c r="S204">
        <f t="shared" ca="1" si="210"/>
        <v>11.365317808125001</v>
      </c>
    </row>
    <row r="205" spans="5:19" x14ac:dyDescent="0.75">
      <c r="E205">
        <v>200</v>
      </c>
      <c r="F205">
        <v>100</v>
      </c>
      <c r="G205">
        <f t="shared" ca="1" si="206"/>
        <v>95.363140839017277</v>
      </c>
      <c r="H205">
        <f t="shared" ca="1" si="206"/>
        <v>94.173008214991526</v>
      </c>
      <c r="I205">
        <f t="shared" ca="1" si="206"/>
        <v>103.35544377184536</v>
      </c>
      <c r="J205">
        <f t="shared" ca="1" si="206"/>
        <v>95.55482874757314</v>
      </c>
      <c r="K205">
        <f t="shared" ref="K205:P205" ca="1" si="216">J205*EXP(($C$4-0.5*$C$5^2)*$C$10+$C$5*SQRT($C$10)*NORMINV(RAND(),0,1))</f>
        <v>91.154001060027738</v>
      </c>
      <c r="L205">
        <f t="shared" ca="1" si="216"/>
        <v>88.519026172043993</v>
      </c>
      <c r="M205">
        <f t="shared" ca="1" si="216"/>
        <v>98.799032521001081</v>
      </c>
      <c r="N205">
        <f t="shared" ca="1" si="216"/>
        <v>93.549083914522527</v>
      </c>
      <c r="O205">
        <f t="shared" ca="1" si="216"/>
        <v>97.71311144886154</v>
      </c>
      <c r="P205">
        <f t="shared" ca="1" si="216"/>
        <v>97.890134662213512</v>
      </c>
      <c r="Q205">
        <f t="shared" ca="1" si="208"/>
        <v>96.006437395645221</v>
      </c>
      <c r="R205">
        <f t="shared" ca="1" si="209"/>
        <v>0</v>
      </c>
      <c r="S205">
        <f t="shared" ca="1" si="210"/>
        <v>0</v>
      </c>
    </row>
    <row r="206" spans="5:19" x14ac:dyDescent="0.75">
      <c r="E206">
        <v>201</v>
      </c>
      <c r="F206">
        <v>100</v>
      </c>
      <c r="G206">
        <f t="shared" ca="1" si="206"/>
        <v>107.99381257513647</v>
      </c>
      <c r="H206">
        <f t="shared" ca="1" si="206"/>
        <v>109.17069257666645</v>
      </c>
      <c r="I206">
        <f t="shared" ca="1" si="206"/>
        <v>111.99053427802053</v>
      </c>
      <c r="J206">
        <f t="shared" ca="1" si="206"/>
        <v>103.09150065856574</v>
      </c>
      <c r="K206">
        <f t="shared" ref="K206:P206" ca="1" si="217">J206*EXP(($C$4-0.5*$C$5^2)*$C$10+$C$5*SQRT($C$10)*NORMINV(RAND(),0,1))</f>
        <v>102.31660944195028</v>
      </c>
      <c r="L206">
        <f t="shared" ca="1" si="217"/>
        <v>93.319009776648173</v>
      </c>
      <c r="M206">
        <f t="shared" ca="1" si="217"/>
        <v>95.814631433220541</v>
      </c>
      <c r="N206">
        <f t="shared" ca="1" si="217"/>
        <v>100.48733831278679</v>
      </c>
      <c r="O206">
        <f t="shared" ca="1" si="217"/>
        <v>104.61151161495212</v>
      </c>
      <c r="P206">
        <f t="shared" ca="1" si="217"/>
        <v>116.60804806814507</v>
      </c>
      <c r="Q206">
        <f t="shared" ca="1" si="208"/>
        <v>104.12760806691746</v>
      </c>
      <c r="R206">
        <f t="shared" ca="1" si="209"/>
        <v>4.1276080669174604</v>
      </c>
      <c r="S206">
        <f t="shared" ca="1" si="210"/>
        <v>3.9263022460584005</v>
      </c>
    </row>
    <row r="207" spans="5:19" x14ac:dyDescent="0.75">
      <c r="E207">
        <v>202</v>
      </c>
      <c r="F207">
        <v>100</v>
      </c>
      <c r="G207">
        <f t="shared" ca="1" si="206"/>
        <v>93.160341854542267</v>
      </c>
      <c r="H207">
        <f t="shared" ca="1" si="206"/>
        <v>86.510830244224252</v>
      </c>
      <c r="I207">
        <f t="shared" ca="1" si="206"/>
        <v>99.241514530336161</v>
      </c>
      <c r="J207">
        <f t="shared" ca="1" si="206"/>
        <v>105.68592093569612</v>
      </c>
      <c r="K207">
        <f t="shared" ref="K207:P207" ca="1" si="218">J207*EXP(($C$4-0.5*$C$5^2)*$C$10+$C$5*SQRT($C$10)*NORMINV(RAND(),0,1))</f>
        <v>99.682921791886912</v>
      </c>
      <c r="L207">
        <f t="shared" ca="1" si="218"/>
        <v>104.57543382057464</v>
      </c>
      <c r="M207">
        <f t="shared" ca="1" si="218"/>
        <v>100.63016962090246</v>
      </c>
      <c r="N207">
        <f t="shared" ca="1" si="218"/>
        <v>103.22706705568963</v>
      </c>
      <c r="O207">
        <f t="shared" ca="1" si="218"/>
        <v>105.90455358719784</v>
      </c>
      <c r="P207">
        <f t="shared" ca="1" si="218"/>
        <v>126.78766680355547</v>
      </c>
      <c r="Q207">
        <f t="shared" ca="1" si="208"/>
        <v>102.30967456769145</v>
      </c>
      <c r="R207">
        <f t="shared" ca="1" si="209"/>
        <v>2.3096745676914452</v>
      </c>
      <c r="S207">
        <f t="shared" ca="1" si="210"/>
        <v>2.1970304098090687</v>
      </c>
    </row>
    <row r="208" spans="5:19" x14ac:dyDescent="0.75">
      <c r="E208">
        <v>203</v>
      </c>
      <c r="F208">
        <v>100</v>
      </c>
      <c r="G208">
        <f t="shared" ca="1" si="206"/>
        <v>104.60441745442172</v>
      </c>
      <c r="H208">
        <f t="shared" ca="1" si="206"/>
        <v>113.01438881690815</v>
      </c>
      <c r="I208">
        <f t="shared" ca="1" si="206"/>
        <v>128.2071180997583</v>
      </c>
      <c r="J208">
        <f t="shared" ca="1" si="206"/>
        <v>130.13350621248506</v>
      </c>
      <c r="K208">
        <f t="shared" ref="K208:P208" ca="1" si="219">J208*EXP(($C$4-0.5*$C$5^2)*$C$10+$C$5*SQRT($C$10)*NORMINV(RAND(),0,1))</f>
        <v>130.53720721861026</v>
      </c>
      <c r="L208">
        <f t="shared" ca="1" si="219"/>
        <v>123.13904884382798</v>
      </c>
      <c r="M208">
        <f t="shared" ca="1" si="219"/>
        <v>127.52583135108073</v>
      </c>
      <c r="N208">
        <f t="shared" ca="1" si="219"/>
        <v>119.82708193983881</v>
      </c>
      <c r="O208">
        <f t="shared" ca="1" si="219"/>
        <v>126.37533865202339</v>
      </c>
      <c r="P208">
        <f t="shared" ca="1" si="219"/>
        <v>129.19435358844291</v>
      </c>
      <c r="Q208">
        <f t="shared" ca="1" si="208"/>
        <v>121.14166292521791</v>
      </c>
      <c r="R208">
        <f t="shared" ca="1" si="209"/>
        <v>21.141662925217915</v>
      </c>
      <c r="S208">
        <f t="shared" ca="1" si="210"/>
        <v>20.110571857343118</v>
      </c>
    </row>
    <row r="209" spans="5:19" x14ac:dyDescent="0.75">
      <c r="E209">
        <v>204</v>
      </c>
      <c r="F209">
        <v>100</v>
      </c>
      <c r="G209">
        <f t="shared" ca="1" si="206"/>
        <v>103.78188236597869</v>
      </c>
      <c r="H209">
        <f t="shared" ca="1" si="206"/>
        <v>89.444105631811226</v>
      </c>
      <c r="I209">
        <f t="shared" ca="1" si="206"/>
        <v>95.897293993183581</v>
      </c>
      <c r="J209">
        <f t="shared" ca="1" si="206"/>
        <v>92.39519450427548</v>
      </c>
      <c r="K209">
        <f t="shared" ref="K209:P209" ca="1" si="220">J209*EXP(($C$4-0.5*$C$5^2)*$C$10+$C$5*SQRT($C$10)*NORMINV(RAND(),0,1))</f>
        <v>82.521310455381197</v>
      </c>
      <c r="L209">
        <f t="shared" ca="1" si="220"/>
        <v>74.705607771927987</v>
      </c>
      <c r="M209">
        <f t="shared" ca="1" si="220"/>
        <v>81.247946238703889</v>
      </c>
      <c r="N209">
        <f t="shared" ca="1" si="220"/>
        <v>74.60876916349703</v>
      </c>
      <c r="O209">
        <f t="shared" ca="1" si="220"/>
        <v>72.589125033819784</v>
      </c>
      <c r="P209">
        <f t="shared" ca="1" si="220"/>
        <v>77.69499324044682</v>
      </c>
      <c r="Q209">
        <f t="shared" ca="1" si="208"/>
        <v>85.898748036275052</v>
      </c>
      <c r="R209">
        <f t="shared" ca="1" si="209"/>
        <v>0</v>
      </c>
      <c r="S209">
        <f t="shared" ca="1" si="210"/>
        <v>0</v>
      </c>
    </row>
    <row r="210" spans="5:19" x14ac:dyDescent="0.75">
      <c r="E210">
        <v>205</v>
      </c>
      <c r="F210">
        <v>100</v>
      </c>
      <c r="G210">
        <f t="shared" ca="1" si="206"/>
        <v>101.9652276171128</v>
      </c>
      <c r="H210">
        <f t="shared" ca="1" si="206"/>
        <v>96.792014153522516</v>
      </c>
      <c r="I210">
        <f t="shared" ca="1" si="206"/>
        <v>95.999722050672517</v>
      </c>
      <c r="J210">
        <f t="shared" ca="1" si="206"/>
        <v>101.72290187761065</v>
      </c>
      <c r="K210">
        <f t="shared" ref="K210:P210" ca="1" si="221">J210*EXP(($C$4-0.5*$C$5^2)*$C$10+$C$5*SQRT($C$10)*NORMINV(RAND(),0,1))</f>
        <v>94.733070267076897</v>
      </c>
      <c r="L210">
        <f t="shared" ca="1" si="221"/>
        <v>97.650604707370533</v>
      </c>
      <c r="M210">
        <f t="shared" ca="1" si="221"/>
        <v>106.68847020189928</v>
      </c>
      <c r="N210">
        <f t="shared" ca="1" si="221"/>
        <v>110.41068991357724</v>
      </c>
      <c r="O210">
        <f t="shared" ca="1" si="221"/>
        <v>103.39418233567459</v>
      </c>
      <c r="P210">
        <f t="shared" ca="1" si="221"/>
        <v>123.42967548228997</v>
      </c>
      <c r="Q210">
        <f t="shared" ca="1" si="208"/>
        <v>102.98059623698245</v>
      </c>
      <c r="R210">
        <f t="shared" ca="1" si="209"/>
        <v>2.9805962369824499</v>
      </c>
      <c r="S210">
        <f t="shared" ca="1" si="210"/>
        <v>2.8352308431738096</v>
      </c>
    </row>
    <row r="211" spans="5:19" x14ac:dyDescent="0.75">
      <c r="E211">
        <v>206</v>
      </c>
      <c r="F211">
        <v>100</v>
      </c>
      <c r="G211">
        <f t="shared" ca="1" si="206"/>
        <v>100.08043731805709</v>
      </c>
      <c r="H211">
        <f t="shared" ca="1" si="206"/>
        <v>102.40902980042338</v>
      </c>
      <c r="I211">
        <f t="shared" ca="1" si="206"/>
        <v>96.828218149600531</v>
      </c>
      <c r="J211">
        <f t="shared" ca="1" si="206"/>
        <v>84.875620238490015</v>
      </c>
      <c r="K211">
        <f t="shared" ref="K211:P211" ca="1" si="222">J211*EXP(($C$4-0.5*$C$5^2)*$C$10+$C$5*SQRT($C$10)*NORMINV(RAND(),0,1))</f>
        <v>77.088120286085584</v>
      </c>
      <c r="L211">
        <f t="shared" ca="1" si="222"/>
        <v>72.706892088293529</v>
      </c>
      <c r="M211">
        <f t="shared" ca="1" si="222"/>
        <v>71.205407352441895</v>
      </c>
      <c r="N211">
        <f t="shared" ca="1" si="222"/>
        <v>79.924881495739996</v>
      </c>
      <c r="O211">
        <f t="shared" ca="1" si="222"/>
        <v>71.672697650649198</v>
      </c>
      <c r="P211">
        <f t="shared" ca="1" si="222"/>
        <v>73.676419642860182</v>
      </c>
      <c r="Q211">
        <f t="shared" ca="1" si="208"/>
        <v>84.587974911149203</v>
      </c>
      <c r="R211">
        <f t="shared" ca="1" si="209"/>
        <v>0</v>
      </c>
      <c r="S211">
        <f t="shared" ca="1" si="210"/>
        <v>0</v>
      </c>
    </row>
    <row r="212" spans="5:19" x14ac:dyDescent="0.75">
      <c r="E212">
        <v>207</v>
      </c>
      <c r="F212">
        <v>100</v>
      </c>
      <c r="G212">
        <f t="shared" ca="1" si="206"/>
        <v>94.803359175594878</v>
      </c>
      <c r="H212">
        <f t="shared" ca="1" si="206"/>
        <v>90.654547659258029</v>
      </c>
      <c r="I212">
        <f t="shared" ca="1" si="206"/>
        <v>88.268341519359481</v>
      </c>
      <c r="J212">
        <f t="shared" ca="1" si="206"/>
        <v>90.5899420828286</v>
      </c>
      <c r="K212">
        <f t="shared" ref="K212:P212" ca="1" si="223">J212*EXP(($C$4-0.5*$C$5^2)*$C$10+$C$5*SQRT($C$10)*NORMINV(RAND(),0,1))</f>
        <v>87.130831360841967</v>
      </c>
      <c r="L212">
        <f t="shared" ca="1" si="223"/>
        <v>91.008680991628324</v>
      </c>
      <c r="M212">
        <f t="shared" ca="1" si="223"/>
        <v>94.081911494586365</v>
      </c>
      <c r="N212">
        <f t="shared" ca="1" si="223"/>
        <v>85.158229362584791</v>
      </c>
      <c r="O212">
        <f t="shared" ca="1" si="223"/>
        <v>88.882126653203258</v>
      </c>
      <c r="P212">
        <f t="shared" ca="1" si="223"/>
        <v>92.278635285072312</v>
      </c>
      <c r="Q212">
        <f t="shared" ca="1" si="208"/>
        <v>91.168782325905283</v>
      </c>
      <c r="R212">
        <f t="shared" ca="1" si="209"/>
        <v>0</v>
      </c>
      <c r="S212">
        <f t="shared" ca="1" si="210"/>
        <v>0</v>
      </c>
    </row>
    <row r="213" spans="5:19" x14ac:dyDescent="0.75">
      <c r="E213">
        <v>208</v>
      </c>
      <c r="F213">
        <v>100</v>
      </c>
      <c r="G213">
        <f t="shared" ca="1" si="206"/>
        <v>100.9193960831207</v>
      </c>
      <c r="H213">
        <f t="shared" ca="1" si="206"/>
        <v>111.63186374976225</v>
      </c>
      <c r="I213">
        <f t="shared" ca="1" si="206"/>
        <v>106.14117091445186</v>
      </c>
      <c r="J213">
        <f t="shared" ca="1" si="206"/>
        <v>104.16589074658324</v>
      </c>
      <c r="K213">
        <f t="shared" ref="K213:P213" ca="1" si="224">J213*EXP(($C$4-0.5*$C$5^2)*$C$10+$C$5*SQRT($C$10)*NORMINV(RAND(),0,1))</f>
        <v>108.21969714929703</v>
      </c>
      <c r="L213">
        <f t="shared" ca="1" si="224"/>
        <v>104.57722682389024</v>
      </c>
      <c r="M213">
        <f t="shared" ca="1" si="224"/>
        <v>106.41999868909529</v>
      </c>
      <c r="N213">
        <f t="shared" ca="1" si="224"/>
        <v>98.097175038787427</v>
      </c>
      <c r="O213">
        <f t="shared" ca="1" si="224"/>
        <v>95.858963789262717</v>
      </c>
      <c r="P213">
        <f t="shared" ca="1" si="224"/>
        <v>96.296327252380891</v>
      </c>
      <c r="Q213">
        <f t="shared" ca="1" si="208"/>
        <v>102.93888274878472</v>
      </c>
      <c r="R213">
        <f t="shared" ca="1" si="209"/>
        <v>2.9388827487847209</v>
      </c>
      <c r="S213">
        <f t="shared" ca="1" si="210"/>
        <v>2.7955517458015664</v>
      </c>
    </row>
    <row r="214" spans="5:19" x14ac:dyDescent="0.75">
      <c r="E214">
        <v>209</v>
      </c>
      <c r="F214">
        <v>100</v>
      </c>
      <c r="G214">
        <f t="shared" ca="1" si="206"/>
        <v>102.68541080173674</v>
      </c>
      <c r="H214">
        <f t="shared" ca="1" si="206"/>
        <v>108.43631116782825</v>
      </c>
      <c r="I214">
        <f t="shared" ca="1" si="206"/>
        <v>120.11193371797704</v>
      </c>
      <c r="J214">
        <f t="shared" ca="1" si="206"/>
        <v>113.13089126015736</v>
      </c>
      <c r="K214">
        <f t="shared" ref="K214:P214" ca="1" si="225">J214*EXP(($C$4-0.5*$C$5^2)*$C$10+$C$5*SQRT($C$10)*NORMINV(RAND(),0,1))</f>
        <v>108.52095661201798</v>
      </c>
      <c r="L214">
        <f t="shared" ca="1" si="225"/>
        <v>112.2875599145441</v>
      </c>
      <c r="M214">
        <f t="shared" ca="1" si="225"/>
        <v>105.2366343679773</v>
      </c>
      <c r="N214">
        <f t="shared" ca="1" si="225"/>
        <v>108.4483334098102</v>
      </c>
      <c r="O214">
        <f t="shared" ca="1" si="225"/>
        <v>110.99990183395306</v>
      </c>
      <c r="P214">
        <f t="shared" ca="1" si="225"/>
        <v>113.7406730956104</v>
      </c>
      <c r="Q214">
        <f t="shared" ca="1" si="208"/>
        <v>109.41805510741932</v>
      </c>
      <c r="R214">
        <f t="shared" ca="1" si="209"/>
        <v>9.4180551074193204</v>
      </c>
      <c r="S214">
        <f t="shared" ca="1" si="210"/>
        <v>8.9587311397464902</v>
      </c>
    </row>
    <row r="215" spans="5:19" x14ac:dyDescent="0.75">
      <c r="E215">
        <v>210</v>
      </c>
      <c r="F215">
        <v>100</v>
      </c>
      <c r="G215">
        <f t="shared" ca="1" si="206"/>
        <v>102.05644965144738</v>
      </c>
      <c r="H215">
        <f t="shared" ca="1" si="206"/>
        <v>103.10888869328512</v>
      </c>
      <c r="I215">
        <f t="shared" ca="1" si="206"/>
        <v>109.75040828292622</v>
      </c>
      <c r="J215">
        <f t="shared" ca="1" si="206"/>
        <v>103.091358746533</v>
      </c>
      <c r="K215">
        <f t="shared" ref="K215:P215" ca="1" si="226">J215*EXP(($C$4-0.5*$C$5^2)*$C$10+$C$5*SQRT($C$10)*NORMINV(RAND(),0,1))</f>
        <v>107.14584945509966</v>
      </c>
      <c r="L215">
        <f t="shared" ca="1" si="226"/>
        <v>111.74219849940086</v>
      </c>
      <c r="M215">
        <f t="shared" ca="1" si="226"/>
        <v>119.50645492579432</v>
      </c>
      <c r="N215">
        <f t="shared" ca="1" si="226"/>
        <v>119.45018371679659</v>
      </c>
      <c r="O215">
        <f t="shared" ca="1" si="226"/>
        <v>117.94446619958902</v>
      </c>
      <c r="P215">
        <f t="shared" ca="1" si="226"/>
        <v>112.90696443024471</v>
      </c>
      <c r="Q215">
        <f t="shared" ca="1" si="208"/>
        <v>109.70029296373788</v>
      </c>
      <c r="R215">
        <f t="shared" ca="1" si="209"/>
        <v>9.7002929637378799</v>
      </c>
      <c r="S215">
        <f t="shared" ca="1" si="210"/>
        <v>9.2272040933847084</v>
      </c>
    </row>
    <row r="216" spans="5:19" x14ac:dyDescent="0.75">
      <c r="E216">
        <v>211</v>
      </c>
      <c r="F216">
        <v>100</v>
      </c>
      <c r="G216">
        <f t="shared" ca="1" si="206"/>
        <v>107.96495316449703</v>
      </c>
      <c r="H216">
        <f t="shared" ca="1" si="206"/>
        <v>105.43902845807889</v>
      </c>
      <c r="I216">
        <f t="shared" ca="1" si="206"/>
        <v>97.6402908352335</v>
      </c>
      <c r="J216">
        <f t="shared" ca="1" si="206"/>
        <v>91.908234146431198</v>
      </c>
      <c r="K216">
        <f t="shared" ref="K216:P216" ca="1" si="227">J216*EXP(($C$4-0.5*$C$5^2)*$C$10+$C$5*SQRT($C$10)*NORMINV(RAND(),0,1))</f>
        <v>98.546872490203967</v>
      </c>
      <c r="L216">
        <f t="shared" ca="1" si="227"/>
        <v>100.80649996780942</v>
      </c>
      <c r="M216">
        <f t="shared" ca="1" si="227"/>
        <v>96.008970735480759</v>
      </c>
      <c r="N216">
        <f t="shared" ca="1" si="227"/>
        <v>98.339605029206297</v>
      </c>
      <c r="O216">
        <f t="shared" ca="1" si="227"/>
        <v>99.501793964046357</v>
      </c>
      <c r="P216">
        <f t="shared" ca="1" si="227"/>
        <v>96.601515879557908</v>
      </c>
      <c r="Q216">
        <f t="shared" ca="1" si="208"/>
        <v>99.341614970049562</v>
      </c>
      <c r="R216">
        <f t="shared" ca="1" si="209"/>
        <v>0</v>
      </c>
      <c r="S216">
        <f t="shared" ca="1" si="210"/>
        <v>0</v>
      </c>
    </row>
    <row r="217" spans="5:19" x14ac:dyDescent="0.75">
      <c r="E217">
        <v>212</v>
      </c>
      <c r="F217">
        <v>100</v>
      </c>
      <c r="G217">
        <f t="shared" ca="1" si="206"/>
        <v>103.99840137015713</v>
      </c>
      <c r="H217">
        <f t="shared" ca="1" si="206"/>
        <v>98.939541608353267</v>
      </c>
      <c r="I217">
        <f t="shared" ca="1" si="206"/>
        <v>96.088000577697898</v>
      </c>
      <c r="J217">
        <f t="shared" ca="1" si="206"/>
        <v>88.040783986247817</v>
      </c>
      <c r="K217">
        <f t="shared" ref="K217:P217" ca="1" si="228">J217*EXP(($C$4-0.5*$C$5^2)*$C$10+$C$5*SQRT($C$10)*NORMINV(RAND(),0,1))</f>
        <v>90.474713273639281</v>
      </c>
      <c r="L217">
        <f t="shared" ca="1" si="228"/>
        <v>83.844373556721251</v>
      </c>
      <c r="M217">
        <f t="shared" ca="1" si="228"/>
        <v>93.944944894824204</v>
      </c>
      <c r="N217">
        <f t="shared" ca="1" si="228"/>
        <v>94.131554490138058</v>
      </c>
      <c r="O217">
        <f t="shared" ca="1" si="228"/>
        <v>86.250064445646686</v>
      </c>
      <c r="P217">
        <f t="shared" ca="1" si="228"/>
        <v>78.4818303342104</v>
      </c>
      <c r="Q217">
        <f t="shared" ca="1" si="208"/>
        <v>92.199473503421459</v>
      </c>
      <c r="R217">
        <f t="shared" ca="1" si="209"/>
        <v>0</v>
      </c>
      <c r="S217">
        <f t="shared" ca="1" si="210"/>
        <v>0</v>
      </c>
    </row>
    <row r="218" spans="5:19" x14ac:dyDescent="0.75">
      <c r="E218">
        <v>213</v>
      </c>
      <c r="F218">
        <v>100</v>
      </c>
      <c r="G218">
        <f t="shared" ca="1" si="206"/>
        <v>88.388144339774627</v>
      </c>
      <c r="H218">
        <f t="shared" ca="1" si="206"/>
        <v>97.741747770175479</v>
      </c>
      <c r="I218">
        <f t="shared" ca="1" si="206"/>
        <v>102.29108583218594</v>
      </c>
      <c r="J218">
        <f t="shared" ca="1" si="206"/>
        <v>117.33790980292616</v>
      </c>
      <c r="K218">
        <f t="shared" ref="K218:P218" ca="1" si="229">J218*EXP(($C$4-0.5*$C$5^2)*$C$10+$C$5*SQRT($C$10)*NORMINV(RAND(),0,1))</f>
        <v>115.03526104449706</v>
      </c>
      <c r="L218">
        <f t="shared" ca="1" si="229"/>
        <v>115.71053436801675</v>
      </c>
      <c r="M218">
        <f t="shared" ca="1" si="229"/>
        <v>126.1890556875083</v>
      </c>
      <c r="N218">
        <f t="shared" ca="1" si="229"/>
        <v>125.02931017046834</v>
      </c>
      <c r="O218">
        <f t="shared" ca="1" si="229"/>
        <v>133.45306451281181</v>
      </c>
      <c r="P218">
        <f t="shared" ca="1" si="229"/>
        <v>126.72412112283287</v>
      </c>
      <c r="Q218">
        <f t="shared" ca="1" si="208"/>
        <v>113.44547587738157</v>
      </c>
      <c r="R218">
        <f t="shared" ca="1" si="209"/>
        <v>13.445475877381568</v>
      </c>
      <c r="S218">
        <f t="shared" ca="1" si="210"/>
        <v>12.789732280979901</v>
      </c>
    </row>
    <row r="219" spans="5:19" x14ac:dyDescent="0.75">
      <c r="E219">
        <v>214</v>
      </c>
      <c r="F219">
        <v>100</v>
      </c>
      <c r="G219">
        <f t="shared" ca="1" si="206"/>
        <v>105.01582189907064</v>
      </c>
      <c r="H219">
        <f t="shared" ca="1" si="206"/>
        <v>106.32092940181307</v>
      </c>
      <c r="I219">
        <f t="shared" ca="1" si="206"/>
        <v>95.557830206762119</v>
      </c>
      <c r="J219">
        <f t="shared" ca="1" si="206"/>
        <v>102.18060754425133</v>
      </c>
      <c r="K219">
        <f t="shared" ref="K219:P219" ca="1" si="230">J219*EXP(($C$4-0.5*$C$5^2)*$C$10+$C$5*SQRT($C$10)*NORMINV(RAND(),0,1))</f>
        <v>102.38931785923585</v>
      </c>
      <c r="L219">
        <f t="shared" ca="1" si="230"/>
        <v>104.29833427045256</v>
      </c>
      <c r="M219">
        <f t="shared" ca="1" si="230"/>
        <v>102.50351024840184</v>
      </c>
      <c r="N219">
        <f t="shared" ca="1" si="230"/>
        <v>98.227067714117297</v>
      </c>
      <c r="O219">
        <f t="shared" ca="1" si="230"/>
        <v>104.22307502997911</v>
      </c>
      <c r="P219">
        <f t="shared" ca="1" si="230"/>
        <v>100.12908692716013</v>
      </c>
      <c r="Q219">
        <f t="shared" ca="1" si="208"/>
        <v>101.89505282738581</v>
      </c>
      <c r="R219">
        <f t="shared" ca="1" si="209"/>
        <v>1.8950528273858112</v>
      </c>
      <c r="S219">
        <f t="shared" ca="1" si="210"/>
        <v>1.802630010392656</v>
      </c>
    </row>
    <row r="220" spans="5:19" x14ac:dyDescent="0.75">
      <c r="E220">
        <v>215</v>
      </c>
      <c r="F220">
        <v>100</v>
      </c>
      <c r="G220">
        <f t="shared" ca="1" si="206"/>
        <v>102.11272567990059</v>
      </c>
      <c r="H220">
        <f t="shared" ca="1" si="206"/>
        <v>98.465731120810247</v>
      </c>
      <c r="I220">
        <f t="shared" ca="1" si="206"/>
        <v>100.15278973491584</v>
      </c>
      <c r="J220">
        <f t="shared" ca="1" si="206"/>
        <v>89.931154336355874</v>
      </c>
      <c r="K220">
        <f t="shared" ref="K220:P220" ca="1" si="231">J220*EXP(($C$4-0.5*$C$5^2)*$C$10+$C$5*SQRT($C$10)*NORMINV(RAND(),0,1))</f>
        <v>90.810151311026829</v>
      </c>
      <c r="L220">
        <f t="shared" ca="1" si="231"/>
        <v>90.12157678986425</v>
      </c>
      <c r="M220">
        <f t="shared" ca="1" si="231"/>
        <v>89.550720520082464</v>
      </c>
      <c r="N220">
        <f t="shared" ca="1" si="231"/>
        <v>86.995680716365015</v>
      </c>
      <c r="O220">
        <f t="shared" ca="1" si="231"/>
        <v>89.298073166946281</v>
      </c>
      <c r="P220">
        <f t="shared" ca="1" si="231"/>
        <v>92.044044890675139</v>
      </c>
      <c r="Q220">
        <f t="shared" ca="1" si="208"/>
        <v>93.589331660631146</v>
      </c>
      <c r="R220">
        <f t="shared" ca="1" si="209"/>
        <v>0</v>
      </c>
      <c r="S220">
        <f t="shared" ca="1" si="210"/>
        <v>0</v>
      </c>
    </row>
    <row r="221" spans="5:19" x14ac:dyDescent="0.75">
      <c r="E221">
        <v>216</v>
      </c>
      <c r="F221">
        <v>100</v>
      </c>
      <c r="G221">
        <f t="shared" ca="1" si="206"/>
        <v>111.01025773796216</v>
      </c>
      <c r="H221">
        <f t="shared" ca="1" si="206"/>
        <v>102.70475181545532</v>
      </c>
      <c r="I221">
        <f t="shared" ca="1" si="206"/>
        <v>94.444530022956229</v>
      </c>
      <c r="J221">
        <f t="shared" ca="1" si="206"/>
        <v>95.655464009311345</v>
      </c>
      <c r="K221">
        <f t="shared" ref="K221:P221" ca="1" si="232">J221*EXP(($C$4-0.5*$C$5^2)*$C$10+$C$5*SQRT($C$10)*NORMINV(RAND(),0,1))</f>
        <v>103.74241990347667</v>
      </c>
      <c r="L221">
        <f t="shared" ca="1" si="232"/>
        <v>103.90294748124174</v>
      </c>
      <c r="M221">
        <f t="shared" ca="1" si="232"/>
        <v>107.51057785663187</v>
      </c>
      <c r="N221">
        <f t="shared" ca="1" si="232"/>
        <v>108.33123462656522</v>
      </c>
      <c r="O221">
        <f t="shared" ca="1" si="232"/>
        <v>103.17566567387657</v>
      </c>
      <c r="P221">
        <f t="shared" ca="1" si="232"/>
        <v>90.789548657903765</v>
      </c>
      <c r="Q221">
        <f t="shared" ca="1" si="208"/>
        <v>101.933399798671</v>
      </c>
      <c r="R221">
        <f t="shared" ca="1" si="209"/>
        <v>1.9333997986710045</v>
      </c>
      <c r="S221">
        <f t="shared" ca="1" si="210"/>
        <v>1.839106777819616</v>
      </c>
    </row>
    <row r="222" spans="5:19" x14ac:dyDescent="0.75">
      <c r="E222">
        <v>217</v>
      </c>
      <c r="F222">
        <v>100</v>
      </c>
      <c r="G222">
        <f t="shared" ca="1" si="206"/>
        <v>101.5377014674188</v>
      </c>
      <c r="H222">
        <f t="shared" ca="1" si="206"/>
        <v>91.127040335427807</v>
      </c>
      <c r="I222">
        <f t="shared" ca="1" si="206"/>
        <v>86.525231603212276</v>
      </c>
      <c r="J222">
        <f t="shared" ca="1" si="206"/>
        <v>93.5192257518096</v>
      </c>
      <c r="K222">
        <f t="shared" ref="K222:P222" ca="1" si="233">J222*EXP(($C$4-0.5*$C$5^2)*$C$10+$C$5*SQRT($C$10)*NORMINV(RAND(),0,1))</f>
        <v>94.637532620252983</v>
      </c>
      <c r="L222">
        <f t="shared" ca="1" si="233"/>
        <v>95.851756557125512</v>
      </c>
      <c r="M222">
        <f t="shared" ca="1" si="233"/>
        <v>100.68882260290529</v>
      </c>
      <c r="N222">
        <f t="shared" ca="1" si="233"/>
        <v>104.88638531553725</v>
      </c>
      <c r="O222">
        <f t="shared" ca="1" si="233"/>
        <v>112.3838120227975</v>
      </c>
      <c r="P222">
        <f t="shared" ca="1" si="233"/>
        <v>109.00408552912084</v>
      </c>
      <c r="Q222">
        <f t="shared" ca="1" si="208"/>
        <v>99.105599436873447</v>
      </c>
      <c r="R222">
        <f t="shared" ca="1" si="209"/>
        <v>0</v>
      </c>
      <c r="S222">
        <f t="shared" ca="1" si="210"/>
        <v>0</v>
      </c>
    </row>
    <row r="223" spans="5:19" x14ac:dyDescent="0.75">
      <c r="E223">
        <v>218</v>
      </c>
      <c r="F223">
        <v>100</v>
      </c>
      <c r="G223">
        <f t="shared" ca="1" si="206"/>
        <v>106.17687812179533</v>
      </c>
      <c r="H223">
        <f t="shared" ca="1" si="206"/>
        <v>110.32728009602899</v>
      </c>
      <c r="I223">
        <f t="shared" ca="1" si="206"/>
        <v>111.88778450902643</v>
      </c>
      <c r="J223">
        <f t="shared" ca="1" si="206"/>
        <v>108.21292473633139</v>
      </c>
      <c r="K223">
        <f t="shared" ref="K223:P223" ca="1" si="234">J223*EXP(($C$4-0.5*$C$5^2)*$C$10+$C$5*SQRT($C$10)*NORMINV(RAND(),0,1))</f>
        <v>103.69987558124006</v>
      </c>
      <c r="L223">
        <f t="shared" ca="1" si="234"/>
        <v>104.2770549519211</v>
      </c>
      <c r="M223">
        <f t="shared" ca="1" si="234"/>
        <v>114.24446004436906</v>
      </c>
      <c r="N223">
        <f t="shared" ca="1" si="234"/>
        <v>106.96971461114214</v>
      </c>
      <c r="O223">
        <f t="shared" ca="1" si="234"/>
        <v>104.46969378495083</v>
      </c>
      <c r="P223">
        <f t="shared" ca="1" si="234"/>
        <v>114.57026773587509</v>
      </c>
      <c r="Q223">
        <f t="shared" ca="1" si="208"/>
        <v>107.71235765206184</v>
      </c>
      <c r="R223">
        <f t="shared" ca="1" si="209"/>
        <v>7.71235765206184</v>
      </c>
      <c r="S223">
        <f t="shared" ca="1" si="210"/>
        <v>7.3362215309144618</v>
      </c>
    </row>
    <row r="224" spans="5:19" x14ac:dyDescent="0.75">
      <c r="E224">
        <v>219</v>
      </c>
      <c r="F224">
        <v>100</v>
      </c>
      <c r="G224">
        <f t="shared" ca="1" si="206"/>
        <v>97.205284354532196</v>
      </c>
      <c r="H224">
        <f t="shared" ca="1" si="206"/>
        <v>103.974614655845</v>
      </c>
      <c r="I224">
        <f t="shared" ca="1" si="206"/>
        <v>104.10632427198446</v>
      </c>
      <c r="J224">
        <f t="shared" ca="1" si="206"/>
        <v>101.38458406669673</v>
      </c>
      <c r="K224">
        <f t="shared" ref="K224:P224" ca="1" si="235">J224*EXP(($C$4-0.5*$C$5^2)*$C$10+$C$5*SQRT($C$10)*NORMINV(RAND(),0,1))</f>
        <v>112.6968607935094</v>
      </c>
      <c r="L224">
        <f t="shared" ca="1" si="235"/>
        <v>114.64353282126446</v>
      </c>
      <c r="M224">
        <f t="shared" ca="1" si="235"/>
        <v>113.32076935647882</v>
      </c>
      <c r="N224">
        <f t="shared" ca="1" si="235"/>
        <v>116.30525897640243</v>
      </c>
      <c r="O224">
        <f t="shared" ca="1" si="235"/>
        <v>115.3088882813136</v>
      </c>
      <c r="P224">
        <f t="shared" ca="1" si="235"/>
        <v>114.73815467614844</v>
      </c>
      <c r="Q224">
        <f t="shared" ca="1" si="208"/>
        <v>108.51675202310686</v>
      </c>
      <c r="R224">
        <f t="shared" ca="1" si="209"/>
        <v>8.5167520231068607</v>
      </c>
      <c r="S224">
        <f t="shared" ca="1" si="210"/>
        <v>8.1013851255552307</v>
      </c>
    </row>
    <row r="225" spans="5:19" x14ac:dyDescent="0.75">
      <c r="E225">
        <v>220</v>
      </c>
      <c r="F225">
        <v>100</v>
      </c>
      <c r="G225">
        <f t="shared" ca="1" si="206"/>
        <v>104.59411797259766</v>
      </c>
      <c r="H225">
        <f t="shared" ca="1" si="206"/>
        <v>108.63975056383663</v>
      </c>
      <c r="I225">
        <f t="shared" ca="1" si="206"/>
        <v>110.12141539875475</v>
      </c>
      <c r="J225">
        <f t="shared" ca="1" si="206"/>
        <v>101.13847241541447</v>
      </c>
      <c r="K225">
        <f t="shared" ref="K225:P225" ca="1" si="236">J225*EXP(($C$4-0.5*$C$5^2)*$C$10+$C$5*SQRT($C$10)*NORMINV(RAND(),0,1))</f>
        <v>93.219054833674562</v>
      </c>
      <c r="L225">
        <f t="shared" ca="1" si="236"/>
        <v>105.63049363465248</v>
      </c>
      <c r="M225">
        <f t="shared" ca="1" si="236"/>
        <v>106.77297853681267</v>
      </c>
      <c r="N225">
        <f t="shared" ca="1" si="236"/>
        <v>104.919231057533</v>
      </c>
      <c r="O225">
        <f t="shared" ca="1" si="236"/>
        <v>98.58215405017846</v>
      </c>
      <c r="P225">
        <f t="shared" ca="1" si="236"/>
        <v>87.866110461363832</v>
      </c>
      <c r="Q225">
        <f t="shared" ca="1" si="208"/>
        <v>101.95307081134715</v>
      </c>
      <c r="R225">
        <f t="shared" ca="1" si="209"/>
        <v>1.9530708113471462</v>
      </c>
      <c r="S225">
        <f t="shared" ca="1" si="210"/>
        <v>1.8578184238868884</v>
      </c>
    </row>
    <row r="226" spans="5:19" x14ac:dyDescent="0.75">
      <c r="E226">
        <v>221</v>
      </c>
      <c r="F226">
        <v>100</v>
      </c>
      <c r="G226">
        <f t="shared" ca="1" si="206"/>
        <v>102.86374798707953</v>
      </c>
      <c r="H226">
        <f t="shared" ca="1" si="206"/>
        <v>104.2490054247744</v>
      </c>
      <c r="I226">
        <f t="shared" ca="1" si="206"/>
        <v>107.41317345963982</v>
      </c>
      <c r="J226">
        <f t="shared" ca="1" si="206"/>
        <v>104.67471700448388</v>
      </c>
      <c r="K226">
        <f t="shared" ref="K226:P226" ca="1" si="237">J226*EXP(($C$4-0.5*$C$5^2)*$C$10+$C$5*SQRT($C$10)*NORMINV(RAND(),0,1))</f>
        <v>114.87980983278436</v>
      </c>
      <c r="L226">
        <f t="shared" ca="1" si="237"/>
        <v>127.81774590780323</v>
      </c>
      <c r="M226">
        <f t="shared" ca="1" si="237"/>
        <v>140.91650663663373</v>
      </c>
      <c r="N226">
        <f t="shared" ca="1" si="237"/>
        <v>134.1872613067971</v>
      </c>
      <c r="O226">
        <f t="shared" ca="1" si="237"/>
        <v>133.42193916296517</v>
      </c>
      <c r="P226">
        <f t="shared" ca="1" si="237"/>
        <v>151.12684495403792</v>
      </c>
      <c r="Q226">
        <f t="shared" ca="1" si="208"/>
        <v>120.14097742518175</v>
      </c>
      <c r="R226">
        <f t="shared" ca="1" si="209"/>
        <v>20.140977425181745</v>
      </c>
      <c r="S226">
        <f t="shared" ca="1" si="210"/>
        <v>19.158690365037504</v>
      </c>
    </row>
    <row r="227" spans="5:19" x14ac:dyDescent="0.75">
      <c r="E227">
        <v>222</v>
      </c>
      <c r="F227">
        <v>100</v>
      </c>
      <c r="G227">
        <f t="shared" ca="1" si="206"/>
        <v>98.88948963914585</v>
      </c>
      <c r="H227">
        <f t="shared" ca="1" si="206"/>
        <v>93.983583738467999</v>
      </c>
      <c r="I227">
        <f t="shared" ca="1" si="206"/>
        <v>101.00468667109027</v>
      </c>
      <c r="J227">
        <f t="shared" ca="1" si="206"/>
        <v>112.29089662177103</v>
      </c>
      <c r="K227">
        <f t="shared" ref="K227:P227" ca="1" si="238">J227*EXP(($C$4-0.5*$C$5^2)*$C$10+$C$5*SQRT($C$10)*NORMINV(RAND(),0,1))</f>
        <v>109.06437883706633</v>
      </c>
      <c r="L227">
        <f t="shared" ca="1" si="238"/>
        <v>117.45641275541139</v>
      </c>
      <c r="M227">
        <f t="shared" ca="1" si="238"/>
        <v>113.42407118159439</v>
      </c>
      <c r="N227">
        <f t="shared" ca="1" si="238"/>
        <v>127.09319302263343</v>
      </c>
      <c r="O227">
        <f t="shared" ca="1" si="238"/>
        <v>120.77402657648642</v>
      </c>
      <c r="P227">
        <f t="shared" ca="1" si="238"/>
        <v>131.07013910342155</v>
      </c>
      <c r="Q227">
        <f t="shared" ca="1" si="208"/>
        <v>111.36826164973532</v>
      </c>
      <c r="R227">
        <f t="shared" ca="1" si="209"/>
        <v>11.368261649735317</v>
      </c>
      <c r="S227">
        <f t="shared" ca="1" si="210"/>
        <v>10.813824986651262</v>
      </c>
    </row>
    <row r="228" spans="5:19" x14ac:dyDescent="0.75">
      <c r="E228">
        <v>223</v>
      </c>
      <c r="F228">
        <v>100</v>
      </c>
      <c r="G228">
        <f t="shared" ca="1" si="206"/>
        <v>99.86855080667894</v>
      </c>
      <c r="H228">
        <f t="shared" ca="1" si="206"/>
        <v>93.129050764776025</v>
      </c>
      <c r="I228">
        <f t="shared" ca="1" si="206"/>
        <v>95.825144398301035</v>
      </c>
      <c r="J228">
        <f t="shared" ca="1" si="206"/>
        <v>104.89480450257618</v>
      </c>
      <c r="K228">
        <f t="shared" ref="K228:P228" ca="1" si="239">J228*EXP(($C$4-0.5*$C$5^2)*$C$10+$C$5*SQRT($C$10)*NORMINV(RAND(),0,1))</f>
        <v>103.62092375233811</v>
      </c>
      <c r="L228">
        <f t="shared" ca="1" si="239"/>
        <v>106.44339811069402</v>
      </c>
      <c r="M228">
        <f t="shared" ca="1" si="239"/>
        <v>108.31418291692643</v>
      </c>
      <c r="N228">
        <f t="shared" ca="1" si="239"/>
        <v>106.41144638243266</v>
      </c>
      <c r="O228">
        <f t="shared" ca="1" si="239"/>
        <v>96.411061172624443</v>
      </c>
      <c r="P228">
        <f t="shared" ca="1" si="239"/>
        <v>100.19283428512158</v>
      </c>
      <c r="Q228">
        <f t="shared" ca="1" si="208"/>
        <v>101.37376337204269</v>
      </c>
      <c r="R228">
        <f t="shared" ca="1" si="209"/>
        <v>1.3737633720426885</v>
      </c>
      <c r="S228">
        <f t="shared" ca="1" si="210"/>
        <v>1.3067641417883269</v>
      </c>
    </row>
    <row r="229" spans="5:19" x14ac:dyDescent="0.75">
      <c r="E229">
        <v>224</v>
      </c>
      <c r="F229">
        <v>100</v>
      </c>
      <c r="G229">
        <f t="shared" ca="1" si="206"/>
        <v>97.068838979423447</v>
      </c>
      <c r="H229">
        <f t="shared" ca="1" si="206"/>
        <v>92.071994119377379</v>
      </c>
      <c r="I229">
        <f t="shared" ca="1" si="206"/>
        <v>94.905218084840541</v>
      </c>
      <c r="J229">
        <f t="shared" ca="1" si="206"/>
        <v>101.80771199993923</v>
      </c>
      <c r="K229">
        <f t="shared" ref="K229:P229" ca="1" si="240">J229*EXP(($C$4-0.5*$C$5^2)*$C$10+$C$5*SQRT($C$10)*NORMINV(RAND(),0,1))</f>
        <v>97.58470110580987</v>
      </c>
      <c r="L229">
        <f t="shared" ca="1" si="240"/>
        <v>93.544990630021985</v>
      </c>
      <c r="M229">
        <f t="shared" ca="1" si="240"/>
        <v>82.359961125134888</v>
      </c>
      <c r="N229">
        <f t="shared" ca="1" si="240"/>
        <v>88.312795265006699</v>
      </c>
      <c r="O229">
        <f t="shared" ca="1" si="240"/>
        <v>98.88082791747793</v>
      </c>
      <c r="P229">
        <f t="shared" ca="1" si="240"/>
        <v>109.25620900005103</v>
      </c>
      <c r="Q229">
        <f t="shared" ca="1" si="208"/>
        <v>95.981204384280275</v>
      </c>
      <c r="R229">
        <f t="shared" ca="1" si="209"/>
        <v>0</v>
      </c>
      <c r="S229">
        <f t="shared" ca="1" si="210"/>
        <v>0</v>
      </c>
    </row>
    <row r="230" spans="5:19" x14ac:dyDescent="0.75">
      <c r="E230">
        <v>225</v>
      </c>
      <c r="F230">
        <v>100</v>
      </c>
      <c r="G230">
        <f t="shared" ca="1" si="206"/>
        <v>94.573495213685021</v>
      </c>
      <c r="H230">
        <f t="shared" ca="1" si="206"/>
        <v>93.991116191298289</v>
      </c>
      <c r="I230">
        <f t="shared" ca="1" si="206"/>
        <v>92.058624367588962</v>
      </c>
      <c r="J230">
        <f t="shared" ca="1" si="206"/>
        <v>86.591117443681355</v>
      </c>
      <c r="K230">
        <f t="shared" ref="K230:P230" ca="1" si="241">J230*EXP(($C$4-0.5*$C$5^2)*$C$10+$C$5*SQRT($C$10)*NORMINV(RAND(),0,1))</f>
        <v>90.864757797373741</v>
      </c>
      <c r="L230">
        <f t="shared" ca="1" si="241"/>
        <v>87.409093879214296</v>
      </c>
      <c r="M230">
        <f t="shared" ca="1" si="241"/>
        <v>91.66042139381095</v>
      </c>
      <c r="N230">
        <f t="shared" ca="1" si="241"/>
        <v>86.180711192943505</v>
      </c>
      <c r="O230">
        <f t="shared" ca="1" si="241"/>
        <v>87.745387766939487</v>
      </c>
      <c r="P230">
        <f t="shared" ca="1" si="241"/>
        <v>89.377246891083331</v>
      </c>
      <c r="Q230">
        <f t="shared" ca="1" si="208"/>
        <v>90.950179285238093</v>
      </c>
      <c r="R230">
        <f t="shared" ca="1" si="209"/>
        <v>0</v>
      </c>
      <c r="S230">
        <f t="shared" ca="1" si="210"/>
        <v>0</v>
      </c>
    </row>
    <row r="231" spans="5:19" x14ac:dyDescent="0.75">
      <c r="E231">
        <v>226</v>
      </c>
      <c r="F231">
        <v>100</v>
      </c>
      <c r="G231">
        <f t="shared" ca="1" si="206"/>
        <v>96.930160867842645</v>
      </c>
      <c r="H231">
        <f t="shared" ca="1" si="206"/>
        <v>100.15603100197299</v>
      </c>
      <c r="I231">
        <f t="shared" ca="1" si="206"/>
        <v>111.01704358746703</v>
      </c>
      <c r="J231">
        <f t="shared" ca="1" si="206"/>
        <v>102.94979226064898</v>
      </c>
      <c r="K231">
        <f t="shared" ref="K231:P231" ca="1" si="242">J231*EXP(($C$4-0.5*$C$5^2)*$C$10+$C$5*SQRT($C$10)*NORMINV(RAND(),0,1))</f>
        <v>102.14606835052676</v>
      </c>
      <c r="L231">
        <f t="shared" ca="1" si="242"/>
        <v>101.24702089746502</v>
      </c>
      <c r="M231">
        <f t="shared" ca="1" si="242"/>
        <v>103.6632512004456</v>
      </c>
      <c r="N231">
        <f t="shared" ca="1" si="242"/>
        <v>91.713885718430333</v>
      </c>
      <c r="O231">
        <f t="shared" ca="1" si="242"/>
        <v>86.032028564248904</v>
      </c>
      <c r="P231">
        <f t="shared" ca="1" si="242"/>
        <v>80.669287567686126</v>
      </c>
      <c r="Q231">
        <f t="shared" ca="1" si="208"/>
        <v>97.865870001521301</v>
      </c>
      <c r="R231">
        <f t="shared" ca="1" si="209"/>
        <v>0</v>
      </c>
      <c r="S231">
        <f t="shared" ca="1" si="210"/>
        <v>0</v>
      </c>
    </row>
    <row r="232" spans="5:19" x14ac:dyDescent="0.75">
      <c r="E232">
        <v>227</v>
      </c>
      <c r="F232">
        <v>100</v>
      </c>
      <c r="G232">
        <f t="shared" ca="1" si="206"/>
        <v>113.08197149883318</v>
      </c>
      <c r="H232">
        <f t="shared" ca="1" si="206"/>
        <v>119.41483291690949</v>
      </c>
      <c r="I232">
        <f t="shared" ca="1" si="206"/>
        <v>130.13371599429541</v>
      </c>
      <c r="J232">
        <f t="shared" ca="1" si="206"/>
        <v>123.65690807838378</v>
      </c>
      <c r="K232">
        <f t="shared" ref="K232:P232" ca="1" si="243">J232*EXP(($C$4-0.5*$C$5^2)*$C$10+$C$5*SQRT($C$10)*NORMINV(RAND(),0,1))</f>
        <v>120.62257689575372</v>
      </c>
      <c r="L232">
        <f t="shared" ca="1" si="243"/>
        <v>113.4140820771226</v>
      </c>
      <c r="M232">
        <f t="shared" ca="1" si="243"/>
        <v>108.22097896541794</v>
      </c>
      <c r="N232">
        <f t="shared" ca="1" si="243"/>
        <v>107.32200356263611</v>
      </c>
      <c r="O232">
        <f t="shared" ca="1" si="243"/>
        <v>109.45522731001753</v>
      </c>
      <c r="P232">
        <f t="shared" ca="1" si="243"/>
        <v>107.1164751290349</v>
      </c>
      <c r="Q232">
        <f t="shared" ca="1" si="208"/>
        <v>113.85807022076406</v>
      </c>
      <c r="R232">
        <f t="shared" ca="1" si="209"/>
        <v>13.858070220764063</v>
      </c>
      <c r="S232">
        <f t="shared" ca="1" si="210"/>
        <v>13.182204160787883</v>
      </c>
    </row>
    <row r="233" spans="5:19" x14ac:dyDescent="0.75">
      <c r="E233">
        <v>228</v>
      </c>
      <c r="F233">
        <v>100</v>
      </c>
      <c r="G233">
        <f t="shared" ca="1" si="206"/>
        <v>104.84697543993084</v>
      </c>
      <c r="H233">
        <f t="shared" ca="1" si="206"/>
        <v>112.74648223532846</v>
      </c>
      <c r="I233">
        <f t="shared" ca="1" si="206"/>
        <v>106.24659038923497</v>
      </c>
      <c r="J233">
        <f t="shared" ca="1" si="206"/>
        <v>108.78047758848362</v>
      </c>
      <c r="K233">
        <f t="shared" ref="K233:P233" ca="1" si="244">J233*EXP(($C$4-0.5*$C$5^2)*$C$10+$C$5*SQRT($C$10)*NORMINV(RAND(),0,1))</f>
        <v>104.9835267331071</v>
      </c>
      <c r="L233">
        <f t="shared" ca="1" si="244"/>
        <v>101.61808298202794</v>
      </c>
      <c r="M233">
        <f t="shared" ca="1" si="244"/>
        <v>106.06857500462903</v>
      </c>
      <c r="N233">
        <f t="shared" ca="1" si="244"/>
        <v>109.28202891657062</v>
      </c>
      <c r="O233">
        <f t="shared" ca="1" si="244"/>
        <v>108.08594685085868</v>
      </c>
      <c r="P233">
        <f t="shared" ca="1" si="244"/>
        <v>116.8847233413689</v>
      </c>
      <c r="Q233">
        <f t="shared" ca="1" si="208"/>
        <v>107.23121904377639</v>
      </c>
      <c r="R233">
        <f t="shared" ca="1" si="209"/>
        <v>7.2312190437763917</v>
      </c>
      <c r="S233">
        <f t="shared" ca="1" si="210"/>
        <v>6.8785483294500205</v>
      </c>
    </row>
    <row r="234" spans="5:19" x14ac:dyDescent="0.75">
      <c r="E234">
        <v>229</v>
      </c>
      <c r="F234">
        <v>100</v>
      </c>
      <c r="G234">
        <f t="shared" ca="1" si="206"/>
        <v>92.97761333556538</v>
      </c>
      <c r="H234">
        <f t="shared" ca="1" si="206"/>
        <v>92.744782751324749</v>
      </c>
      <c r="I234">
        <f t="shared" ca="1" si="206"/>
        <v>93.069729892407452</v>
      </c>
      <c r="J234">
        <f t="shared" ca="1" si="206"/>
        <v>84.048265657688447</v>
      </c>
      <c r="K234">
        <f t="shared" ref="K234:P234" ca="1" si="245">J234*EXP(($C$4-0.5*$C$5^2)*$C$10+$C$5*SQRT($C$10)*NORMINV(RAND(),0,1))</f>
        <v>75.822358785403608</v>
      </c>
      <c r="L234">
        <f t="shared" ca="1" si="245"/>
        <v>68.842697819890674</v>
      </c>
      <c r="M234">
        <f t="shared" ca="1" si="245"/>
        <v>69.63463794909714</v>
      </c>
      <c r="N234">
        <f t="shared" ca="1" si="245"/>
        <v>75.153525328751144</v>
      </c>
      <c r="O234">
        <f t="shared" ca="1" si="245"/>
        <v>78.069700659547394</v>
      </c>
      <c r="P234">
        <f t="shared" ca="1" si="245"/>
        <v>72.280358340703316</v>
      </c>
      <c r="Q234">
        <f t="shared" ca="1" si="208"/>
        <v>82.058515501852654</v>
      </c>
      <c r="R234">
        <f t="shared" ca="1" si="209"/>
        <v>0</v>
      </c>
      <c r="S234">
        <f t="shared" ca="1" si="210"/>
        <v>0</v>
      </c>
    </row>
    <row r="235" spans="5:19" x14ac:dyDescent="0.75">
      <c r="E235">
        <v>230</v>
      </c>
      <c r="F235">
        <v>100</v>
      </c>
      <c r="G235">
        <f t="shared" ca="1" si="206"/>
        <v>110.14005435190167</v>
      </c>
      <c r="H235">
        <f t="shared" ca="1" si="206"/>
        <v>117.5883060161735</v>
      </c>
      <c r="I235">
        <f t="shared" ca="1" si="206"/>
        <v>109.36406095545378</v>
      </c>
      <c r="J235">
        <f t="shared" ca="1" si="206"/>
        <v>115.13136280556564</v>
      </c>
      <c r="K235">
        <f t="shared" ref="K235:P235" ca="1" si="246">J235*EXP(($C$4-0.5*$C$5^2)*$C$10+$C$5*SQRT($C$10)*NORMINV(RAND(),0,1))</f>
        <v>108.19395359106163</v>
      </c>
      <c r="L235">
        <f t="shared" ca="1" si="246"/>
        <v>102.41998662320896</v>
      </c>
      <c r="M235">
        <f t="shared" ca="1" si="246"/>
        <v>108.22127201154481</v>
      </c>
      <c r="N235">
        <f t="shared" ca="1" si="246"/>
        <v>120.75617853165315</v>
      </c>
      <c r="O235">
        <f t="shared" ca="1" si="246"/>
        <v>129.23668740863465</v>
      </c>
      <c r="P235">
        <f t="shared" ca="1" si="246"/>
        <v>122.76415209664921</v>
      </c>
      <c r="Q235">
        <f t="shared" ca="1" si="208"/>
        <v>113.07418312653154</v>
      </c>
      <c r="R235">
        <f t="shared" ca="1" si="209"/>
        <v>13.074183126531537</v>
      </c>
      <c r="S235">
        <f t="shared" ca="1" si="210"/>
        <v>12.43654769126754</v>
      </c>
    </row>
    <row r="236" spans="5:19" x14ac:dyDescent="0.75">
      <c r="E236">
        <v>231</v>
      </c>
      <c r="F236">
        <v>100</v>
      </c>
      <c r="G236">
        <f t="shared" ca="1" si="206"/>
        <v>104.54679247622953</v>
      </c>
      <c r="H236">
        <f t="shared" ca="1" si="206"/>
        <v>105.35526135930914</v>
      </c>
      <c r="I236">
        <f t="shared" ca="1" si="206"/>
        <v>111.59188331346471</v>
      </c>
      <c r="J236">
        <f t="shared" ca="1" si="206"/>
        <v>124.54040211892969</v>
      </c>
      <c r="K236">
        <f t="shared" ref="K236:P236" ca="1" si="247">J236*EXP(($C$4-0.5*$C$5^2)*$C$10+$C$5*SQRT($C$10)*NORMINV(RAND(),0,1))</f>
        <v>120.37364828770311</v>
      </c>
      <c r="L236">
        <f t="shared" ca="1" si="247"/>
        <v>124.08543285200116</v>
      </c>
      <c r="M236">
        <f t="shared" ca="1" si="247"/>
        <v>130.76894181054223</v>
      </c>
      <c r="N236">
        <f t="shared" ca="1" si="247"/>
        <v>140.27165287056422</v>
      </c>
      <c r="O236">
        <f t="shared" ca="1" si="247"/>
        <v>151.21282292292506</v>
      </c>
      <c r="P236">
        <f t="shared" ca="1" si="247"/>
        <v>150.61553617957887</v>
      </c>
      <c r="Q236">
        <f t="shared" ca="1" si="208"/>
        <v>123.94203401738615</v>
      </c>
      <c r="R236">
        <f t="shared" ca="1" si="209"/>
        <v>23.942034017386149</v>
      </c>
      <c r="S236">
        <f t="shared" ca="1" si="210"/>
        <v>22.774367239734744</v>
      </c>
    </row>
    <row r="237" spans="5:19" x14ac:dyDescent="0.75">
      <c r="E237">
        <v>232</v>
      </c>
      <c r="F237">
        <v>100</v>
      </c>
      <c r="G237">
        <f t="shared" ca="1" si="206"/>
        <v>95.038075516552951</v>
      </c>
      <c r="H237">
        <f t="shared" ca="1" si="206"/>
        <v>98.761868741967973</v>
      </c>
      <c r="I237">
        <f t="shared" ca="1" si="206"/>
        <v>99.565350649711078</v>
      </c>
      <c r="J237">
        <f t="shared" ca="1" si="206"/>
        <v>90.422218833655919</v>
      </c>
      <c r="K237">
        <f t="shared" ref="K237:P237" ca="1" si="248">J237*EXP(($C$4-0.5*$C$5^2)*$C$10+$C$5*SQRT($C$10)*NORMINV(RAND(),0,1))</f>
        <v>90.494013555851723</v>
      </c>
      <c r="L237">
        <f t="shared" ca="1" si="248"/>
        <v>80.424311307226816</v>
      </c>
      <c r="M237">
        <f t="shared" ca="1" si="248"/>
        <v>81.204136373469709</v>
      </c>
      <c r="N237">
        <f t="shared" ca="1" si="248"/>
        <v>75.096192910354475</v>
      </c>
      <c r="O237">
        <f t="shared" ca="1" si="248"/>
        <v>75.212579235566182</v>
      </c>
      <c r="P237">
        <f t="shared" ca="1" si="248"/>
        <v>77.330230926523271</v>
      </c>
      <c r="Q237">
        <f t="shared" ca="1" si="208"/>
        <v>87.595361640989111</v>
      </c>
      <c r="R237">
        <f t="shared" ca="1" si="209"/>
        <v>0</v>
      </c>
      <c r="S237">
        <f t="shared" ca="1" si="210"/>
        <v>0</v>
      </c>
    </row>
    <row r="238" spans="5:19" x14ac:dyDescent="0.75">
      <c r="E238">
        <v>233</v>
      </c>
      <c r="F238">
        <v>100</v>
      </c>
      <c r="G238">
        <f t="shared" ca="1" si="206"/>
        <v>95.102900975356505</v>
      </c>
      <c r="H238">
        <f t="shared" ca="1" si="206"/>
        <v>102.16192806780515</v>
      </c>
      <c r="I238">
        <f t="shared" ca="1" si="206"/>
        <v>94.84298210169797</v>
      </c>
      <c r="J238">
        <f t="shared" ca="1" si="206"/>
        <v>97.914487949126141</v>
      </c>
      <c r="K238">
        <f t="shared" ref="K238:P238" ca="1" si="249">J238*EXP(($C$4-0.5*$C$5^2)*$C$10+$C$5*SQRT($C$10)*NORMINV(RAND(),0,1))</f>
        <v>89.085962252402993</v>
      </c>
      <c r="L238">
        <f t="shared" ca="1" si="249"/>
        <v>88.191232288666455</v>
      </c>
      <c r="M238">
        <f t="shared" ca="1" si="249"/>
        <v>89.821843740494117</v>
      </c>
      <c r="N238">
        <f t="shared" ca="1" si="249"/>
        <v>92.383697474582846</v>
      </c>
      <c r="O238">
        <f t="shared" ca="1" si="249"/>
        <v>91.067198558963213</v>
      </c>
      <c r="P238">
        <f t="shared" ca="1" si="249"/>
        <v>92.542883674820288</v>
      </c>
      <c r="Q238">
        <f t="shared" ca="1" si="208"/>
        <v>93.919556098537797</v>
      </c>
      <c r="R238">
        <f t="shared" ca="1" si="209"/>
        <v>0</v>
      </c>
      <c r="S238">
        <f t="shared" ca="1" si="210"/>
        <v>0</v>
      </c>
    </row>
    <row r="239" spans="5:19" x14ac:dyDescent="0.75">
      <c r="E239">
        <v>234</v>
      </c>
      <c r="F239">
        <v>100</v>
      </c>
      <c r="G239">
        <f t="shared" ca="1" si="206"/>
        <v>100.44223631312977</v>
      </c>
      <c r="H239">
        <f t="shared" ca="1" si="206"/>
        <v>101.83411267435532</v>
      </c>
      <c r="I239">
        <f t="shared" ca="1" si="206"/>
        <v>104.55915176816241</v>
      </c>
      <c r="J239">
        <f t="shared" ca="1" si="206"/>
        <v>104.00028412325565</v>
      </c>
      <c r="K239">
        <f t="shared" ref="K239:P239" ca="1" si="250">J239*EXP(($C$4-0.5*$C$5^2)*$C$10+$C$5*SQRT($C$10)*NORMINV(RAND(),0,1))</f>
        <v>101.15984762654556</v>
      </c>
      <c r="L239">
        <f t="shared" ca="1" si="250"/>
        <v>108.18149641978124</v>
      </c>
      <c r="M239">
        <f t="shared" ca="1" si="250"/>
        <v>112.24725493118126</v>
      </c>
      <c r="N239">
        <f t="shared" ca="1" si="250"/>
        <v>128.3852661759247</v>
      </c>
      <c r="O239">
        <f t="shared" ca="1" si="250"/>
        <v>126.11780558029689</v>
      </c>
      <c r="P239">
        <f t="shared" ca="1" si="250"/>
        <v>132.07111029441796</v>
      </c>
      <c r="Q239">
        <f t="shared" ca="1" si="208"/>
        <v>110.81805144609552</v>
      </c>
      <c r="R239">
        <f t="shared" ca="1" si="209"/>
        <v>10.818051446095524</v>
      </c>
      <c r="S239">
        <f t="shared" ca="1" si="210"/>
        <v>10.290448851288563</v>
      </c>
    </row>
    <row r="240" spans="5:19" x14ac:dyDescent="0.75">
      <c r="E240">
        <v>235</v>
      </c>
      <c r="F240">
        <v>100</v>
      </c>
      <c r="G240">
        <f t="shared" ca="1" si="206"/>
        <v>101.97962120869173</v>
      </c>
      <c r="H240">
        <f t="shared" ca="1" si="206"/>
        <v>106.28185743809924</v>
      </c>
      <c r="I240">
        <f t="shared" ca="1" si="206"/>
        <v>105.97769923297676</v>
      </c>
      <c r="J240">
        <f t="shared" ca="1" si="206"/>
        <v>105.46897125584675</v>
      </c>
      <c r="K240">
        <f t="shared" ref="K240:P240" ca="1" si="251">J240*EXP(($C$4-0.5*$C$5^2)*$C$10+$C$5*SQRT($C$10)*NORMINV(RAND(),0,1))</f>
        <v>114.92702658647947</v>
      </c>
      <c r="L240">
        <f t="shared" ca="1" si="251"/>
        <v>111.4476435330168</v>
      </c>
      <c r="M240">
        <f t="shared" ca="1" si="251"/>
        <v>117.56703455783787</v>
      </c>
      <c r="N240">
        <f t="shared" ca="1" si="251"/>
        <v>130.84458370157472</v>
      </c>
      <c r="O240">
        <f t="shared" ca="1" si="251"/>
        <v>133.01606113190721</v>
      </c>
      <c r="P240">
        <f t="shared" ca="1" si="251"/>
        <v>135.24368519570345</v>
      </c>
      <c r="Q240">
        <f t="shared" ca="1" si="208"/>
        <v>114.79583489473944</v>
      </c>
      <c r="R240">
        <f t="shared" ca="1" si="209"/>
        <v>14.795834894739443</v>
      </c>
      <c r="S240">
        <f t="shared" ca="1" si="210"/>
        <v>14.074233511930583</v>
      </c>
    </row>
    <row r="241" spans="5:19" x14ac:dyDescent="0.75">
      <c r="E241">
        <v>236</v>
      </c>
      <c r="F241">
        <v>100</v>
      </c>
      <c r="G241">
        <f t="shared" ca="1" si="206"/>
        <v>100.72337356797971</v>
      </c>
      <c r="H241">
        <f t="shared" ca="1" si="206"/>
        <v>100.08704346044814</v>
      </c>
      <c r="I241">
        <f t="shared" ca="1" si="206"/>
        <v>99.846597690822804</v>
      </c>
      <c r="J241">
        <f t="shared" ca="1" si="206"/>
        <v>103.75661065831736</v>
      </c>
      <c r="K241">
        <f t="shared" ref="K241:P241" ca="1" si="252">J241*EXP(($C$4-0.5*$C$5^2)*$C$10+$C$5*SQRT($C$10)*NORMINV(RAND(),0,1))</f>
        <v>103.77444433977976</v>
      </c>
      <c r="L241">
        <f t="shared" ca="1" si="252"/>
        <v>98.202666881068737</v>
      </c>
      <c r="M241">
        <f t="shared" ca="1" si="252"/>
        <v>93.323431233007668</v>
      </c>
      <c r="N241">
        <f t="shared" ca="1" si="252"/>
        <v>82.2032767522645</v>
      </c>
      <c r="O241">
        <f t="shared" ca="1" si="252"/>
        <v>83.491013558547394</v>
      </c>
      <c r="P241">
        <f t="shared" ca="1" si="252"/>
        <v>97.161801171574837</v>
      </c>
      <c r="Q241">
        <f t="shared" ca="1" si="208"/>
        <v>96.59729630125554</v>
      </c>
      <c r="R241">
        <f t="shared" ca="1" si="209"/>
        <v>0</v>
      </c>
      <c r="S241">
        <f t="shared" ca="1" si="210"/>
        <v>0</v>
      </c>
    </row>
    <row r="242" spans="5:19" x14ac:dyDescent="0.75">
      <c r="E242">
        <v>237</v>
      </c>
      <c r="F242">
        <v>100</v>
      </c>
      <c r="G242">
        <f t="shared" ca="1" si="206"/>
        <v>102.116665623576</v>
      </c>
      <c r="H242">
        <f t="shared" ca="1" si="206"/>
        <v>99.717405712143787</v>
      </c>
      <c r="I242">
        <f t="shared" ca="1" si="206"/>
        <v>85.983192141905334</v>
      </c>
      <c r="J242">
        <f t="shared" ca="1" si="206"/>
        <v>86.570774601736403</v>
      </c>
      <c r="K242">
        <f t="shared" ref="K242:P242" ca="1" si="253">J242*EXP(($C$4-0.5*$C$5^2)*$C$10+$C$5*SQRT($C$10)*NORMINV(RAND(),0,1))</f>
        <v>95.609132132595519</v>
      </c>
      <c r="L242">
        <f t="shared" ca="1" si="253"/>
        <v>90.893537686196979</v>
      </c>
      <c r="M242">
        <f t="shared" ca="1" si="253"/>
        <v>81.682628288395605</v>
      </c>
      <c r="N242">
        <f t="shared" ca="1" si="253"/>
        <v>82.84369807710496</v>
      </c>
      <c r="O242">
        <f t="shared" ca="1" si="253"/>
        <v>95.327961216284208</v>
      </c>
      <c r="P242">
        <f t="shared" ca="1" si="253"/>
        <v>100.72580573437298</v>
      </c>
      <c r="Q242">
        <f t="shared" ca="1" si="208"/>
        <v>92.860981928573793</v>
      </c>
      <c r="R242">
        <f t="shared" ca="1" si="209"/>
        <v>0</v>
      </c>
      <c r="S242">
        <f t="shared" ca="1" si="210"/>
        <v>0</v>
      </c>
    </row>
    <row r="243" spans="5:19" x14ac:dyDescent="0.75">
      <c r="E243">
        <v>238</v>
      </c>
      <c r="F243">
        <v>100</v>
      </c>
      <c r="G243">
        <f t="shared" ca="1" si="206"/>
        <v>106.19365717696839</v>
      </c>
      <c r="H243">
        <f t="shared" ca="1" si="206"/>
        <v>93.334698841496845</v>
      </c>
      <c r="I243">
        <f t="shared" ca="1" si="206"/>
        <v>106.52646314182608</v>
      </c>
      <c r="J243">
        <f t="shared" ca="1" si="206"/>
        <v>114.63406874548679</v>
      </c>
      <c r="K243">
        <f t="shared" ref="K243:P243" ca="1" si="254">J243*EXP(($C$4-0.5*$C$5^2)*$C$10+$C$5*SQRT($C$10)*NORMINV(RAND(),0,1))</f>
        <v>121.32514879473284</v>
      </c>
      <c r="L243">
        <f t="shared" ca="1" si="254"/>
        <v>114.48675318516452</v>
      </c>
      <c r="M243">
        <f t="shared" ca="1" si="254"/>
        <v>119.08128744921054</v>
      </c>
      <c r="N243">
        <f t="shared" ca="1" si="254"/>
        <v>116.29625137249982</v>
      </c>
      <c r="O243">
        <f t="shared" ca="1" si="254"/>
        <v>121.87788157026085</v>
      </c>
      <c r="P243">
        <f t="shared" ca="1" si="254"/>
        <v>120.69121061388827</v>
      </c>
      <c r="Q243">
        <f t="shared" ca="1" si="208"/>
        <v>112.22249280832135</v>
      </c>
      <c r="R243">
        <f t="shared" ca="1" si="209"/>
        <v>12.222492808321348</v>
      </c>
      <c r="S243">
        <f t="shared" ca="1" si="210"/>
        <v>11.626394800023633</v>
      </c>
    </row>
    <row r="244" spans="5:19" x14ac:dyDescent="0.75">
      <c r="E244">
        <v>239</v>
      </c>
      <c r="F244">
        <v>100</v>
      </c>
      <c r="G244">
        <f t="shared" ca="1" si="206"/>
        <v>103.75146867454706</v>
      </c>
      <c r="H244">
        <f t="shared" ca="1" si="206"/>
        <v>109.86899210215887</v>
      </c>
      <c r="I244">
        <f t="shared" ca="1" si="206"/>
        <v>107.27689280278277</v>
      </c>
      <c r="J244">
        <f t="shared" ca="1" si="206"/>
        <v>104.77676593074357</v>
      </c>
      <c r="K244">
        <f t="shared" ref="K244:P244" ca="1" si="255">J244*EXP(($C$4-0.5*$C$5^2)*$C$10+$C$5*SQRT($C$10)*NORMINV(RAND(),0,1))</f>
        <v>97.730353791606504</v>
      </c>
      <c r="L244">
        <f t="shared" ca="1" si="255"/>
        <v>109.60161480695943</v>
      </c>
      <c r="M244">
        <f t="shared" ca="1" si="255"/>
        <v>110.42458731574956</v>
      </c>
      <c r="N244">
        <f t="shared" ca="1" si="255"/>
        <v>113.78998914127911</v>
      </c>
      <c r="O244">
        <f t="shared" ca="1" si="255"/>
        <v>116.82507394416044</v>
      </c>
      <c r="P244">
        <f t="shared" ca="1" si="255"/>
        <v>104.11769354064533</v>
      </c>
      <c r="Q244">
        <f t="shared" ca="1" si="208"/>
        <v>107.10576655005752</v>
      </c>
      <c r="R244">
        <f t="shared" ca="1" si="209"/>
        <v>7.105766550057524</v>
      </c>
      <c r="S244">
        <f t="shared" ca="1" si="210"/>
        <v>6.7592142260476429</v>
      </c>
    </row>
    <row r="245" spans="5:19" x14ac:dyDescent="0.75">
      <c r="E245">
        <v>240</v>
      </c>
      <c r="F245">
        <v>100</v>
      </c>
      <c r="G245">
        <f t="shared" ca="1" si="206"/>
        <v>102.60825662846473</v>
      </c>
      <c r="H245">
        <f t="shared" ca="1" si="206"/>
        <v>104.37513255350267</v>
      </c>
      <c r="I245">
        <f t="shared" ca="1" si="206"/>
        <v>106.30787337859127</v>
      </c>
      <c r="J245">
        <f t="shared" ca="1" si="206"/>
        <v>105.50674619087309</v>
      </c>
      <c r="K245">
        <f t="shared" ref="K245:P245" ca="1" si="256">J245*EXP(($C$4-0.5*$C$5^2)*$C$10+$C$5*SQRT($C$10)*NORMINV(RAND(),0,1))</f>
        <v>93.452007580655234</v>
      </c>
      <c r="L245">
        <f t="shared" ca="1" si="256"/>
        <v>84.513774350985784</v>
      </c>
      <c r="M245">
        <f t="shared" ca="1" si="256"/>
        <v>89.182346577116419</v>
      </c>
      <c r="N245">
        <f t="shared" ca="1" si="256"/>
        <v>98.733517138300073</v>
      </c>
      <c r="O245">
        <f t="shared" ca="1" si="256"/>
        <v>97.382585457504703</v>
      </c>
      <c r="P245">
        <f t="shared" ca="1" si="256"/>
        <v>105.41656297611422</v>
      </c>
      <c r="Q245">
        <f t="shared" ca="1" si="208"/>
        <v>98.861709348373466</v>
      </c>
      <c r="R245">
        <f t="shared" ca="1" si="209"/>
        <v>0</v>
      </c>
      <c r="S245">
        <f t="shared" ca="1" si="210"/>
        <v>0</v>
      </c>
    </row>
    <row r="246" spans="5:19" x14ac:dyDescent="0.75">
      <c r="E246">
        <v>241</v>
      </c>
      <c r="F246">
        <v>100</v>
      </c>
      <c r="G246">
        <f t="shared" ca="1" si="206"/>
        <v>106.88405452297809</v>
      </c>
      <c r="H246">
        <f t="shared" ca="1" si="206"/>
        <v>101.19081211648199</v>
      </c>
      <c r="I246">
        <f t="shared" ca="1" si="206"/>
        <v>95.457607695326445</v>
      </c>
      <c r="J246">
        <f t="shared" ca="1" si="206"/>
        <v>97.337224363021321</v>
      </c>
      <c r="K246">
        <f t="shared" ref="K246:P246" ca="1" si="257">J246*EXP(($C$4-0.5*$C$5^2)*$C$10+$C$5*SQRT($C$10)*NORMINV(RAND(),0,1))</f>
        <v>85.73503683903084</v>
      </c>
      <c r="L246">
        <f t="shared" ca="1" si="257"/>
        <v>89.980020079299678</v>
      </c>
      <c r="M246">
        <f t="shared" ca="1" si="257"/>
        <v>90.566561687798085</v>
      </c>
      <c r="N246">
        <f t="shared" ca="1" si="257"/>
        <v>105.34635367934675</v>
      </c>
      <c r="O246">
        <f t="shared" ca="1" si="257"/>
        <v>100.42165109190637</v>
      </c>
      <c r="P246">
        <f t="shared" ca="1" si="257"/>
        <v>102.35274276389795</v>
      </c>
      <c r="Q246">
        <f t="shared" ca="1" si="208"/>
        <v>97.752005894462499</v>
      </c>
      <c r="R246">
        <f t="shared" ca="1" si="209"/>
        <v>0</v>
      </c>
      <c r="S246">
        <f t="shared" ca="1" si="210"/>
        <v>0</v>
      </c>
    </row>
    <row r="247" spans="5:19" x14ac:dyDescent="0.75">
      <c r="E247">
        <v>242</v>
      </c>
      <c r="F247">
        <v>100</v>
      </c>
      <c r="G247">
        <f t="shared" ca="1" si="206"/>
        <v>93.413311596076781</v>
      </c>
      <c r="H247">
        <f t="shared" ca="1" si="206"/>
        <v>86.47724836615626</v>
      </c>
      <c r="I247">
        <f t="shared" ca="1" si="206"/>
        <v>72.770259471692711</v>
      </c>
      <c r="J247">
        <f t="shared" ca="1" si="206"/>
        <v>63.155669753958854</v>
      </c>
      <c r="K247">
        <f t="shared" ref="K247:P247" ca="1" si="258">J247*EXP(($C$4-0.5*$C$5^2)*$C$10+$C$5*SQRT($C$10)*NORMINV(RAND(),0,1))</f>
        <v>67.505729968190295</v>
      </c>
      <c r="L247">
        <f t="shared" ca="1" si="258"/>
        <v>64.056388622472795</v>
      </c>
      <c r="M247">
        <f t="shared" ca="1" si="258"/>
        <v>64.551202639598287</v>
      </c>
      <c r="N247">
        <f t="shared" ca="1" si="258"/>
        <v>57.973581317053238</v>
      </c>
      <c r="O247">
        <f t="shared" ca="1" si="258"/>
        <v>57.718687554480077</v>
      </c>
      <c r="P247">
        <f t="shared" ca="1" si="258"/>
        <v>57.878646738860198</v>
      </c>
      <c r="Q247">
        <f t="shared" ca="1" si="208"/>
        <v>71.4091569116854</v>
      </c>
      <c r="R247">
        <f t="shared" ca="1" si="209"/>
        <v>0</v>
      </c>
      <c r="S247">
        <f t="shared" ca="1" si="210"/>
        <v>0</v>
      </c>
    </row>
    <row r="248" spans="5:19" x14ac:dyDescent="0.75">
      <c r="E248">
        <v>243</v>
      </c>
      <c r="F248">
        <v>100</v>
      </c>
      <c r="G248">
        <f t="shared" ca="1" si="206"/>
        <v>97.556675879983032</v>
      </c>
      <c r="H248">
        <f t="shared" ca="1" si="206"/>
        <v>91.964512734536143</v>
      </c>
      <c r="I248">
        <f t="shared" ca="1" si="206"/>
        <v>89.44860457658217</v>
      </c>
      <c r="J248">
        <f t="shared" ca="1" si="206"/>
        <v>92.226419875537943</v>
      </c>
      <c r="K248">
        <f t="shared" ref="K248:P248" ca="1" si="259">J248*EXP(($C$4-0.5*$C$5^2)*$C$10+$C$5*SQRT($C$10)*NORMINV(RAND(),0,1))</f>
        <v>82.182896576395592</v>
      </c>
      <c r="L248">
        <f t="shared" ca="1" si="259"/>
        <v>78.328897365232663</v>
      </c>
      <c r="M248">
        <f t="shared" ca="1" si="259"/>
        <v>74.705211477791039</v>
      </c>
      <c r="N248">
        <f t="shared" ca="1" si="259"/>
        <v>78.00657918756572</v>
      </c>
      <c r="O248">
        <f t="shared" ca="1" si="259"/>
        <v>90.854385142099275</v>
      </c>
      <c r="P248">
        <f t="shared" ca="1" si="259"/>
        <v>92.912834758020168</v>
      </c>
      <c r="Q248">
        <f t="shared" ca="1" si="208"/>
        <v>88.017001597613088</v>
      </c>
      <c r="R248">
        <f t="shared" ca="1" si="209"/>
        <v>0</v>
      </c>
      <c r="S248">
        <f t="shared" ca="1" si="210"/>
        <v>0</v>
      </c>
    </row>
    <row r="249" spans="5:19" x14ac:dyDescent="0.75">
      <c r="E249">
        <v>244</v>
      </c>
      <c r="F249">
        <v>100</v>
      </c>
      <c r="G249">
        <f t="shared" ca="1" si="206"/>
        <v>99.927158241473435</v>
      </c>
      <c r="H249">
        <f t="shared" ca="1" si="206"/>
        <v>99.7637232697504</v>
      </c>
      <c r="I249">
        <f t="shared" ca="1" si="206"/>
        <v>97.502614186369684</v>
      </c>
      <c r="J249">
        <f t="shared" ca="1" si="206"/>
        <v>98.124991865934703</v>
      </c>
      <c r="K249">
        <f t="shared" ref="K249:P249" ca="1" si="260">J249*EXP(($C$4-0.5*$C$5^2)*$C$10+$C$5*SQRT($C$10)*NORMINV(RAND(),0,1))</f>
        <v>94.814303207288745</v>
      </c>
      <c r="L249">
        <f t="shared" ca="1" si="260"/>
        <v>100.70585816238429</v>
      </c>
      <c r="M249">
        <f t="shared" ca="1" si="260"/>
        <v>101.32546901960382</v>
      </c>
      <c r="N249">
        <f t="shared" ca="1" si="260"/>
        <v>102.94996273862422</v>
      </c>
      <c r="O249">
        <f t="shared" ca="1" si="260"/>
        <v>105.80684811207291</v>
      </c>
      <c r="P249">
        <f t="shared" ca="1" si="260"/>
        <v>99.620940126714089</v>
      </c>
      <c r="Q249">
        <f t="shared" ca="1" si="208"/>
        <v>100.04926081183784</v>
      </c>
      <c r="R249">
        <f t="shared" ca="1" si="209"/>
        <v>4.9260811837839924E-2</v>
      </c>
      <c r="S249">
        <f t="shared" ca="1" si="210"/>
        <v>4.6858333694946429E-2</v>
      </c>
    </row>
    <row r="250" spans="5:19" x14ac:dyDescent="0.75">
      <c r="E250">
        <v>245</v>
      </c>
      <c r="F250">
        <v>100</v>
      </c>
      <c r="G250">
        <f t="shared" ca="1" si="206"/>
        <v>96.701378100368444</v>
      </c>
      <c r="H250">
        <f t="shared" ca="1" si="206"/>
        <v>81.116515689242689</v>
      </c>
      <c r="I250">
        <f t="shared" ca="1" si="206"/>
        <v>78.166959369166733</v>
      </c>
      <c r="J250">
        <f t="shared" ca="1" si="206"/>
        <v>71.012875773512803</v>
      </c>
      <c r="K250">
        <f t="shared" ref="K250:P250" ca="1" si="261">J250*EXP(($C$4-0.5*$C$5^2)*$C$10+$C$5*SQRT($C$10)*NORMINV(RAND(),0,1))</f>
        <v>72.366377276430086</v>
      </c>
      <c r="L250">
        <f t="shared" ca="1" si="261"/>
        <v>74.762210412058238</v>
      </c>
      <c r="M250">
        <f t="shared" ca="1" si="261"/>
        <v>71.796149642583501</v>
      </c>
      <c r="N250">
        <f t="shared" ca="1" si="261"/>
        <v>67.71387277855581</v>
      </c>
      <c r="O250">
        <f t="shared" ca="1" si="261"/>
        <v>67.128464609278723</v>
      </c>
      <c r="P250">
        <f t="shared" ca="1" si="261"/>
        <v>69.657494651084249</v>
      </c>
      <c r="Q250">
        <f t="shared" ca="1" si="208"/>
        <v>77.31111802748012</v>
      </c>
      <c r="R250">
        <f t="shared" ca="1" si="209"/>
        <v>0</v>
      </c>
      <c r="S250">
        <f t="shared" ca="1" si="210"/>
        <v>0</v>
      </c>
    </row>
    <row r="251" spans="5:19" x14ac:dyDescent="0.75">
      <c r="E251">
        <v>246</v>
      </c>
      <c r="F251">
        <v>100</v>
      </c>
      <c r="G251">
        <f t="shared" ca="1" si="206"/>
        <v>111.35921897640917</v>
      </c>
      <c r="H251">
        <f t="shared" ca="1" si="206"/>
        <v>108.24933147980609</v>
      </c>
      <c r="I251">
        <f t="shared" ca="1" si="206"/>
        <v>126.62694192412265</v>
      </c>
      <c r="J251">
        <f t="shared" ca="1" si="206"/>
        <v>126.50907053770884</v>
      </c>
      <c r="K251">
        <f t="shared" ref="K251:P251" ca="1" si="262">J251*EXP(($C$4-0.5*$C$5^2)*$C$10+$C$5*SQRT($C$10)*NORMINV(RAND(),0,1))</f>
        <v>126.6747561481679</v>
      </c>
      <c r="L251">
        <f t="shared" ca="1" si="262"/>
        <v>146.13005307365864</v>
      </c>
      <c r="M251">
        <f t="shared" ca="1" si="262"/>
        <v>137.14594755045354</v>
      </c>
      <c r="N251">
        <f t="shared" ca="1" si="262"/>
        <v>127.4784221011107</v>
      </c>
      <c r="O251">
        <f t="shared" ca="1" si="262"/>
        <v>131.78662485375148</v>
      </c>
      <c r="P251">
        <f t="shared" ca="1" si="262"/>
        <v>129.59224992037974</v>
      </c>
      <c r="Q251">
        <f t="shared" ca="1" si="208"/>
        <v>124.68660150596079</v>
      </c>
      <c r="R251">
        <f t="shared" ca="1" si="209"/>
        <v>24.686601505960795</v>
      </c>
      <c r="S251">
        <f t="shared" ca="1" si="210"/>
        <v>23.482621743393548</v>
      </c>
    </row>
    <row r="252" spans="5:19" x14ac:dyDescent="0.75">
      <c r="E252">
        <v>247</v>
      </c>
      <c r="F252">
        <v>100</v>
      </c>
      <c r="G252">
        <f t="shared" ca="1" si="206"/>
        <v>98.534329078548751</v>
      </c>
      <c r="H252">
        <f t="shared" ca="1" si="206"/>
        <v>97.381946066740483</v>
      </c>
      <c r="I252">
        <f t="shared" ca="1" si="206"/>
        <v>105.97153591362375</v>
      </c>
      <c r="J252">
        <f t="shared" ca="1" si="206"/>
        <v>115.34080377091765</v>
      </c>
      <c r="K252">
        <f t="shared" ref="K252:P252" ca="1" si="263">J252*EXP(($C$4-0.5*$C$5^2)*$C$10+$C$5*SQRT($C$10)*NORMINV(RAND(),0,1))</f>
        <v>106.53851885081008</v>
      </c>
      <c r="L252">
        <f t="shared" ca="1" si="263"/>
        <v>97.256164052741568</v>
      </c>
      <c r="M252">
        <f t="shared" ca="1" si="263"/>
        <v>97.920317161172903</v>
      </c>
      <c r="N252">
        <f t="shared" ca="1" si="263"/>
        <v>86.654866977631755</v>
      </c>
      <c r="O252">
        <f t="shared" ca="1" si="263"/>
        <v>96.622289552319856</v>
      </c>
      <c r="P252">
        <f t="shared" ca="1" si="263"/>
        <v>93.281454399620102</v>
      </c>
      <c r="Q252">
        <f t="shared" ca="1" si="208"/>
        <v>99.591111438556993</v>
      </c>
      <c r="R252">
        <f t="shared" ca="1" si="209"/>
        <v>0</v>
      </c>
      <c r="S252">
        <f t="shared" ca="1" si="210"/>
        <v>0</v>
      </c>
    </row>
    <row r="253" spans="5:19" x14ac:dyDescent="0.75">
      <c r="E253">
        <v>248</v>
      </c>
      <c r="F253">
        <v>100</v>
      </c>
      <c r="G253">
        <f t="shared" ca="1" si="206"/>
        <v>96.959311325852894</v>
      </c>
      <c r="H253">
        <f t="shared" ca="1" si="206"/>
        <v>113.7586305839301</v>
      </c>
      <c r="I253">
        <f t="shared" ca="1" si="206"/>
        <v>101.95310892504291</v>
      </c>
      <c r="J253">
        <f t="shared" ca="1" si="206"/>
        <v>117.23171127178611</v>
      </c>
      <c r="K253">
        <f t="shared" ref="K253:P253" ca="1" si="264">J253*EXP(($C$4-0.5*$C$5^2)*$C$10+$C$5*SQRT($C$10)*NORMINV(RAND(),0,1))</f>
        <v>119.36183179683096</v>
      </c>
      <c r="L253">
        <f t="shared" ca="1" si="264"/>
        <v>117.01003906786799</v>
      </c>
      <c r="M253">
        <f t="shared" ca="1" si="264"/>
        <v>115.37777385309447</v>
      </c>
      <c r="N253">
        <f t="shared" ca="1" si="264"/>
        <v>118.75593803702876</v>
      </c>
      <c r="O253">
        <f t="shared" ca="1" si="264"/>
        <v>119.67612583522482</v>
      </c>
      <c r="P253">
        <f t="shared" ca="1" si="264"/>
        <v>109.00864500569836</v>
      </c>
      <c r="Q253">
        <f t="shared" ca="1" si="208"/>
        <v>111.7357377911234</v>
      </c>
      <c r="R253">
        <f t="shared" ca="1" si="209"/>
        <v>11.735737791123398</v>
      </c>
      <c r="S253">
        <f t="shared" ca="1" si="210"/>
        <v>11.16337910514159</v>
      </c>
    </row>
    <row r="254" spans="5:19" x14ac:dyDescent="0.75">
      <c r="E254">
        <v>249</v>
      </c>
      <c r="F254">
        <v>100</v>
      </c>
      <c r="G254">
        <f t="shared" ca="1" si="206"/>
        <v>112.43614712747947</v>
      </c>
      <c r="H254">
        <f t="shared" ca="1" si="206"/>
        <v>114.79117147112041</v>
      </c>
      <c r="I254">
        <f t="shared" ca="1" si="206"/>
        <v>123.92264353729701</v>
      </c>
      <c r="J254">
        <f t="shared" ca="1" si="206"/>
        <v>124.32205060801166</v>
      </c>
      <c r="K254">
        <f t="shared" ref="K254:P254" ca="1" si="265">J254*EXP(($C$4-0.5*$C$5^2)*$C$10+$C$5*SQRT($C$10)*NORMINV(RAND(),0,1))</f>
        <v>142.71022044558842</v>
      </c>
      <c r="L254">
        <f t="shared" ca="1" si="265"/>
        <v>164.15337783023048</v>
      </c>
      <c r="M254">
        <f t="shared" ca="1" si="265"/>
        <v>181.69060496147992</v>
      </c>
      <c r="N254">
        <f t="shared" ca="1" si="265"/>
        <v>182.98695179902722</v>
      </c>
      <c r="O254">
        <f t="shared" ca="1" si="265"/>
        <v>193.11450949179803</v>
      </c>
      <c r="P254">
        <f t="shared" ca="1" si="265"/>
        <v>198.61979550328161</v>
      </c>
      <c r="Q254">
        <f t="shared" ca="1" si="208"/>
        <v>148.97704297957404</v>
      </c>
      <c r="R254">
        <f t="shared" ca="1" si="209"/>
        <v>48.977042979574037</v>
      </c>
      <c r="S254">
        <f t="shared" ca="1" si="210"/>
        <v>46.588404407206944</v>
      </c>
    </row>
    <row r="255" spans="5:19" x14ac:dyDescent="0.75">
      <c r="E255">
        <v>250</v>
      </c>
      <c r="F255">
        <v>100</v>
      </c>
      <c r="G255">
        <f t="shared" ca="1" si="206"/>
        <v>90.262225428475503</v>
      </c>
      <c r="H255">
        <f t="shared" ca="1" si="206"/>
        <v>90.795615697426229</v>
      </c>
      <c r="I255">
        <f t="shared" ca="1" si="206"/>
        <v>94.860727554310202</v>
      </c>
      <c r="J255">
        <f t="shared" ca="1" si="206"/>
        <v>83.037501341489076</v>
      </c>
      <c r="K255">
        <f t="shared" ref="K255:P255" ca="1" si="266">J255*EXP(($C$4-0.5*$C$5^2)*$C$10+$C$5*SQRT($C$10)*NORMINV(RAND(),0,1))</f>
        <v>81.112016850265888</v>
      </c>
      <c r="L255">
        <f t="shared" ca="1" si="266"/>
        <v>78.140848145984577</v>
      </c>
      <c r="M255">
        <f t="shared" ca="1" si="266"/>
        <v>78.572544623279541</v>
      </c>
      <c r="N255">
        <f t="shared" ca="1" si="266"/>
        <v>84.5384041196303</v>
      </c>
      <c r="O255">
        <f t="shared" ca="1" si="266"/>
        <v>82.168656966505011</v>
      </c>
      <c r="P255">
        <f t="shared" ca="1" si="266"/>
        <v>73.854566797783875</v>
      </c>
      <c r="Q255">
        <f t="shared" ca="1" si="208"/>
        <v>85.21300977501366</v>
      </c>
      <c r="R255">
        <f t="shared" ca="1" si="209"/>
        <v>0</v>
      </c>
      <c r="S255">
        <f t="shared" ca="1" si="210"/>
        <v>0</v>
      </c>
    </row>
    <row r="256" spans="5:19" x14ac:dyDescent="0.75">
      <c r="E256">
        <v>251</v>
      </c>
      <c r="F256">
        <v>100</v>
      </c>
      <c r="G256">
        <f t="shared" ca="1" si="206"/>
        <v>107.40144650297559</v>
      </c>
      <c r="H256">
        <f t="shared" ca="1" si="206"/>
        <v>95.170962874277492</v>
      </c>
      <c r="I256">
        <f t="shared" ca="1" si="206"/>
        <v>104.05804017293811</v>
      </c>
      <c r="J256">
        <f t="shared" ca="1" si="206"/>
        <v>110.9472813854604</v>
      </c>
      <c r="K256">
        <f t="shared" ref="K256:P256" ca="1" si="267">J256*EXP(($C$4-0.5*$C$5^2)*$C$10+$C$5*SQRT($C$10)*NORMINV(RAND(),0,1))</f>
        <v>113.49765600610155</v>
      </c>
      <c r="L256">
        <f t="shared" ca="1" si="267"/>
        <v>119.1020546930208</v>
      </c>
      <c r="M256">
        <f t="shared" ca="1" si="267"/>
        <v>109.03641833199393</v>
      </c>
      <c r="N256">
        <f t="shared" ca="1" si="267"/>
        <v>110.98762912887469</v>
      </c>
      <c r="O256">
        <f t="shared" ca="1" si="267"/>
        <v>111.52026212897391</v>
      </c>
      <c r="P256">
        <f t="shared" ca="1" si="267"/>
        <v>111.16473157958453</v>
      </c>
      <c r="Q256">
        <f t="shared" ca="1" si="208"/>
        <v>108.44422570947282</v>
      </c>
      <c r="R256">
        <f t="shared" ca="1" si="209"/>
        <v>8.4442257094728177</v>
      </c>
      <c r="S256">
        <f t="shared" ca="1" si="210"/>
        <v>8.0323959619759613</v>
      </c>
    </row>
    <row r="257" spans="5:19" x14ac:dyDescent="0.75">
      <c r="E257">
        <v>252</v>
      </c>
      <c r="F257">
        <v>100</v>
      </c>
      <c r="G257">
        <f t="shared" ca="1" si="206"/>
        <v>106.66355222063748</v>
      </c>
      <c r="H257">
        <f t="shared" ca="1" si="206"/>
        <v>104.77552239490076</v>
      </c>
      <c r="I257">
        <f t="shared" ca="1" si="206"/>
        <v>101.61798785998236</v>
      </c>
      <c r="J257">
        <f t="shared" ca="1" si="206"/>
        <v>87.860674234614706</v>
      </c>
      <c r="K257">
        <f t="shared" ref="K257:P257" ca="1" si="268">J257*EXP(($C$4-0.5*$C$5^2)*$C$10+$C$5*SQRT($C$10)*NORMINV(RAND(),0,1))</f>
        <v>97.066555258459445</v>
      </c>
      <c r="L257">
        <f t="shared" ca="1" si="268"/>
        <v>101.60136350209484</v>
      </c>
      <c r="M257">
        <f t="shared" ca="1" si="268"/>
        <v>103.30779249627686</v>
      </c>
      <c r="N257">
        <f t="shared" ca="1" si="268"/>
        <v>102.20895418479034</v>
      </c>
      <c r="O257">
        <f t="shared" ca="1" si="268"/>
        <v>112.44441974308889</v>
      </c>
      <c r="P257">
        <f t="shared" ca="1" si="268"/>
        <v>112.06294883824238</v>
      </c>
      <c r="Q257">
        <f t="shared" ca="1" si="208"/>
        <v>102.69179733937163</v>
      </c>
      <c r="R257">
        <f t="shared" ca="1" si="209"/>
        <v>2.6917973393716323</v>
      </c>
      <c r="S257">
        <f t="shared" ca="1" si="210"/>
        <v>2.5605168340030309</v>
      </c>
    </row>
    <row r="258" spans="5:19" x14ac:dyDescent="0.75">
      <c r="E258">
        <v>253</v>
      </c>
      <c r="F258">
        <v>100</v>
      </c>
      <c r="G258">
        <f t="shared" ca="1" si="206"/>
        <v>101.35336508898443</v>
      </c>
      <c r="H258">
        <f t="shared" ca="1" si="206"/>
        <v>98.621326322946743</v>
      </c>
      <c r="I258">
        <f t="shared" ca="1" si="206"/>
        <v>99.276314144215078</v>
      </c>
      <c r="J258">
        <f t="shared" ca="1" si="206"/>
        <v>92.194993869110391</v>
      </c>
      <c r="K258">
        <f t="shared" ref="K258:P258" ca="1" si="269">J258*EXP(($C$4-0.5*$C$5^2)*$C$10+$C$5*SQRT($C$10)*NORMINV(RAND(),0,1))</f>
        <v>80.4915467467887</v>
      </c>
      <c r="L258">
        <f t="shared" ca="1" si="269"/>
        <v>73.699430147773242</v>
      </c>
      <c r="M258">
        <f t="shared" ca="1" si="269"/>
        <v>69.386119946707595</v>
      </c>
      <c r="N258">
        <f t="shared" ca="1" si="269"/>
        <v>72.447374708754097</v>
      </c>
      <c r="O258">
        <f t="shared" ca="1" si="269"/>
        <v>65.069672937235069</v>
      </c>
      <c r="P258">
        <f t="shared" ca="1" si="269"/>
        <v>69.463966581189212</v>
      </c>
      <c r="Q258">
        <f t="shared" ca="1" si="208"/>
        <v>83.818555499427688</v>
      </c>
      <c r="R258">
        <f t="shared" ca="1" si="209"/>
        <v>0</v>
      </c>
      <c r="S258">
        <f t="shared" ca="1" si="210"/>
        <v>0</v>
      </c>
    </row>
    <row r="259" spans="5:19" x14ac:dyDescent="0.75">
      <c r="E259">
        <v>254</v>
      </c>
      <c r="F259">
        <v>100</v>
      </c>
      <c r="G259">
        <f t="shared" ca="1" si="206"/>
        <v>106.16897710821405</v>
      </c>
      <c r="H259">
        <f t="shared" ca="1" si="206"/>
        <v>95.677576255728155</v>
      </c>
      <c r="I259">
        <f t="shared" ca="1" si="206"/>
        <v>84.359632981723124</v>
      </c>
      <c r="J259">
        <f t="shared" ca="1" si="206"/>
        <v>77.488424130131676</v>
      </c>
      <c r="K259">
        <f t="shared" ref="K259:P259" ca="1" si="270">J259*EXP(($C$4-0.5*$C$5^2)*$C$10+$C$5*SQRT($C$10)*NORMINV(RAND(),0,1))</f>
        <v>72.478491571740392</v>
      </c>
      <c r="L259">
        <f t="shared" ca="1" si="270"/>
        <v>73.438854364515933</v>
      </c>
      <c r="M259">
        <f t="shared" ca="1" si="270"/>
        <v>74.754354869299888</v>
      </c>
      <c r="N259">
        <f t="shared" ca="1" si="270"/>
        <v>64.018345602902755</v>
      </c>
      <c r="O259">
        <f t="shared" ca="1" si="270"/>
        <v>65.988975390033588</v>
      </c>
      <c r="P259">
        <f t="shared" ca="1" si="270"/>
        <v>68.230219145947217</v>
      </c>
      <c r="Q259">
        <f t="shared" ca="1" si="208"/>
        <v>80.236713765476068</v>
      </c>
      <c r="R259">
        <f t="shared" ca="1" si="209"/>
        <v>0</v>
      </c>
      <c r="S259">
        <f t="shared" ca="1" si="210"/>
        <v>0</v>
      </c>
    </row>
    <row r="260" spans="5:19" x14ac:dyDescent="0.75">
      <c r="E260">
        <v>255</v>
      </c>
      <c r="F260">
        <v>100</v>
      </c>
      <c r="G260">
        <f t="shared" ca="1" si="206"/>
        <v>95.612443056914543</v>
      </c>
      <c r="H260">
        <f t="shared" ca="1" si="206"/>
        <v>99.151667402978362</v>
      </c>
      <c r="I260">
        <f t="shared" ca="1" si="206"/>
        <v>102.17243680134446</v>
      </c>
      <c r="J260">
        <f t="shared" ca="1" si="206"/>
        <v>103.88582155160233</v>
      </c>
      <c r="K260">
        <f t="shared" ref="K260:P260" ca="1" si="271">J260*EXP(($C$4-0.5*$C$5^2)*$C$10+$C$5*SQRT($C$10)*NORMINV(RAND(),0,1))</f>
        <v>107.51385468576586</v>
      </c>
      <c r="L260">
        <f t="shared" ca="1" si="271"/>
        <v>109.11179290371044</v>
      </c>
      <c r="M260">
        <f t="shared" ca="1" si="271"/>
        <v>104.16451525481583</v>
      </c>
      <c r="N260">
        <f t="shared" ca="1" si="271"/>
        <v>115.20903339071089</v>
      </c>
      <c r="O260">
        <f t="shared" ca="1" si="271"/>
        <v>126.35627416336601</v>
      </c>
      <c r="P260">
        <f t="shared" ca="1" si="271"/>
        <v>146.41640030635583</v>
      </c>
      <c r="Q260">
        <f t="shared" ca="1" si="208"/>
        <v>109.96311268341496</v>
      </c>
      <c r="R260">
        <f t="shared" ca="1" si="209"/>
        <v>9.9631126834149626</v>
      </c>
      <c r="S260">
        <f t="shared" ca="1" si="210"/>
        <v>9.4772059440805787</v>
      </c>
    </row>
    <row r="261" spans="5:19" x14ac:dyDescent="0.75">
      <c r="E261">
        <v>256</v>
      </c>
      <c r="F261">
        <v>100</v>
      </c>
      <c r="G261">
        <f t="shared" ca="1" si="206"/>
        <v>94.232265290291608</v>
      </c>
      <c r="H261">
        <f t="shared" ca="1" si="206"/>
        <v>104.24747836632908</v>
      </c>
      <c r="I261">
        <f t="shared" ca="1" si="206"/>
        <v>103.16101520713966</v>
      </c>
      <c r="J261">
        <f t="shared" ca="1" si="206"/>
        <v>106.29319085882267</v>
      </c>
      <c r="K261">
        <f t="shared" ref="K261:P261" ca="1" si="272">J261*EXP(($C$4-0.5*$C$5^2)*$C$10+$C$5*SQRT($C$10)*NORMINV(RAND(),0,1))</f>
        <v>107.52859413247668</v>
      </c>
      <c r="L261">
        <f t="shared" ca="1" si="272"/>
        <v>107.73431222936787</v>
      </c>
      <c r="M261">
        <f t="shared" ca="1" si="272"/>
        <v>100.99323555849493</v>
      </c>
      <c r="N261">
        <f t="shared" ca="1" si="272"/>
        <v>100.54005509457055</v>
      </c>
      <c r="O261">
        <f t="shared" ca="1" si="272"/>
        <v>109.73450854761582</v>
      </c>
      <c r="P261">
        <f t="shared" ca="1" si="272"/>
        <v>121.57401740501498</v>
      </c>
      <c r="Q261">
        <f t="shared" ca="1" si="208"/>
        <v>105.09442479001126</v>
      </c>
      <c r="R261">
        <f t="shared" ca="1" si="209"/>
        <v>5.09442479001126</v>
      </c>
      <c r="S261">
        <f t="shared" ca="1" si="210"/>
        <v>4.8459667611645818</v>
      </c>
    </row>
    <row r="262" spans="5:19" x14ac:dyDescent="0.75">
      <c r="E262">
        <v>257</v>
      </c>
      <c r="F262">
        <v>100</v>
      </c>
      <c r="G262">
        <f t="shared" ca="1" si="206"/>
        <v>112.07144941554471</v>
      </c>
      <c r="H262">
        <f t="shared" ca="1" si="206"/>
        <v>105.76356348199936</v>
      </c>
      <c r="I262">
        <f t="shared" ca="1" si="206"/>
        <v>101.82892916216736</v>
      </c>
      <c r="J262">
        <f t="shared" ref="J262:P262" ca="1" si="273">I262*EXP(($C$4-0.5*$C$5^2)*$C$10+$C$5*SQRT($C$10)*NORMINV(RAND(),0,1))</f>
        <v>115.03843142275949</v>
      </c>
      <c r="K262">
        <f t="shared" ca="1" si="273"/>
        <v>130.23997764384956</v>
      </c>
      <c r="L262">
        <f t="shared" ca="1" si="273"/>
        <v>129.03592308673137</v>
      </c>
      <c r="M262">
        <f t="shared" ca="1" si="273"/>
        <v>136.80547733697688</v>
      </c>
      <c r="N262">
        <f t="shared" ca="1" si="273"/>
        <v>142.87219896995001</v>
      </c>
      <c r="O262">
        <f t="shared" ca="1" si="273"/>
        <v>152.80584130099766</v>
      </c>
      <c r="P262">
        <f t="shared" ca="1" si="273"/>
        <v>151.07170683504029</v>
      </c>
      <c r="Q262">
        <f t="shared" ca="1" si="208"/>
        <v>125.23031805963787</v>
      </c>
      <c r="R262">
        <f t="shared" ca="1" si="209"/>
        <v>25.230318059637867</v>
      </c>
      <c r="S262">
        <f t="shared" ca="1" si="210"/>
        <v>23.999820927839298</v>
      </c>
    </row>
    <row r="263" spans="5:19" x14ac:dyDescent="0.75">
      <c r="E263">
        <v>258</v>
      </c>
      <c r="F263">
        <v>100</v>
      </c>
      <c r="G263">
        <f t="shared" ref="G263:J326" ca="1" si="274">F263*EXP(($C$4-0.5*$C$5^2)*$C$10+$C$5*SQRT($C$10)*NORMINV(RAND(),0,1))</f>
        <v>102.37902278742052</v>
      </c>
      <c r="H263">
        <f t="shared" ca="1" si="274"/>
        <v>102.2498260714586</v>
      </c>
      <c r="I263">
        <f t="shared" ca="1" si="274"/>
        <v>108.34314672615052</v>
      </c>
      <c r="J263">
        <f t="shared" ca="1" si="274"/>
        <v>104.82606938344685</v>
      </c>
      <c r="K263">
        <f t="shared" ref="K263:P263" ca="1" si="275">J263*EXP(($C$4-0.5*$C$5^2)*$C$10+$C$5*SQRT($C$10)*NORMINV(RAND(),0,1))</f>
        <v>101.36221183656122</v>
      </c>
      <c r="L263">
        <f t="shared" ca="1" si="275"/>
        <v>95.868501452613501</v>
      </c>
      <c r="M263">
        <f t="shared" ca="1" si="275"/>
        <v>88.967291689917104</v>
      </c>
      <c r="N263">
        <f t="shared" ca="1" si="275"/>
        <v>92.967784618494463</v>
      </c>
      <c r="O263">
        <f t="shared" ca="1" si="275"/>
        <v>99.56817694940797</v>
      </c>
      <c r="P263">
        <f t="shared" ca="1" si="275"/>
        <v>109.6798622959971</v>
      </c>
      <c r="Q263">
        <f t="shared" ref="Q263:Q326" ca="1" si="276">AVERAGE(F263:P263)</f>
        <v>100.56471761922434</v>
      </c>
      <c r="R263">
        <f t="shared" ref="R263:R326" ca="1" si="277">MAX(Q263-$C$7,0)</f>
        <v>0.56471761922433927</v>
      </c>
      <c r="S263">
        <f t="shared" ref="S263:S326" ca="1" si="278">EXP(-$C$4*$C$6)*R263</f>
        <v>0.53717601594018161</v>
      </c>
    </row>
    <row r="264" spans="5:19" x14ac:dyDescent="0.75">
      <c r="E264">
        <v>259</v>
      </c>
      <c r="F264">
        <v>100</v>
      </c>
      <c r="G264">
        <f t="shared" ca="1" si="274"/>
        <v>106.92907978885189</v>
      </c>
      <c r="H264">
        <f t="shared" ca="1" si="274"/>
        <v>107.45985830660774</v>
      </c>
      <c r="I264">
        <f t="shared" ca="1" si="274"/>
        <v>107.30059312270306</v>
      </c>
      <c r="J264">
        <f t="shared" ca="1" si="274"/>
        <v>119.42512517294219</v>
      </c>
      <c r="K264">
        <f t="shared" ref="K264:P264" ca="1" si="279">J264*EXP(($C$4-0.5*$C$5^2)*$C$10+$C$5*SQRT($C$10)*NORMINV(RAND(),0,1))</f>
        <v>113.53946032850691</v>
      </c>
      <c r="L264">
        <f t="shared" ca="1" si="279"/>
        <v>114.92484448326384</v>
      </c>
      <c r="M264">
        <f t="shared" ca="1" si="279"/>
        <v>100.18189084579662</v>
      </c>
      <c r="N264">
        <f t="shared" ca="1" si="279"/>
        <v>106.56768207014215</v>
      </c>
      <c r="O264">
        <f t="shared" ca="1" si="279"/>
        <v>118.45541014802725</v>
      </c>
      <c r="P264">
        <f t="shared" ca="1" si="279"/>
        <v>121.3860515399422</v>
      </c>
      <c r="Q264">
        <f t="shared" ca="1" si="276"/>
        <v>110.56090870970762</v>
      </c>
      <c r="R264">
        <f t="shared" ca="1" si="277"/>
        <v>10.560908709707618</v>
      </c>
      <c r="S264">
        <f t="shared" ca="1" si="278"/>
        <v>10.045847114139756</v>
      </c>
    </row>
    <row r="265" spans="5:19" x14ac:dyDescent="0.75">
      <c r="E265">
        <v>260</v>
      </c>
      <c r="F265">
        <v>100</v>
      </c>
      <c r="G265">
        <f t="shared" ca="1" si="274"/>
        <v>101.77976627512895</v>
      </c>
      <c r="H265">
        <f t="shared" ca="1" si="274"/>
        <v>84.748857115369489</v>
      </c>
      <c r="I265">
        <f t="shared" ca="1" si="274"/>
        <v>88.168337313063603</v>
      </c>
      <c r="J265">
        <f t="shared" ca="1" si="274"/>
        <v>89.59834691325031</v>
      </c>
      <c r="K265">
        <f t="shared" ref="K265:P265" ca="1" si="280">J265*EXP(($C$4-0.5*$C$5^2)*$C$10+$C$5*SQRT($C$10)*NORMINV(RAND(),0,1))</f>
        <v>95.460959285088549</v>
      </c>
      <c r="L265">
        <f t="shared" ca="1" si="280"/>
        <v>83.316867870016139</v>
      </c>
      <c r="M265">
        <f t="shared" ca="1" si="280"/>
        <v>77.590586718504071</v>
      </c>
      <c r="N265">
        <f t="shared" ca="1" si="280"/>
        <v>75.794661997556091</v>
      </c>
      <c r="O265">
        <f t="shared" ca="1" si="280"/>
        <v>77.450391200253307</v>
      </c>
      <c r="P265">
        <f t="shared" ca="1" si="280"/>
        <v>92.583324121721418</v>
      </c>
      <c r="Q265">
        <f t="shared" ca="1" si="276"/>
        <v>87.862918073631988</v>
      </c>
      <c r="R265">
        <f t="shared" ca="1" si="277"/>
        <v>0</v>
      </c>
      <c r="S265">
        <f t="shared" ca="1" si="278"/>
        <v>0</v>
      </c>
    </row>
    <row r="266" spans="5:19" x14ac:dyDescent="0.75">
      <c r="E266">
        <v>261</v>
      </c>
      <c r="F266">
        <v>100</v>
      </c>
      <c r="G266">
        <f t="shared" ca="1" si="274"/>
        <v>104.4375342724128</v>
      </c>
      <c r="H266">
        <f t="shared" ca="1" si="274"/>
        <v>95.839997500685442</v>
      </c>
      <c r="I266">
        <f t="shared" ca="1" si="274"/>
        <v>102.00979567935605</v>
      </c>
      <c r="J266">
        <f t="shared" ca="1" si="274"/>
        <v>108.47661936600038</v>
      </c>
      <c r="K266">
        <f t="shared" ref="K266:P266" ca="1" si="281">J266*EXP(($C$4-0.5*$C$5^2)*$C$10+$C$5*SQRT($C$10)*NORMINV(RAND(),0,1))</f>
        <v>101.3343449613957</v>
      </c>
      <c r="L266">
        <f t="shared" ca="1" si="281"/>
        <v>104.37218544028593</v>
      </c>
      <c r="M266">
        <f t="shared" ca="1" si="281"/>
        <v>106.67869568703722</v>
      </c>
      <c r="N266">
        <f t="shared" ca="1" si="281"/>
        <v>109.78278223836105</v>
      </c>
      <c r="O266">
        <f t="shared" ca="1" si="281"/>
        <v>116.584316510851</v>
      </c>
      <c r="P266">
        <f t="shared" ca="1" si="281"/>
        <v>117.95685619370752</v>
      </c>
      <c r="Q266">
        <f t="shared" ca="1" si="276"/>
        <v>106.13392071364483</v>
      </c>
      <c r="R266">
        <f t="shared" ca="1" si="277"/>
        <v>6.1339207136448266</v>
      </c>
      <c r="S266">
        <f t="shared" ca="1" si="278"/>
        <v>5.8347658703733778</v>
      </c>
    </row>
    <row r="267" spans="5:19" x14ac:dyDescent="0.75">
      <c r="E267">
        <v>262</v>
      </c>
      <c r="F267">
        <v>100</v>
      </c>
      <c r="G267">
        <f t="shared" ca="1" si="274"/>
        <v>112.32317705392786</v>
      </c>
      <c r="H267">
        <f t="shared" ca="1" si="274"/>
        <v>111.06877142769817</v>
      </c>
      <c r="I267">
        <f t="shared" ca="1" si="274"/>
        <v>105.06636421092237</v>
      </c>
      <c r="J267">
        <f t="shared" ca="1" si="274"/>
        <v>98.093222128874118</v>
      </c>
      <c r="K267">
        <f t="shared" ref="K267:P267" ca="1" si="282">J267*EXP(($C$4-0.5*$C$5^2)*$C$10+$C$5*SQRT($C$10)*NORMINV(RAND(),0,1))</f>
        <v>97.91595053841867</v>
      </c>
      <c r="L267">
        <f t="shared" ca="1" si="282"/>
        <v>99.649197265172432</v>
      </c>
      <c r="M267">
        <f t="shared" ca="1" si="282"/>
        <v>86.26315602240669</v>
      </c>
      <c r="N267">
        <f t="shared" ca="1" si="282"/>
        <v>92.506755041505969</v>
      </c>
      <c r="O267">
        <f t="shared" ca="1" si="282"/>
        <v>84.850718086534144</v>
      </c>
      <c r="P267">
        <f t="shared" ca="1" si="282"/>
        <v>84.100479715274304</v>
      </c>
      <c r="Q267">
        <f t="shared" ca="1" si="276"/>
        <v>97.439799226430424</v>
      </c>
      <c r="R267">
        <f t="shared" ca="1" si="277"/>
        <v>0</v>
      </c>
      <c r="S267">
        <f t="shared" ca="1" si="278"/>
        <v>0</v>
      </c>
    </row>
    <row r="268" spans="5:19" x14ac:dyDescent="0.75">
      <c r="E268">
        <v>263</v>
      </c>
      <c r="F268">
        <v>100</v>
      </c>
      <c r="G268">
        <f t="shared" ca="1" si="274"/>
        <v>94.14507665397484</v>
      </c>
      <c r="H268">
        <f t="shared" ca="1" si="274"/>
        <v>89.221145991938144</v>
      </c>
      <c r="I268">
        <f t="shared" ca="1" si="274"/>
        <v>81.24822918066279</v>
      </c>
      <c r="J268">
        <f t="shared" ca="1" si="274"/>
        <v>87.013643049184537</v>
      </c>
      <c r="K268">
        <f t="shared" ref="K268:P268" ca="1" si="283">J268*EXP(($C$4-0.5*$C$5^2)*$C$10+$C$5*SQRT($C$10)*NORMINV(RAND(),0,1))</f>
        <v>86.311694894297801</v>
      </c>
      <c r="L268">
        <f t="shared" ca="1" si="283"/>
        <v>85.73009481106439</v>
      </c>
      <c r="M268">
        <f t="shared" ca="1" si="283"/>
        <v>84.938039580734852</v>
      </c>
      <c r="N268">
        <f t="shared" ca="1" si="283"/>
        <v>80.851418967161081</v>
      </c>
      <c r="O268">
        <f t="shared" ca="1" si="283"/>
        <v>69.759240758795571</v>
      </c>
      <c r="P268">
        <f t="shared" ca="1" si="283"/>
        <v>69.418075745253333</v>
      </c>
      <c r="Q268">
        <f t="shared" ca="1" si="276"/>
        <v>84.421514512097033</v>
      </c>
      <c r="R268">
        <f t="shared" ca="1" si="277"/>
        <v>0</v>
      </c>
      <c r="S268">
        <f t="shared" ca="1" si="278"/>
        <v>0</v>
      </c>
    </row>
    <row r="269" spans="5:19" x14ac:dyDescent="0.75">
      <c r="E269">
        <v>264</v>
      </c>
      <c r="F269">
        <v>100</v>
      </c>
      <c r="G269">
        <f t="shared" ca="1" si="274"/>
        <v>112.36622328465626</v>
      </c>
      <c r="H269">
        <f t="shared" ca="1" si="274"/>
        <v>111.09028617565559</v>
      </c>
      <c r="I269">
        <f t="shared" ca="1" si="274"/>
        <v>119.36658888209924</v>
      </c>
      <c r="J269">
        <f t="shared" ca="1" si="274"/>
        <v>125.82687062507127</v>
      </c>
      <c r="K269">
        <f t="shared" ref="K269:P269" ca="1" si="284">J269*EXP(($C$4-0.5*$C$5^2)*$C$10+$C$5*SQRT($C$10)*NORMINV(RAND(),0,1))</f>
        <v>124.55997580262078</v>
      </c>
      <c r="L269">
        <f t="shared" ca="1" si="284"/>
        <v>134.12561054213802</v>
      </c>
      <c r="M269">
        <f t="shared" ca="1" si="284"/>
        <v>131.68286390297527</v>
      </c>
      <c r="N269">
        <f t="shared" ca="1" si="284"/>
        <v>134.76542568637367</v>
      </c>
      <c r="O269">
        <f t="shared" ca="1" si="284"/>
        <v>142.30431296080044</v>
      </c>
      <c r="P269">
        <f t="shared" ca="1" si="284"/>
        <v>143.30884956896602</v>
      </c>
      <c r="Q269">
        <f t="shared" ca="1" si="276"/>
        <v>125.39972794830514</v>
      </c>
      <c r="R269">
        <f t="shared" ca="1" si="277"/>
        <v>25.399727948305141</v>
      </c>
      <c r="S269">
        <f t="shared" ca="1" si="278"/>
        <v>24.160968598741</v>
      </c>
    </row>
    <row r="270" spans="5:19" x14ac:dyDescent="0.75">
      <c r="E270">
        <v>265</v>
      </c>
      <c r="F270">
        <v>100</v>
      </c>
      <c r="G270">
        <f t="shared" ca="1" si="274"/>
        <v>96.709546994720696</v>
      </c>
      <c r="H270">
        <f t="shared" ca="1" si="274"/>
        <v>103.23242907770839</v>
      </c>
      <c r="I270">
        <f t="shared" ca="1" si="274"/>
        <v>96.317060386668061</v>
      </c>
      <c r="J270">
        <f t="shared" ca="1" si="274"/>
        <v>97.565920788936467</v>
      </c>
      <c r="K270">
        <f t="shared" ref="K270:P270" ca="1" si="285">J270*EXP(($C$4-0.5*$C$5^2)*$C$10+$C$5*SQRT($C$10)*NORMINV(RAND(),0,1))</f>
        <v>108.73432584595619</v>
      </c>
      <c r="L270">
        <f t="shared" ca="1" si="285"/>
        <v>116.31948526478887</v>
      </c>
      <c r="M270">
        <f t="shared" ca="1" si="285"/>
        <v>123.03522587887731</v>
      </c>
      <c r="N270">
        <f t="shared" ca="1" si="285"/>
        <v>121.63109914236502</v>
      </c>
      <c r="O270">
        <f t="shared" ca="1" si="285"/>
        <v>124.34019809810523</v>
      </c>
      <c r="P270">
        <f t="shared" ca="1" si="285"/>
        <v>132.06712678580368</v>
      </c>
      <c r="Q270">
        <f t="shared" ca="1" si="276"/>
        <v>110.90476529672088</v>
      </c>
      <c r="R270">
        <f t="shared" ca="1" si="277"/>
        <v>10.904765296720882</v>
      </c>
      <c r="S270">
        <f t="shared" ca="1" si="278"/>
        <v>10.372933617515162</v>
      </c>
    </row>
    <row r="271" spans="5:19" x14ac:dyDescent="0.75">
      <c r="E271">
        <v>266</v>
      </c>
      <c r="F271">
        <v>100</v>
      </c>
      <c r="G271">
        <f t="shared" ca="1" si="274"/>
        <v>98.113244453507946</v>
      </c>
      <c r="H271">
        <f t="shared" ca="1" si="274"/>
        <v>96.891496940037328</v>
      </c>
      <c r="I271">
        <f t="shared" ca="1" si="274"/>
        <v>98.166691114893112</v>
      </c>
      <c r="J271">
        <f t="shared" ca="1" si="274"/>
        <v>106.35410184590221</v>
      </c>
      <c r="K271">
        <f t="shared" ref="K271:P271" ca="1" si="286">J271*EXP(($C$4-0.5*$C$5^2)*$C$10+$C$5*SQRT($C$10)*NORMINV(RAND(),0,1))</f>
        <v>103.82043789594159</v>
      </c>
      <c r="L271">
        <f t="shared" ca="1" si="286"/>
        <v>102.83305682024415</v>
      </c>
      <c r="M271">
        <f t="shared" ca="1" si="286"/>
        <v>109.04888257077151</v>
      </c>
      <c r="N271">
        <f t="shared" ca="1" si="286"/>
        <v>116.34216991756225</v>
      </c>
      <c r="O271">
        <f t="shared" ca="1" si="286"/>
        <v>119.28719393734721</v>
      </c>
      <c r="P271">
        <f t="shared" ca="1" si="286"/>
        <v>114.41967407394478</v>
      </c>
      <c r="Q271">
        <f t="shared" ca="1" si="276"/>
        <v>105.93426814274112</v>
      </c>
      <c r="R271">
        <f t="shared" ca="1" si="277"/>
        <v>5.9342681427411179</v>
      </c>
      <c r="S271">
        <f t="shared" ca="1" si="278"/>
        <v>5.644850470252555</v>
      </c>
    </row>
    <row r="272" spans="5:19" x14ac:dyDescent="0.75">
      <c r="E272">
        <v>267</v>
      </c>
      <c r="F272">
        <v>100</v>
      </c>
      <c r="G272">
        <f t="shared" ca="1" si="274"/>
        <v>102.84388361618065</v>
      </c>
      <c r="H272">
        <f t="shared" ca="1" si="274"/>
        <v>100.58631720314528</v>
      </c>
      <c r="I272">
        <f t="shared" ca="1" si="274"/>
        <v>99.222094338718136</v>
      </c>
      <c r="J272">
        <f t="shared" ca="1" si="274"/>
        <v>89.44379064781775</v>
      </c>
      <c r="K272">
        <f t="shared" ref="K272:P272" ca="1" si="287">J272*EXP(($C$4-0.5*$C$5^2)*$C$10+$C$5*SQRT($C$10)*NORMINV(RAND(),0,1))</f>
        <v>90.524268820619426</v>
      </c>
      <c r="L272">
        <f t="shared" ca="1" si="287"/>
        <v>97.634319934582251</v>
      </c>
      <c r="M272">
        <f t="shared" ca="1" si="287"/>
        <v>106.58463473642021</v>
      </c>
      <c r="N272">
        <f t="shared" ca="1" si="287"/>
        <v>107.82838328285699</v>
      </c>
      <c r="O272">
        <f t="shared" ca="1" si="287"/>
        <v>101.0934292351736</v>
      </c>
      <c r="P272">
        <f t="shared" ca="1" si="287"/>
        <v>96.341228558714207</v>
      </c>
      <c r="Q272">
        <f t="shared" ca="1" si="276"/>
        <v>99.282031852202593</v>
      </c>
      <c r="R272">
        <f t="shared" ca="1" si="277"/>
        <v>0</v>
      </c>
      <c r="S272">
        <f t="shared" ca="1" si="278"/>
        <v>0</v>
      </c>
    </row>
    <row r="273" spans="5:19" x14ac:dyDescent="0.75">
      <c r="E273">
        <v>268</v>
      </c>
      <c r="F273">
        <v>100</v>
      </c>
      <c r="G273">
        <f t="shared" ca="1" si="274"/>
        <v>100.19236874792492</v>
      </c>
      <c r="H273">
        <f t="shared" ca="1" si="274"/>
        <v>98.794138826547993</v>
      </c>
      <c r="I273">
        <f t="shared" ca="1" si="274"/>
        <v>85.347312056513957</v>
      </c>
      <c r="J273">
        <f t="shared" ca="1" si="274"/>
        <v>98.980643433551052</v>
      </c>
      <c r="K273">
        <f t="shared" ref="K273:P273" ca="1" si="288">J273*EXP(($C$4-0.5*$C$5^2)*$C$10+$C$5*SQRT($C$10)*NORMINV(RAND(),0,1))</f>
        <v>105.00193380808426</v>
      </c>
      <c r="L273">
        <f t="shared" ca="1" si="288"/>
        <v>115.2487471989177</v>
      </c>
      <c r="M273">
        <f t="shared" ca="1" si="288"/>
        <v>106.88743188081621</v>
      </c>
      <c r="N273">
        <f t="shared" ca="1" si="288"/>
        <v>114.02474874384556</v>
      </c>
      <c r="O273">
        <f t="shared" ca="1" si="288"/>
        <v>111.61216126360404</v>
      </c>
      <c r="P273">
        <f t="shared" ca="1" si="288"/>
        <v>118.75827526704843</v>
      </c>
      <c r="Q273">
        <f t="shared" ca="1" si="276"/>
        <v>104.98616011153219</v>
      </c>
      <c r="R273">
        <f t="shared" ca="1" si="277"/>
        <v>4.9861601115321861</v>
      </c>
      <c r="S273">
        <f t="shared" ca="1" si="278"/>
        <v>4.7429822133611772</v>
      </c>
    </row>
    <row r="274" spans="5:19" x14ac:dyDescent="0.75">
      <c r="E274">
        <v>269</v>
      </c>
      <c r="F274">
        <v>100</v>
      </c>
      <c r="G274">
        <f t="shared" ca="1" si="274"/>
        <v>102.63393442860247</v>
      </c>
      <c r="H274">
        <f t="shared" ca="1" si="274"/>
        <v>105.8242029245898</v>
      </c>
      <c r="I274">
        <f t="shared" ca="1" si="274"/>
        <v>114.76568678676794</v>
      </c>
      <c r="J274">
        <f t="shared" ca="1" si="274"/>
        <v>114.32636022879514</v>
      </c>
      <c r="K274">
        <f t="shared" ref="K274:P274" ca="1" si="289">J274*EXP(($C$4-0.5*$C$5^2)*$C$10+$C$5*SQRT($C$10)*NORMINV(RAND(),0,1))</f>
        <v>104.38827300460855</v>
      </c>
      <c r="L274">
        <f t="shared" ca="1" si="289"/>
        <v>100.80598926764287</v>
      </c>
      <c r="M274">
        <f t="shared" ca="1" si="289"/>
        <v>93.764565711412217</v>
      </c>
      <c r="N274">
        <f t="shared" ca="1" si="289"/>
        <v>93.849298487805868</v>
      </c>
      <c r="O274">
        <f t="shared" ca="1" si="289"/>
        <v>86.523073735557844</v>
      </c>
      <c r="P274">
        <f t="shared" ca="1" si="289"/>
        <v>87.03965021963127</v>
      </c>
      <c r="Q274">
        <f t="shared" ca="1" si="276"/>
        <v>100.356457708674</v>
      </c>
      <c r="R274">
        <f t="shared" ca="1" si="277"/>
        <v>0.35645770867400017</v>
      </c>
      <c r="S274">
        <f t="shared" ca="1" si="278"/>
        <v>0.33907306108081237</v>
      </c>
    </row>
    <row r="275" spans="5:19" x14ac:dyDescent="0.75">
      <c r="E275">
        <v>270</v>
      </c>
      <c r="F275">
        <v>100</v>
      </c>
      <c r="G275">
        <f t="shared" ca="1" si="274"/>
        <v>98.233517269139156</v>
      </c>
      <c r="H275">
        <f t="shared" ca="1" si="274"/>
        <v>99.026643393415867</v>
      </c>
      <c r="I275">
        <f t="shared" ca="1" si="274"/>
        <v>103.21729526189438</v>
      </c>
      <c r="J275">
        <f t="shared" ca="1" si="274"/>
        <v>114.65329831574284</v>
      </c>
      <c r="K275">
        <f t="shared" ref="K275:P275" ca="1" si="290">J275*EXP(($C$4-0.5*$C$5^2)*$C$10+$C$5*SQRT($C$10)*NORMINV(RAND(),0,1))</f>
        <v>120.4027024575887</v>
      </c>
      <c r="L275">
        <f t="shared" ca="1" si="290"/>
        <v>124.44397997783281</v>
      </c>
      <c r="M275">
        <f t="shared" ca="1" si="290"/>
        <v>130.29580524953565</v>
      </c>
      <c r="N275">
        <f t="shared" ca="1" si="290"/>
        <v>125.30788839808062</v>
      </c>
      <c r="O275">
        <f t="shared" ca="1" si="290"/>
        <v>136.39448922812949</v>
      </c>
      <c r="P275">
        <f t="shared" ca="1" si="290"/>
        <v>131.68849811651444</v>
      </c>
      <c r="Q275">
        <f t="shared" ca="1" si="276"/>
        <v>116.69673796980673</v>
      </c>
      <c r="R275">
        <f t="shared" ca="1" si="277"/>
        <v>16.696737969806733</v>
      </c>
      <c r="S275">
        <f t="shared" ca="1" si="278"/>
        <v>15.882428450058478</v>
      </c>
    </row>
    <row r="276" spans="5:19" x14ac:dyDescent="0.75">
      <c r="E276">
        <v>271</v>
      </c>
      <c r="F276">
        <v>100</v>
      </c>
      <c r="G276">
        <f t="shared" ca="1" si="274"/>
        <v>101.13774051010644</v>
      </c>
      <c r="H276">
        <f t="shared" ca="1" si="274"/>
        <v>105.52371164354298</v>
      </c>
      <c r="I276">
        <f t="shared" ca="1" si="274"/>
        <v>96.494733192117337</v>
      </c>
      <c r="J276">
        <f t="shared" ca="1" si="274"/>
        <v>99.469037359169363</v>
      </c>
      <c r="K276">
        <f t="shared" ref="K276:P276" ca="1" si="291">J276*EXP(($C$4-0.5*$C$5^2)*$C$10+$C$5*SQRT($C$10)*NORMINV(RAND(),0,1))</f>
        <v>102.31249938102138</v>
      </c>
      <c r="L276">
        <f t="shared" ca="1" si="291"/>
        <v>105.59649572121731</v>
      </c>
      <c r="M276">
        <f t="shared" ca="1" si="291"/>
        <v>108.98181315564203</v>
      </c>
      <c r="N276">
        <f t="shared" ca="1" si="291"/>
        <v>93.06357881510705</v>
      </c>
      <c r="O276">
        <f t="shared" ca="1" si="291"/>
        <v>85.714495865348653</v>
      </c>
      <c r="P276">
        <f t="shared" ca="1" si="291"/>
        <v>91.192505984690698</v>
      </c>
      <c r="Q276">
        <f t="shared" ca="1" si="276"/>
        <v>99.044237420723945</v>
      </c>
      <c r="R276">
        <f t="shared" ca="1" si="277"/>
        <v>0</v>
      </c>
      <c r="S276">
        <f t="shared" ca="1" si="278"/>
        <v>0</v>
      </c>
    </row>
    <row r="277" spans="5:19" x14ac:dyDescent="0.75">
      <c r="E277">
        <v>272</v>
      </c>
      <c r="F277">
        <v>100</v>
      </c>
      <c r="G277">
        <f t="shared" ca="1" si="274"/>
        <v>102.32840584622733</v>
      </c>
      <c r="H277">
        <f t="shared" ca="1" si="274"/>
        <v>107.44192384907704</v>
      </c>
      <c r="I277">
        <f t="shared" ca="1" si="274"/>
        <v>119.31782966871276</v>
      </c>
      <c r="J277">
        <f t="shared" ca="1" si="274"/>
        <v>106.32880121634562</v>
      </c>
      <c r="K277">
        <f t="shared" ref="K277:P277" ca="1" si="292">J277*EXP(($C$4-0.5*$C$5^2)*$C$10+$C$5*SQRT($C$10)*NORMINV(RAND(),0,1))</f>
        <v>110.13689233149927</v>
      </c>
      <c r="L277">
        <f t="shared" ca="1" si="292"/>
        <v>102.75792146029582</v>
      </c>
      <c r="M277">
        <f t="shared" ca="1" si="292"/>
        <v>96.286790283878034</v>
      </c>
      <c r="N277">
        <f t="shared" ca="1" si="292"/>
        <v>98.523805469656438</v>
      </c>
      <c r="O277">
        <f t="shared" ca="1" si="292"/>
        <v>98.951375401934158</v>
      </c>
      <c r="P277">
        <f t="shared" ca="1" si="292"/>
        <v>101.27609481752653</v>
      </c>
      <c r="Q277">
        <f t="shared" ca="1" si="276"/>
        <v>103.94089457683209</v>
      </c>
      <c r="R277">
        <f t="shared" ca="1" si="277"/>
        <v>3.9408945768320933</v>
      </c>
      <c r="S277">
        <f t="shared" ca="1" si="278"/>
        <v>3.7486948803379772</v>
      </c>
    </row>
    <row r="278" spans="5:19" x14ac:dyDescent="0.75">
      <c r="E278">
        <v>273</v>
      </c>
      <c r="F278">
        <v>100</v>
      </c>
      <c r="G278">
        <f t="shared" ca="1" si="274"/>
        <v>96.685103635077326</v>
      </c>
      <c r="H278">
        <f t="shared" ca="1" si="274"/>
        <v>97.79784948738552</v>
      </c>
      <c r="I278">
        <f t="shared" ca="1" si="274"/>
        <v>90.850435853490879</v>
      </c>
      <c r="J278">
        <f t="shared" ca="1" si="274"/>
        <v>85.872166518541434</v>
      </c>
      <c r="K278">
        <f t="shared" ref="K278:P278" ca="1" si="293">J278*EXP(($C$4-0.5*$C$5^2)*$C$10+$C$5*SQRT($C$10)*NORMINV(RAND(),0,1))</f>
        <v>94.526360984502247</v>
      </c>
      <c r="L278">
        <f t="shared" ca="1" si="293"/>
        <v>103.96213144504875</v>
      </c>
      <c r="M278">
        <f t="shared" ca="1" si="293"/>
        <v>105.90627092066738</v>
      </c>
      <c r="N278">
        <f t="shared" ca="1" si="293"/>
        <v>98.26962775854463</v>
      </c>
      <c r="O278">
        <f t="shared" ca="1" si="293"/>
        <v>93.533462217725528</v>
      </c>
      <c r="P278">
        <f t="shared" ca="1" si="293"/>
        <v>107.96816323891221</v>
      </c>
      <c r="Q278">
        <f t="shared" ca="1" si="276"/>
        <v>97.761052005445066</v>
      </c>
      <c r="R278">
        <f t="shared" ca="1" si="277"/>
        <v>0</v>
      </c>
      <c r="S278">
        <f t="shared" ca="1" si="278"/>
        <v>0</v>
      </c>
    </row>
    <row r="279" spans="5:19" x14ac:dyDescent="0.75">
      <c r="E279">
        <v>274</v>
      </c>
      <c r="F279">
        <v>100</v>
      </c>
      <c r="G279">
        <f t="shared" ca="1" si="274"/>
        <v>99.486361766639064</v>
      </c>
      <c r="H279">
        <f t="shared" ca="1" si="274"/>
        <v>108.02960654047821</v>
      </c>
      <c r="I279">
        <f t="shared" ca="1" si="274"/>
        <v>121.90127170150171</v>
      </c>
      <c r="J279">
        <f t="shared" ca="1" si="274"/>
        <v>119.09059150184933</v>
      </c>
      <c r="K279">
        <f t="shared" ref="K279:P279" ca="1" si="294">J279*EXP(($C$4-0.5*$C$5^2)*$C$10+$C$5*SQRT($C$10)*NORMINV(RAND(),0,1))</f>
        <v>117.53189990483149</v>
      </c>
      <c r="L279">
        <f t="shared" ca="1" si="294"/>
        <v>110.92854002102948</v>
      </c>
      <c r="M279">
        <f t="shared" ca="1" si="294"/>
        <v>106.36248070121974</v>
      </c>
      <c r="N279">
        <f t="shared" ca="1" si="294"/>
        <v>107.20443998153499</v>
      </c>
      <c r="O279">
        <f t="shared" ca="1" si="294"/>
        <v>111.9693315556414</v>
      </c>
      <c r="P279">
        <f t="shared" ca="1" si="294"/>
        <v>107.74630604066461</v>
      </c>
      <c r="Q279">
        <f t="shared" ca="1" si="276"/>
        <v>110.02280270139909</v>
      </c>
      <c r="R279">
        <f t="shared" ca="1" si="277"/>
        <v>10.022802701399087</v>
      </c>
      <c r="S279">
        <f t="shared" ca="1" si="278"/>
        <v>9.5339848455360556</v>
      </c>
    </row>
    <row r="280" spans="5:19" x14ac:dyDescent="0.75">
      <c r="E280">
        <v>275</v>
      </c>
      <c r="F280">
        <v>100</v>
      </c>
      <c r="G280">
        <f t="shared" ca="1" si="274"/>
        <v>89.019020384319589</v>
      </c>
      <c r="H280">
        <f t="shared" ca="1" si="274"/>
        <v>91.546951410666153</v>
      </c>
      <c r="I280">
        <f t="shared" ca="1" si="274"/>
        <v>88.632246422822135</v>
      </c>
      <c r="J280">
        <f t="shared" ca="1" si="274"/>
        <v>90.891489553965741</v>
      </c>
      <c r="K280">
        <f t="shared" ref="K280:P280" ca="1" si="295">J280*EXP(($C$4-0.5*$C$5^2)*$C$10+$C$5*SQRT($C$10)*NORMINV(RAND(),0,1))</f>
        <v>83.368216888970409</v>
      </c>
      <c r="L280">
        <f t="shared" ca="1" si="295"/>
        <v>86.057659533864808</v>
      </c>
      <c r="M280">
        <f t="shared" ca="1" si="295"/>
        <v>85.813550621355986</v>
      </c>
      <c r="N280">
        <f t="shared" ca="1" si="295"/>
        <v>85.53261968776539</v>
      </c>
      <c r="O280">
        <f t="shared" ca="1" si="295"/>
        <v>82.311888728419774</v>
      </c>
      <c r="P280">
        <f t="shared" ca="1" si="295"/>
        <v>82.790695192741651</v>
      </c>
      <c r="Q280">
        <f t="shared" ca="1" si="276"/>
        <v>87.814939856808323</v>
      </c>
      <c r="R280">
        <f t="shared" ca="1" si="277"/>
        <v>0</v>
      </c>
      <c r="S280">
        <f t="shared" ca="1" si="278"/>
        <v>0</v>
      </c>
    </row>
    <row r="281" spans="5:19" x14ac:dyDescent="0.75">
      <c r="E281">
        <v>276</v>
      </c>
      <c r="F281">
        <v>100</v>
      </c>
      <c r="G281">
        <f t="shared" ca="1" si="274"/>
        <v>97.906664323573196</v>
      </c>
      <c r="H281">
        <f t="shared" ca="1" si="274"/>
        <v>96.694337398144924</v>
      </c>
      <c r="I281">
        <f t="shared" ca="1" si="274"/>
        <v>94.572735894258443</v>
      </c>
      <c r="J281">
        <f t="shared" ca="1" si="274"/>
        <v>81.800228022306939</v>
      </c>
      <c r="K281">
        <f t="shared" ref="K281:P281" ca="1" si="296">J281*EXP(($C$4-0.5*$C$5^2)*$C$10+$C$5*SQRT($C$10)*NORMINV(RAND(),0,1))</f>
        <v>76.401779675335604</v>
      </c>
      <c r="L281">
        <f t="shared" ca="1" si="296"/>
        <v>72.009968662842439</v>
      </c>
      <c r="M281">
        <f t="shared" ca="1" si="296"/>
        <v>72.377907631876241</v>
      </c>
      <c r="N281">
        <f t="shared" ca="1" si="296"/>
        <v>75.457628008657096</v>
      </c>
      <c r="O281">
        <f t="shared" ca="1" si="296"/>
        <v>81.132286389849313</v>
      </c>
      <c r="P281">
        <f t="shared" ca="1" si="296"/>
        <v>87.167033028883338</v>
      </c>
      <c r="Q281">
        <f t="shared" ca="1" si="276"/>
        <v>85.047324457793422</v>
      </c>
      <c r="R281">
        <f t="shared" ca="1" si="277"/>
        <v>0</v>
      </c>
      <c r="S281">
        <f t="shared" ca="1" si="278"/>
        <v>0</v>
      </c>
    </row>
    <row r="282" spans="5:19" x14ac:dyDescent="0.75">
      <c r="E282">
        <v>277</v>
      </c>
      <c r="F282">
        <v>100</v>
      </c>
      <c r="G282">
        <f t="shared" ca="1" si="274"/>
        <v>102.1383304582685</v>
      </c>
      <c r="H282">
        <f t="shared" ca="1" si="274"/>
        <v>98.186713190038844</v>
      </c>
      <c r="I282">
        <f t="shared" ca="1" si="274"/>
        <v>87.150424292253305</v>
      </c>
      <c r="J282">
        <f t="shared" ca="1" si="274"/>
        <v>91.780103193694913</v>
      </c>
      <c r="K282">
        <f t="shared" ref="K282:P282" ca="1" si="297">J282*EXP(($C$4-0.5*$C$5^2)*$C$10+$C$5*SQRT($C$10)*NORMINV(RAND(),0,1))</f>
        <v>91.790292477789365</v>
      </c>
      <c r="L282">
        <f t="shared" ca="1" si="297"/>
        <v>91.577867738210713</v>
      </c>
      <c r="M282">
        <f t="shared" ca="1" si="297"/>
        <v>93.152593630236581</v>
      </c>
      <c r="N282">
        <f t="shared" ca="1" si="297"/>
        <v>85.042589909525304</v>
      </c>
      <c r="O282">
        <f t="shared" ca="1" si="297"/>
        <v>86.830524633026371</v>
      </c>
      <c r="P282">
        <f t="shared" ca="1" si="297"/>
        <v>92.218732599377716</v>
      </c>
      <c r="Q282">
        <f t="shared" ca="1" si="276"/>
        <v>92.715288374765592</v>
      </c>
      <c r="R282">
        <f t="shared" ca="1" si="277"/>
        <v>0</v>
      </c>
      <c r="S282">
        <f t="shared" ca="1" si="278"/>
        <v>0</v>
      </c>
    </row>
    <row r="283" spans="5:19" x14ac:dyDescent="0.75">
      <c r="E283">
        <v>278</v>
      </c>
      <c r="F283">
        <v>100</v>
      </c>
      <c r="G283">
        <f t="shared" ca="1" si="274"/>
        <v>90.959743003409713</v>
      </c>
      <c r="H283">
        <f t="shared" ca="1" si="274"/>
        <v>97.559595075875421</v>
      </c>
      <c r="I283">
        <f t="shared" ca="1" si="274"/>
        <v>91.722585657993534</v>
      </c>
      <c r="J283">
        <f t="shared" ca="1" si="274"/>
        <v>101.07277675134812</v>
      </c>
      <c r="K283">
        <f t="shared" ref="K283:P283" ca="1" si="298">J283*EXP(($C$4-0.5*$C$5^2)*$C$10+$C$5*SQRT($C$10)*NORMINV(RAND(),0,1))</f>
        <v>95.783673645565571</v>
      </c>
      <c r="L283">
        <f t="shared" ca="1" si="298"/>
        <v>105.93159097665387</v>
      </c>
      <c r="M283">
        <f t="shared" ca="1" si="298"/>
        <v>104.12867999456397</v>
      </c>
      <c r="N283">
        <f t="shared" ca="1" si="298"/>
        <v>106.74963493860191</v>
      </c>
      <c r="O283">
        <f t="shared" ca="1" si="298"/>
        <v>101.55373296775694</v>
      </c>
      <c r="P283">
        <f t="shared" ca="1" si="298"/>
        <v>105.60454149216338</v>
      </c>
      <c r="Q283">
        <f t="shared" ca="1" si="276"/>
        <v>100.09695950035749</v>
      </c>
      <c r="R283">
        <f t="shared" ca="1" si="277"/>
        <v>9.695950035748524E-2</v>
      </c>
      <c r="S283">
        <f t="shared" ca="1" si="278"/>
        <v>9.2230729724927463E-2</v>
      </c>
    </row>
    <row r="284" spans="5:19" x14ac:dyDescent="0.75">
      <c r="E284">
        <v>279</v>
      </c>
      <c r="F284">
        <v>100</v>
      </c>
      <c r="G284">
        <f t="shared" ca="1" si="274"/>
        <v>97.260117136021179</v>
      </c>
      <c r="H284">
        <f t="shared" ca="1" si="274"/>
        <v>92.308085323409969</v>
      </c>
      <c r="I284">
        <f t="shared" ca="1" si="274"/>
        <v>95.018937405497013</v>
      </c>
      <c r="J284">
        <f t="shared" ca="1" si="274"/>
        <v>95.382406278831283</v>
      </c>
      <c r="K284">
        <f t="shared" ref="K284:P284" ca="1" si="299">J284*EXP(($C$4-0.5*$C$5^2)*$C$10+$C$5*SQRT($C$10)*NORMINV(RAND(),0,1))</f>
        <v>98.998507455084251</v>
      </c>
      <c r="L284">
        <f t="shared" ca="1" si="299"/>
        <v>101.44675194758835</v>
      </c>
      <c r="M284">
        <f t="shared" ca="1" si="299"/>
        <v>92.976443336912624</v>
      </c>
      <c r="N284">
        <f t="shared" ca="1" si="299"/>
        <v>88.378149309305726</v>
      </c>
      <c r="O284">
        <f t="shared" ca="1" si="299"/>
        <v>87.865968146044807</v>
      </c>
      <c r="P284">
        <f t="shared" ca="1" si="299"/>
        <v>90.200187852525161</v>
      </c>
      <c r="Q284">
        <f t="shared" ca="1" si="276"/>
        <v>94.530504926474578</v>
      </c>
      <c r="R284">
        <f t="shared" ca="1" si="277"/>
        <v>0</v>
      </c>
      <c r="S284">
        <f t="shared" ca="1" si="278"/>
        <v>0</v>
      </c>
    </row>
    <row r="285" spans="5:19" x14ac:dyDescent="0.75">
      <c r="E285">
        <v>280</v>
      </c>
      <c r="F285">
        <v>100</v>
      </c>
      <c r="G285">
        <f t="shared" ca="1" si="274"/>
        <v>91.450174406390616</v>
      </c>
      <c r="H285">
        <f t="shared" ca="1" si="274"/>
        <v>93.286792285515773</v>
      </c>
      <c r="I285">
        <f t="shared" ca="1" si="274"/>
        <v>103.86137692149029</v>
      </c>
      <c r="J285">
        <f t="shared" ca="1" si="274"/>
        <v>106.71618093882854</v>
      </c>
      <c r="K285">
        <f t="shared" ref="K285:P285" ca="1" si="300">J285*EXP(($C$4-0.5*$C$5^2)*$C$10+$C$5*SQRT($C$10)*NORMINV(RAND(),0,1))</f>
        <v>104.18178800418876</v>
      </c>
      <c r="L285">
        <f t="shared" ca="1" si="300"/>
        <v>102.82488868893394</v>
      </c>
      <c r="M285">
        <f t="shared" ca="1" si="300"/>
        <v>93.798076247375832</v>
      </c>
      <c r="N285">
        <f t="shared" ca="1" si="300"/>
        <v>102.44025780631428</v>
      </c>
      <c r="O285">
        <f t="shared" ca="1" si="300"/>
        <v>107.09687092622524</v>
      </c>
      <c r="P285">
        <f t="shared" ca="1" si="300"/>
        <v>105.77432478266199</v>
      </c>
      <c r="Q285">
        <f t="shared" ca="1" si="276"/>
        <v>101.03915736435684</v>
      </c>
      <c r="R285">
        <f t="shared" ca="1" si="277"/>
        <v>1.0391573643568393</v>
      </c>
      <c r="S285">
        <f t="shared" ca="1" si="278"/>
        <v>0.988477061662835</v>
      </c>
    </row>
    <row r="286" spans="5:19" x14ac:dyDescent="0.75">
      <c r="E286">
        <v>281</v>
      </c>
      <c r="F286">
        <v>100</v>
      </c>
      <c r="G286">
        <f t="shared" ca="1" si="274"/>
        <v>103.55885674608322</v>
      </c>
      <c r="H286">
        <f t="shared" ca="1" si="274"/>
        <v>103.31563046373716</v>
      </c>
      <c r="I286">
        <f t="shared" ca="1" si="274"/>
        <v>113.03416144329235</v>
      </c>
      <c r="J286">
        <f t="shared" ca="1" si="274"/>
        <v>106.59462558736469</v>
      </c>
      <c r="K286">
        <f t="shared" ref="K286:P286" ca="1" si="301">J286*EXP(($C$4-0.5*$C$5^2)*$C$10+$C$5*SQRT($C$10)*NORMINV(RAND(),0,1))</f>
        <v>109.26611200820243</v>
      </c>
      <c r="L286">
        <f t="shared" ca="1" si="301"/>
        <v>115.15560724747439</v>
      </c>
      <c r="M286">
        <f t="shared" ca="1" si="301"/>
        <v>103.13659229351386</v>
      </c>
      <c r="N286">
        <f t="shared" ca="1" si="301"/>
        <v>105.82002895415766</v>
      </c>
      <c r="O286">
        <f t="shared" ca="1" si="301"/>
        <v>106.66143664904064</v>
      </c>
      <c r="P286">
        <f t="shared" ca="1" si="301"/>
        <v>124.1999196967157</v>
      </c>
      <c r="Q286">
        <f t="shared" ca="1" si="276"/>
        <v>108.24936100814381</v>
      </c>
      <c r="R286">
        <f t="shared" ca="1" si="277"/>
        <v>8.2493610081438078</v>
      </c>
      <c r="S286">
        <f t="shared" ca="1" si="278"/>
        <v>7.8470349242752642</v>
      </c>
    </row>
    <row r="287" spans="5:19" x14ac:dyDescent="0.75">
      <c r="E287">
        <v>282</v>
      </c>
      <c r="F287">
        <v>100</v>
      </c>
      <c r="G287">
        <f t="shared" ca="1" si="274"/>
        <v>95.826531421524493</v>
      </c>
      <c r="H287">
        <f t="shared" ca="1" si="274"/>
        <v>93.633794201230302</v>
      </c>
      <c r="I287">
        <f t="shared" ca="1" si="274"/>
        <v>90.284611497022595</v>
      </c>
      <c r="J287">
        <f t="shared" ca="1" si="274"/>
        <v>81.831134053192201</v>
      </c>
      <c r="K287">
        <f t="shared" ref="K287:P287" ca="1" si="302">J287*EXP(($C$4-0.5*$C$5^2)*$C$10+$C$5*SQRT($C$10)*NORMINV(RAND(),0,1))</f>
        <v>91.300303665941385</v>
      </c>
      <c r="L287">
        <f t="shared" ca="1" si="302"/>
        <v>106.94501430387994</v>
      </c>
      <c r="M287">
        <f t="shared" ca="1" si="302"/>
        <v>98.607203950033622</v>
      </c>
      <c r="N287">
        <f t="shared" ca="1" si="302"/>
        <v>108.11870511027925</v>
      </c>
      <c r="O287">
        <f t="shared" ca="1" si="302"/>
        <v>103.80097596048464</v>
      </c>
      <c r="P287">
        <f t="shared" ca="1" si="302"/>
        <v>99.781012403680251</v>
      </c>
      <c r="Q287">
        <f t="shared" ca="1" si="276"/>
        <v>97.284480597024427</v>
      </c>
      <c r="R287">
        <f t="shared" ca="1" si="277"/>
        <v>0</v>
      </c>
      <c r="S287">
        <f t="shared" ca="1" si="278"/>
        <v>0</v>
      </c>
    </row>
    <row r="288" spans="5:19" x14ac:dyDescent="0.75">
      <c r="E288">
        <v>283</v>
      </c>
      <c r="F288">
        <v>100</v>
      </c>
      <c r="G288">
        <f t="shared" ca="1" si="274"/>
        <v>92.880068584151047</v>
      </c>
      <c r="H288">
        <f t="shared" ca="1" si="274"/>
        <v>92.739219793480061</v>
      </c>
      <c r="I288">
        <f t="shared" ca="1" si="274"/>
        <v>91.376925309873783</v>
      </c>
      <c r="J288">
        <f t="shared" ca="1" si="274"/>
        <v>84.020260677675296</v>
      </c>
      <c r="K288">
        <f t="shared" ref="K288:P288" ca="1" si="303">J288*EXP(($C$4-0.5*$C$5^2)*$C$10+$C$5*SQRT($C$10)*NORMINV(RAND(),0,1))</f>
        <v>78.003652996587576</v>
      </c>
      <c r="L288">
        <f t="shared" ca="1" si="303"/>
        <v>83.874612381039427</v>
      </c>
      <c r="M288">
        <f t="shared" ca="1" si="303"/>
        <v>82.498771903741101</v>
      </c>
      <c r="N288">
        <f t="shared" ca="1" si="303"/>
        <v>86.174281394318925</v>
      </c>
      <c r="O288">
        <f t="shared" ca="1" si="303"/>
        <v>83.285196552527736</v>
      </c>
      <c r="P288">
        <f t="shared" ca="1" si="303"/>
        <v>89.201931833411237</v>
      </c>
      <c r="Q288">
        <f t="shared" ca="1" si="276"/>
        <v>87.641356493346024</v>
      </c>
      <c r="R288">
        <f t="shared" ca="1" si="277"/>
        <v>0</v>
      </c>
      <c r="S288">
        <f t="shared" ca="1" si="278"/>
        <v>0</v>
      </c>
    </row>
    <row r="289" spans="5:19" x14ac:dyDescent="0.75">
      <c r="E289">
        <v>284</v>
      </c>
      <c r="F289">
        <v>100</v>
      </c>
      <c r="G289">
        <f t="shared" ca="1" si="274"/>
        <v>92.96614537394278</v>
      </c>
      <c r="H289">
        <f t="shared" ca="1" si="274"/>
        <v>90.384149993005849</v>
      </c>
      <c r="I289">
        <f t="shared" ca="1" si="274"/>
        <v>85.178373301174076</v>
      </c>
      <c r="J289">
        <f t="shared" ca="1" si="274"/>
        <v>82.011567878868476</v>
      </c>
      <c r="K289">
        <f t="shared" ref="K289:P289" ca="1" si="304">J289*EXP(($C$4-0.5*$C$5^2)*$C$10+$C$5*SQRT($C$10)*NORMINV(RAND(),0,1))</f>
        <v>90.742887845137574</v>
      </c>
      <c r="L289">
        <f t="shared" ca="1" si="304"/>
        <v>92.171891402476618</v>
      </c>
      <c r="M289">
        <f t="shared" ca="1" si="304"/>
        <v>86.229817017028651</v>
      </c>
      <c r="N289">
        <f t="shared" ca="1" si="304"/>
        <v>96.078710054442766</v>
      </c>
      <c r="O289">
        <f t="shared" ca="1" si="304"/>
        <v>92.187361405915709</v>
      </c>
      <c r="P289">
        <f t="shared" ca="1" si="304"/>
        <v>96.988195446179859</v>
      </c>
      <c r="Q289">
        <f t="shared" ca="1" si="276"/>
        <v>91.3580999743793</v>
      </c>
      <c r="R289">
        <f t="shared" ca="1" si="277"/>
        <v>0</v>
      </c>
      <c r="S289">
        <f t="shared" ca="1" si="278"/>
        <v>0</v>
      </c>
    </row>
    <row r="290" spans="5:19" x14ac:dyDescent="0.75">
      <c r="E290">
        <v>285</v>
      </c>
      <c r="F290">
        <v>100</v>
      </c>
      <c r="G290">
        <f t="shared" ca="1" si="274"/>
        <v>106.73224945044043</v>
      </c>
      <c r="H290">
        <f t="shared" ca="1" si="274"/>
        <v>103.18830664182214</v>
      </c>
      <c r="I290">
        <f t="shared" ca="1" si="274"/>
        <v>108.0188158579699</v>
      </c>
      <c r="J290">
        <f t="shared" ca="1" si="274"/>
        <v>95.569160628426815</v>
      </c>
      <c r="K290">
        <f t="shared" ref="K290:P290" ca="1" si="305">J290*EXP(($C$4-0.5*$C$5^2)*$C$10+$C$5*SQRT($C$10)*NORMINV(RAND(),0,1))</f>
        <v>96.542210075301625</v>
      </c>
      <c r="L290">
        <f t="shared" ca="1" si="305"/>
        <v>98.599862747636848</v>
      </c>
      <c r="M290">
        <f t="shared" ca="1" si="305"/>
        <v>94.969596466355682</v>
      </c>
      <c r="N290">
        <f t="shared" ca="1" si="305"/>
        <v>96.452122930611239</v>
      </c>
      <c r="O290">
        <f t="shared" ca="1" si="305"/>
        <v>109.80992558675941</v>
      </c>
      <c r="P290">
        <f t="shared" ca="1" si="305"/>
        <v>115.83701685816823</v>
      </c>
      <c r="Q290">
        <f t="shared" ca="1" si="276"/>
        <v>102.33811520395385</v>
      </c>
      <c r="R290">
        <f t="shared" ca="1" si="277"/>
        <v>2.3381152039538478</v>
      </c>
      <c r="S290">
        <f t="shared" ca="1" si="278"/>
        <v>2.224083979873388</v>
      </c>
    </row>
    <row r="291" spans="5:19" x14ac:dyDescent="0.75">
      <c r="E291">
        <v>286</v>
      </c>
      <c r="F291">
        <v>100</v>
      </c>
      <c r="G291">
        <f t="shared" ca="1" si="274"/>
        <v>108.18076594365201</v>
      </c>
      <c r="H291">
        <f t="shared" ca="1" si="274"/>
        <v>108.24382141896567</v>
      </c>
      <c r="I291">
        <f t="shared" ca="1" si="274"/>
        <v>110.43907943554747</v>
      </c>
      <c r="J291">
        <f t="shared" ca="1" si="274"/>
        <v>119.83998717522729</v>
      </c>
      <c r="K291">
        <f t="shared" ref="K291:P291" ca="1" si="306">J291*EXP(($C$4-0.5*$C$5^2)*$C$10+$C$5*SQRT($C$10)*NORMINV(RAND(),0,1))</f>
        <v>108.08061849896109</v>
      </c>
      <c r="L291">
        <f t="shared" ca="1" si="306"/>
        <v>112.18782940168212</v>
      </c>
      <c r="M291">
        <f t="shared" ca="1" si="306"/>
        <v>104.94850550217497</v>
      </c>
      <c r="N291">
        <f t="shared" ca="1" si="306"/>
        <v>113.5744914043578</v>
      </c>
      <c r="O291">
        <f t="shared" ca="1" si="306"/>
        <v>123.16211333832348</v>
      </c>
      <c r="P291">
        <f t="shared" ca="1" si="306"/>
        <v>132.43964209962527</v>
      </c>
      <c r="Q291">
        <f t="shared" ca="1" si="276"/>
        <v>112.82698674713792</v>
      </c>
      <c r="R291">
        <f t="shared" ca="1" si="277"/>
        <v>12.826986747137923</v>
      </c>
      <c r="S291">
        <f t="shared" ca="1" si="278"/>
        <v>12.201407221558291</v>
      </c>
    </row>
    <row r="292" spans="5:19" x14ac:dyDescent="0.75">
      <c r="E292">
        <v>287</v>
      </c>
      <c r="F292">
        <v>100</v>
      </c>
      <c r="G292">
        <f t="shared" ca="1" si="274"/>
        <v>105.09318516968109</v>
      </c>
      <c r="H292">
        <f t="shared" ca="1" si="274"/>
        <v>103.5375378855361</v>
      </c>
      <c r="I292">
        <f t="shared" ca="1" si="274"/>
        <v>98.823469655757393</v>
      </c>
      <c r="J292">
        <f t="shared" ca="1" si="274"/>
        <v>94.682068704813105</v>
      </c>
      <c r="K292">
        <f t="shared" ref="K292:P292" ca="1" si="307">J292*EXP(($C$4-0.5*$C$5^2)*$C$10+$C$5*SQRT($C$10)*NORMINV(RAND(),0,1))</f>
        <v>92.048521855065175</v>
      </c>
      <c r="L292">
        <f t="shared" ca="1" si="307"/>
        <v>93.320430748318572</v>
      </c>
      <c r="M292">
        <f t="shared" ca="1" si="307"/>
        <v>96.749280109647401</v>
      </c>
      <c r="N292">
        <f t="shared" ca="1" si="307"/>
        <v>100.1640599140336</v>
      </c>
      <c r="O292">
        <f t="shared" ca="1" si="307"/>
        <v>96.507191549776508</v>
      </c>
      <c r="P292">
        <f t="shared" ca="1" si="307"/>
        <v>92.546228902120617</v>
      </c>
      <c r="Q292">
        <f t="shared" ca="1" si="276"/>
        <v>97.588361317704496</v>
      </c>
      <c r="R292">
        <f t="shared" ca="1" si="277"/>
        <v>0</v>
      </c>
      <c r="S292">
        <f t="shared" ca="1" si="278"/>
        <v>0</v>
      </c>
    </row>
    <row r="293" spans="5:19" x14ac:dyDescent="0.75">
      <c r="E293">
        <v>288</v>
      </c>
      <c r="F293">
        <v>100</v>
      </c>
      <c r="G293">
        <f t="shared" ca="1" si="274"/>
        <v>107.67442736652751</v>
      </c>
      <c r="H293">
        <f t="shared" ca="1" si="274"/>
        <v>104.9294485609236</v>
      </c>
      <c r="I293">
        <f t="shared" ca="1" si="274"/>
        <v>103.05195687408887</v>
      </c>
      <c r="J293">
        <f t="shared" ca="1" si="274"/>
        <v>102.89630749915105</v>
      </c>
      <c r="K293">
        <f t="shared" ref="K293:P293" ca="1" si="308">J293*EXP(($C$4-0.5*$C$5^2)*$C$10+$C$5*SQRT($C$10)*NORMINV(RAND(),0,1))</f>
        <v>101.94351435821024</v>
      </c>
      <c r="L293">
        <f t="shared" ca="1" si="308"/>
        <v>104.44018673572795</v>
      </c>
      <c r="M293">
        <f t="shared" ca="1" si="308"/>
        <v>108.57433724428228</v>
      </c>
      <c r="N293">
        <f t="shared" ca="1" si="308"/>
        <v>101.5197801682078</v>
      </c>
      <c r="O293">
        <f t="shared" ca="1" si="308"/>
        <v>100.28913038402042</v>
      </c>
      <c r="P293">
        <f t="shared" ca="1" si="308"/>
        <v>101.1028741191293</v>
      </c>
      <c r="Q293">
        <f t="shared" ca="1" si="276"/>
        <v>103.31108757366081</v>
      </c>
      <c r="R293">
        <f t="shared" ca="1" si="277"/>
        <v>3.3110875736608136</v>
      </c>
      <c r="S293">
        <f t="shared" ca="1" si="278"/>
        <v>3.1496039271648413</v>
      </c>
    </row>
    <row r="294" spans="5:19" x14ac:dyDescent="0.75">
      <c r="E294">
        <v>289</v>
      </c>
      <c r="F294">
        <v>100</v>
      </c>
      <c r="G294">
        <f t="shared" ca="1" si="274"/>
        <v>99.325303222930756</v>
      </c>
      <c r="H294">
        <f t="shared" ca="1" si="274"/>
        <v>98.353888772082129</v>
      </c>
      <c r="I294">
        <f t="shared" ca="1" si="274"/>
        <v>91.785778555562104</v>
      </c>
      <c r="J294">
        <f t="shared" ca="1" si="274"/>
        <v>87.617417385830976</v>
      </c>
      <c r="K294">
        <f t="shared" ref="K294:P294" ca="1" si="309">J294*EXP(($C$4-0.5*$C$5^2)*$C$10+$C$5*SQRT($C$10)*NORMINV(RAND(),0,1))</f>
        <v>86.673250967736777</v>
      </c>
      <c r="L294">
        <f t="shared" ca="1" si="309"/>
        <v>91.011550286174383</v>
      </c>
      <c r="M294">
        <f t="shared" ca="1" si="309"/>
        <v>86.890358275832867</v>
      </c>
      <c r="N294">
        <f t="shared" ca="1" si="309"/>
        <v>92.660218340818844</v>
      </c>
      <c r="O294">
        <f t="shared" ca="1" si="309"/>
        <v>97.80830615861538</v>
      </c>
      <c r="P294">
        <f t="shared" ca="1" si="309"/>
        <v>99.906023532796567</v>
      </c>
      <c r="Q294">
        <f t="shared" ca="1" si="276"/>
        <v>93.821099590761889</v>
      </c>
      <c r="R294">
        <f t="shared" ca="1" si="277"/>
        <v>0</v>
      </c>
      <c r="S294">
        <f t="shared" ca="1" si="278"/>
        <v>0</v>
      </c>
    </row>
    <row r="295" spans="5:19" x14ac:dyDescent="0.75">
      <c r="E295">
        <v>290</v>
      </c>
      <c r="F295">
        <v>100</v>
      </c>
      <c r="G295">
        <f t="shared" ca="1" si="274"/>
        <v>112.66853500807805</v>
      </c>
      <c r="H295">
        <f t="shared" ca="1" si="274"/>
        <v>116.76425944252836</v>
      </c>
      <c r="I295">
        <f t="shared" ca="1" si="274"/>
        <v>117.31218500893415</v>
      </c>
      <c r="J295">
        <f t="shared" ca="1" si="274"/>
        <v>125.12645416914265</v>
      </c>
      <c r="K295">
        <f t="shared" ref="K295:P295" ca="1" si="310">J295*EXP(($C$4-0.5*$C$5^2)*$C$10+$C$5*SQRT($C$10)*NORMINV(RAND(),0,1))</f>
        <v>149.6220194677999</v>
      </c>
      <c r="L295">
        <f t="shared" ca="1" si="310"/>
        <v>145.12578121934379</v>
      </c>
      <c r="M295">
        <f t="shared" ca="1" si="310"/>
        <v>131.5358486282305</v>
      </c>
      <c r="N295">
        <f t="shared" ca="1" si="310"/>
        <v>121.87847804819438</v>
      </c>
      <c r="O295">
        <f t="shared" ca="1" si="310"/>
        <v>121.169509775607</v>
      </c>
      <c r="P295">
        <f t="shared" ca="1" si="310"/>
        <v>136.37718990964137</v>
      </c>
      <c r="Q295">
        <f t="shared" ca="1" si="276"/>
        <v>125.2345691525</v>
      </c>
      <c r="R295">
        <f t="shared" ca="1" si="277"/>
        <v>25.234569152500001</v>
      </c>
      <c r="S295">
        <f t="shared" ca="1" si="278"/>
        <v>24.003864692456045</v>
      </c>
    </row>
    <row r="296" spans="5:19" x14ac:dyDescent="0.75">
      <c r="E296">
        <v>291</v>
      </c>
      <c r="F296">
        <v>100</v>
      </c>
      <c r="G296">
        <f t="shared" ca="1" si="274"/>
        <v>95.113197159198776</v>
      </c>
      <c r="H296">
        <f t="shared" ca="1" si="274"/>
        <v>99.981552866460277</v>
      </c>
      <c r="I296">
        <f t="shared" ca="1" si="274"/>
        <v>98.96400137691802</v>
      </c>
      <c r="J296">
        <f t="shared" ca="1" si="274"/>
        <v>112.55162638841944</v>
      </c>
      <c r="K296">
        <f t="shared" ref="K296:P296" ca="1" si="311">J296*EXP(($C$4-0.5*$C$5^2)*$C$10+$C$5*SQRT($C$10)*NORMINV(RAND(),0,1))</f>
        <v>116.76475677208576</v>
      </c>
      <c r="L296">
        <f t="shared" ca="1" si="311"/>
        <v>124.83344968197464</v>
      </c>
      <c r="M296">
        <f t="shared" ca="1" si="311"/>
        <v>134.28725670345545</v>
      </c>
      <c r="N296">
        <f t="shared" ca="1" si="311"/>
        <v>125.59316296105264</v>
      </c>
      <c r="O296">
        <f t="shared" ca="1" si="311"/>
        <v>124.71768770344708</v>
      </c>
      <c r="P296">
        <f t="shared" ca="1" si="311"/>
        <v>125.0684317361326</v>
      </c>
      <c r="Q296">
        <f t="shared" ca="1" si="276"/>
        <v>114.35228394083134</v>
      </c>
      <c r="R296">
        <f t="shared" ca="1" si="277"/>
        <v>14.352283940831342</v>
      </c>
      <c r="S296">
        <f t="shared" ca="1" si="278"/>
        <v>13.652314793307838</v>
      </c>
    </row>
    <row r="297" spans="5:19" x14ac:dyDescent="0.75">
      <c r="E297">
        <v>292</v>
      </c>
      <c r="F297">
        <v>100</v>
      </c>
      <c r="G297">
        <f t="shared" ca="1" si="274"/>
        <v>105.87797219522986</v>
      </c>
      <c r="H297">
        <f t="shared" ca="1" si="274"/>
        <v>104.21089250344524</v>
      </c>
      <c r="I297">
        <f t="shared" ca="1" si="274"/>
        <v>117.34025818527458</v>
      </c>
      <c r="J297">
        <f t="shared" ca="1" si="274"/>
        <v>115.9045548255078</v>
      </c>
      <c r="K297">
        <f t="shared" ref="K297:P297" ca="1" si="312">J297*EXP(($C$4-0.5*$C$5^2)*$C$10+$C$5*SQRT($C$10)*NORMINV(RAND(),0,1))</f>
        <v>120.49129645493217</v>
      </c>
      <c r="L297">
        <f t="shared" ca="1" si="312"/>
        <v>124.03160517303866</v>
      </c>
      <c r="M297">
        <f t="shared" ca="1" si="312"/>
        <v>126.63273967833278</v>
      </c>
      <c r="N297">
        <f t="shared" ca="1" si="312"/>
        <v>124.21963521099819</v>
      </c>
      <c r="O297">
        <f t="shared" ca="1" si="312"/>
        <v>128.28740808589046</v>
      </c>
      <c r="P297">
        <f t="shared" ca="1" si="312"/>
        <v>117.6840792810449</v>
      </c>
      <c r="Q297">
        <f t="shared" ca="1" si="276"/>
        <v>116.78913105397224</v>
      </c>
      <c r="R297">
        <f t="shared" ca="1" si="277"/>
        <v>16.789131053972241</v>
      </c>
      <c r="S297">
        <f t="shared" ca="1" si="278"/>
        <v>15.970315470337081</v>
      </c>
    </row>
    <row r="298" spans="5:19" x14ac:dyDescent="0.75">
      <c r="E298">
        <v>293</v>
      </c>
      <c r="F298">
        <v>100</v>
      </c>
      <c r="G298">
        <f t="shared" ca="1" si="274"/>
        <v>96.798374672723298</v>
      </c>
      <c r="H298">
        <f t="shared" ca="1" si="274"/>
        <v>89.259748702207887</v>
      </c>
      <c r="I298">
        <f t="shared" ca="1" si="274"/>
        <v>83.7966048973189</v>
      </c>
      <c r="J298">
        <f t="shared" ca="1" si="274"/>
        <v>85.636625773213439</v>
      </c>
      <c r="K298">
        <f t="shared" ref="K298:P298" ca="1" si="313">J298*EXP(($C$4-0.5*$C$5^2)*$C$10+$C$5*SQRT($C$10)*NORMINV(RAND(),0,1))</f>
        <v>82.569086036651868</v>
      </c>
      <c r="L298">
        <f t="shared" ca="1" si="313"/>
        <v>79.26712302767578</v>
      </c>
      <c r="M298">
        <f t="shared" ca="1" si="313"/>
        <v>78.126679038902978</v>
      </c>
      <c r="N298">
        <f t="shared" ca="1" si="313"/>
        <v>89.39870992854847</v>
      </c>
      <c r="O298">
        <f t="shared" ca="1" si="313"/>
        <v>91.366938477056024</v>
      </c>
      <c r="P298">
        <f t="shared" ca="1" si="313"/>
        <v>85.134469237293104</v>
      </c>
      <c r="Q298">
        <f t="shared" ca="1" si="276"/>
        <v>87.395850890144715</v>
      </c>
      <c r="R298">
        <f t="shared" ca="1" si="277"/>
        <v>0</v>
      </c>
      <c r="S298">
        <f t="shared" ca="1" si="278"/>
        <v>0</v>
      </c>
    </row>
    <row r="299" spans="5:19" x14ac:dyDescent="0.75">
      <c r="E299">
        <v>294</v>
      </c>
      <c r="F299">
        <v>100</v>
      </c>
      <c r="G299">
        <f t="shared" ca="1" si="274"/>
        <v>101.01170890797302</v>
      </c>
      <c r="H299">
        <f t="shared" ca="1" si="274"/>
        <v>101.2554803291183</v>
      </c>
      <c r="I299">
        <f t="shared" ca="1" si="274"/>
        <v>99.709509462848956</v>
      </c>
      <c r="J299">
        <f t="shared" ca="1" si="274"/>
        <v>99.889759256186323</v>
      </c>
      <c r="K299">
        <f t="shared" ref="K299:P299" ca="1" si="314">J299*EXP(($C$4-0.5*$C$5^2)*$C$10+$C$5*SQRT($C$10)*NORMINV(RAND(),0,1))</f>
        <v>101.17839660824947</v>
      </c>
      <c r="L299">
        <f t="shared" ca="1" si="314"/>
        <v>103.61253756588532</v>
      </c>
      <c r="M299">
        <f t="shared" ca="1" si="314"/>
        <v>94.062752207056988</v>
      </c>
      <c r="N299">
        <f t="shared" ca="1" si="314"/>
        <v>84.576810781236745</v>
      </c>
      <c r="O299">
        <f t="shared" ca="1" si="314"/>
        <v>81.567537003978131</v>
      </c>
      <c r="P299">
        <f t="shared" ca="1" si="314"/>
        <v>88.27841099659959</v>
      </c>
      <c r="Q299">
        <f t="shared" ca="1" si="276"/>
        <v>95.922082101739349</v>
      </c>
      <c r="R299">
        <f t="shared" ca="1" si="277"/>
        <v>0</v>
      </c>
      <c r="S299">
        <f t="shared" ca="1" si="278"/>
        <v>0</v>
      </c>
    </row>
    <row r="300" spans="5:19" x14ac:dyDescent="0.75">
      <c r="E300">
        <v>295</v>
      </c>
      <c r="F300">
        <v>100</v>
      </c>
      <c r="G300">
        <f t="shared" ca="1" si="274"/>
        <v>102.48760583543837</v>
      </c>
      <c r="H300">
        <f t="shared" ca="1" si="274"/>
        <v>96.345011325767686</v>
      </c>
      <c r="I300">
        <f t="shared" ca="1" si="274"/>
        <v>100.67514471152857</v>
      </c>
      <c r="J300">
        <f t="shared" ca="1" si="274"/>
        <v>103.93336496851691</v>
      </c>
      <c r="K300">
        <f t="shared" ref="K300:P300" ca="1" si="315">J300*EXP(($C$4-0.5*$C$5^2)*$C$10+$C$5*SQRT($C$10)*NORMINV(RAND(),0,1))</f>
        <v>99.685495733502776</v>
      </c>
      <c r="L300">
        <f t="shared" ca="1" si="315"/>
        <v>99.397066102108568</v>
      </c>
      <c r="M300">
        <f t="shared" ca="1" si="315"/>
        <v>104.14227849547622</v>
      </c>
      <c r="N300">
        <f t="shared" ca="1" si="315"/>
        <v>106.9033739849113</v>
      </c>
      <c r="O300">
        <f t="shared" ca="1" si="315"/>
        <v>114.4443827867803</v>
      </c>
      <c r="P300">
        <f t="shared" ca="1" si="315"/>
        <v>104.97428653088357</v>
      </c>
      <c r="Q300">
        <f t="shared" ca="1" si="276"/>
        <v>102.99891004317405</v>
      </c>
      <c r="R300">
        <f t="shared" ca="1" si="277"/>
        <v>2.9989100431740496</v>
      </c>
      <c r="S300">
        <f t="shared" ca="1" si="278"/>
        <v>2.8526514744978626</v>
      </c>
    </row>
    <row r="301" spans="5:19" x14ac:dyDescent="0.75">
      <c r="E301">
        <v>296</v>
      </c>
      <c r="F301">
        <v>100</v>
      </c>
      <c r="G301">
        <f t="shared" ca="1" si="274"/>
        <v>109.89900032031615</v>
      </c>
      <c r="H301">
        <f t="shared" ca="1" si="274"/>
        <v>111.0477532295576</v>
      </c>
      <c r="I301">
        <f t="shared" ca="1" si="274"/>
        <v>113.13024884673921</v>
      </c>
      <c r="J301">
        <f t="shared" ca="1" si="274"/>
        <v>105.51459214320091</v>
      </c>
      <c r="K301">
        <f t="shared" ref="K301:P301" ca="1" si="316">J301*EXP(($C$4-0.5*$C$5^2)*$C$10+$C$5*SQRT($C$10)*NORMINV(RAND(),0,1))</f>
        <v>106.61189035850801</v>
      </c>
      <c r="L301">
        <f t="shared" ca="1" si="316"/>
        <v>109.03209250480033</v>
      </c>
      <c r="M301">
        <f t="shared" ca="1" si="316"/>
        <v>100.69194658717097</v>
      </c>
      <c r="N301">
        <f t="shared" ca="1" si="316"/>
        <v>102.57709348949334</v>
      </c>
      <c r="O301">
        <f t="shared" ca="1" si="316"/>
        <v>110.27454547877014</v>
      </c>
      <c r="P301">
        <f t="shared" ca="1" si="316"/>
        <v>117.14280110130017</v>
      </c>
      <c r="Q301">
        <f t="shared" ca="1" si="276"/>
        <v>107.81108764180516</v>
      </c>
      <c r="R301">
        <f t="shared" ca="1" si="277"/>
        <v>7.8110876418051589</v>
      </c>
      <c r="S301">
        <f t="shared" ca="1" si="278"/>
        <v>7.4301364022389604</v>
      </c>
    </row>
    <row r="302" spans="5:19" x14ac:dyDescent="0.75">
      <c r="E302">
        <v>297</v>
      </c>
      <c r="F302">
        <v>100</v>
      </c>
      <c r="G302">
        <f t="shared" ca="1" si="274"/>
        <v>97.667140601982979</v>
      </c>
      <c r="H302">
        <f t="shared" ca="1" si="274"/>
        <v>113.90232289610942</v>
      </c>
      <c r="I302">
        <f t="shared" ca="1" si="274"/>
        <v>108.80331344094624</v>
      </c>
      <c r="J302">
        <f t="shared" ca="1" si="274"/>
        <v>124.66292990797048</v>
      </c>
      <c r="K302">
        <f t="shared" ref="K302:P302" ca="1" si="317">J302*EXP(($C$4-0.5*$C$5^2)*$C$10+$C$5*SQRT($C$10)*NORMINV(RAND(),0,1))</f>
        <v>119.58765324955101</v>
      </c>
      <c r="L302">
        <f t="shared" ca="1" si="317"/>
        <v>129.24213599840076</v>
      </c>
      <c r="M302">
        <f t="shared" ca="1" si="317"/>
        <v>147.77507043546692</v>
      </c>
      <c r="N302">
        <f t="shared" ca="1" si="317"/>
        <v>150.14839264306764</v>
      </c>
      <c r="O302">
        <f t="shared" ca="1" si="317"/>
        <v>139.72487378251523</v>
      </c>
      <c r="P302">
        <f t="shared" ca="1" si="317"/>
        <v>141.73556828012332</v>
      </c>
      <c r="Q302">
        <f t="shared" ca="1" si="276"/>
        <v>124.84085465783036</v>
      </c>
      <c r="R302">
        <f t="shared" ca="1" si="277"/>
        <v>24.840854657830363</v>
      </c>
      <c r="S302">
        <f t="shared" ca="1" si="278"/>
        <v>23.629351880273859</v>
      </c>
    </row>
    <row r="303" spans="5:19" x14ac:dyDescent="0.75">
      <c r="E303">
        <v>298</v>
      </c>
      <c r="F303">
        <v>100</v>
      </c>
      <c r="G303">
        <f t="shared" ca="1" si="274"/>
        <v>100.47917731700176</v>
      </c>
      <c r="H303">
        <f t="shared" ca="1" si="274"/>
        <v>103.52022210324428</v>
      </c>
      <c r="I303">
        <f t="shared" ca="1" si="274"/>
        <v>97.943257073807658</v>
      </c>
      <c r="J303">
        <f t="shared" ca="1" si="274"/>
        <v>92.588564426798953</v>
      </c>
      <c r="K303">
        <f t="shared" ref="K303:P303" ca="1" si="318">J303*EXP(($C$4-0.5*$C$5^2)*$C$10+$C$5*SQRT($C$10)*NORMINV(RAND(),0,1))</f>
        <v>89.523851183500909</v>
      </c>
      <c r="L303">
        <f t="shared" ca="1" si="318"/>
        <v>97.649472207385159</v>
      </c>
      <c r="M303">
        <f t="shared" ca="1" si="318"/>
        <v>106.52883229572426</v>
      </c>
      <c r="N303">
        <f t="shared" ca="1" si="318"/>
        <v>113.96167368219125</v>
      </c>
      <c r="O303">
        <f t="shared" ca="1" si="318"/>
        <v>110.85318647264575</v>
      </c>
      <c r="P303">
        <f t="shared" ca="1" si="318"/>
        <v>97.995857661519381</v>
      </c>
      <c r="Q303">
        <f t="shared" ca="1" si="276"/>
        <v>101.00400858398358</v>
      </c>
      <c r="R303">
        <f t="shared" ca="1" si="277"/>
        <v>1.0040085839835768</v>
      </c>
      <c r="S303">
        <f t="shared" ca="1" si="278"/>
        <v>0.95504250753647457</v>
      </c>
    </row>
    <row r="304" spans="5:19" x14ac:dyDescent="0.75">
      <c r="E304">
        <v>299</v>
      </c>
      <c r="F304">
        <v>100</v>
      </c>
      <c r="G304">
        <f t="shared" ca="1" si="274"/>
        <v>98.616384391452542</v>
      </c>
      <c r="H304">
        <f t="shared" ca="1" si="274"/>
        <v>103.62036452568081</v>
      </c>
      <c r="I304">
        <f t="shared" ca="1" si="274"/>
        <v>101.62232981867768</v>
      </c>
      <c r="J304">
        <f t="shared" ca="1" si="274"/>
        <v>104.69542350666002</v>
      </c>
      <c r="K304">
        <f t="shared" ref="K304:P304" ca="1" si="319">J304*EXP(($C$4-0.5*$C$5^2)*$C$10+$C$5*SQRT($C$10)*NORMINV(RAND(),0,1))</f>
        <v>106.57932624572103</v>
      </c>
      <c r="L304">
        <f t="shared" ca="1" si="319"/>
        <v>98.443842104638833</v>
      </c>
      <c r="M304">
        <f t="shared" ca="1" si="319"/>
        <v>97.85997672274739</v>
      </c>
      <c r="N304">
        <f t="shared" ca="1" si="319"/>
        <v>89.7244878238821</v>
      </c>
      <c r="O304">
        <f t="shared" ca="1" si="319"/>
        <v>82.233921929088154</v>
      </c>
      <c r="P304">
        <f t="shared" ca="1" si="319"/>
        <v>82.108168707533338</v>
      </c>
      <c r="Q304">
        <f t="shared" ca="1" si="276"/>
        <v>96.864020525098354</v>
      </c>
      <c r="R304">
        <f t="shared" ca="1" si="277"/>
        <v>0</v>
      </c>
      <c r="S304">
        <f t="shared" ca="1" si="278"/>
        <v>0</v>
      </c>
    </row>
    <row r="305" spans="5:19" x14ac:dyDescent="0.75">
      <c r="E305">
        <v>300</v>
      </c>
      <c r="F305">
        <v>100</v>
      </c>
      <c r="G305">
        <f t="shared" ca="1" si="274"/>
        <v>95.045080865627398</v>
      </c>
      <c r="H305">
        <f t="shared" ca="1" si="274"/>
        <v>90.270496635092329</v>
      </c>
      <c r="I305">
        <f t="shared" ca="1" si="274"/>
        <v>86.375531646126959</v>
      </c>
      <c r="J305">
        <f t="shared" ca="1" si="274"/>
        <v>82.46495500280642</v>
      </c>
      <c r="K305">
        <f t="shared" ref="K305:P305" ca="1" si="320">J305*EXP(($C$4-0.5*$C$5^2)*$C$10+$C$5*SQRT($C$10)*NORMINV(RAND(),0,1))</f>
        <v>87.223592382006416</v>
      </c>
      <c r="L305">
        <f t="shared" ca="1" si="320"/>
        <v>80.48888737045975</v>
      </c>
      <c r="M305">
        <f t="shared" ca="1" si="320"/>
        <v>80.967967215222473</v>
      </c>
      <c r="N305">
        <f t="shared" ca="1" si="320"/>
        <v>82.415899036215407</v>
      </c>
      <c r="O305">
        <f t="shared" ca="1" si="320"/>
        <v>85.098786600252595</v>
      </c>
      <c r="P305">
        <f t="shared" ca="1" si="320"/>
        <v>77.729837072308086</v>
      </c>
      <c r="Q305">
        <f t="shared" ca="1" si="276"/>
        <v>86.189184893283439</v>
      </c>
      <c r="R305">
        <f t="shared" ca="1" si="277"/>
        <v>0</v>
      </c>
      <c r="S305">
        <f t="shared" ca="1" si="278"/>
        <v>0</v>
      </c>
    </row>
    <row r="306" spans="5:19" x14ac:dyDescent="0.75">
      <c r="E306">
        <v>301</v>
      </c>
      <c r="F306">
        <v>100</v>
      </c>
      <c r="G306">
        <f t="shared" ca="1" si="274"/>
        <v>94.938523951548945</v>
      </c>
      <c r="H306">
        <f t="shared" ca="1" si="274"/>
        <v>94.868097021975061</v>
      </c>
      <c r="I306">
        <f t="shared" ca="1" si="274"/>
        <v>93.16323273274736</v>
      </c>
      <c r="J306">
        <f t="shared" ca="1" si="274"/>
        <v>97.178737154538723</v>
      </c>
      <c r="K306">
        <f t="shared" ref="K306:P306" ca="1" si="321">J306*EXP(($C$4-0.5*$C$5^2)*$C$10+$C$5*SQRT($C$10)*NORMINV(RAND(),0,1))</f>
        <v>98.758721586361105</v>
      </c>
      <c r="L306">
        <f t="shared" ca="1" si="321"/>
        <v>111.10761651680751</v>
      </c>
      <c r="M306">
        <f t="shared" ca="1" si="321"/>
        <v>112.93468743824673</v>
      </c>
      <c r="N306">
        <f t="shared" ca="1" si="321"/>
        <v>118.94657493102341</v>
      </c>
      <c r="O306">
        <f t="shared" ca="1" si="321"/>
        <v>115.60887698691316</v>
      </c>
      <c r="P306">
        <f t="shared" ca="1" si="321"/>
        <v>115.84935699573099</v>
      </c>
      <c r="Q306">
        <f t="shared" ca="1" si="276"/>
        <v>104.85040230144482</v>
      </c>
      <c r="R306">
        <f t="shared" ca="1" si="277"/>
        <v>4.8504023014448165</v>
      </c>
      <c r="S306">
        <f t="shared" ca="1" si="278"/>
        <v>4.613845389800292</v>
      </c>
    </row>
    <row r="307" spans="5:19" x14ac:dyDescent="0.75">
      <c r="E307">
        <v>302</v>
      </c>
      <c r="F307">
        <v>100</v>
      </c>
      <c r="G307">
        <f t="shared" ca="1" si="274"/>
        <v>91.242940565544828</v>
      </c>
      <c r="H307">
        <f t="shared" ca="1" si="274"/>
        <v>89.136797708557566</v>
      </c>
      <c r="I307">
        <f t="shared" ca="1" si="274"/>
        <v>88.121504343761401</v>
      </c>
      <c r="J307">
        <f t="shared" ca="1" si="274"/>
        <v>88.786237413718965</v>
      </c>
      <c r="K307">
        <f t="shared" ref="K307:P307" ca="1" si="322">J307*EXP(($C$4-0.5*$C$5^2)*$C$10+$C$5*SQRT($C$10)*NORMINV(RAND(),0,1))</f>
        <v>80.159845538790577</v>
      </c>
      <c r="L307">
        <f t="shared" ca="1" si="322"/>
        <v>81.580983808477711</v>
      </c>
      <c r="M307">
        <f t="shared" ca="1" si="322"/>
        <v>91.245287388342717</v>
      </c>
      <c r="N307">
        <f t="shared" ca="1" si="322"/>
        <v>88.965842199605333</v>
      </c>
      <c r="O307">
        <f t="shared" ca="1" si="322"/>
        <v>87.180879295128008</v>
      </c>
      <c r="P307">
        <f t="shared" ca="1" si="322"/>
        <v>96.346100312093085</v>
      </c>
      <c r="Q307">
        <f t="shared" ca="1" si="276"/>
        <v>89.342401688547284</v>
      </c>
      <c r="R307">
        <f t="shared" ca="1" si="277"/>
        <v>0</v>
      </c>
      <c r="S307">
        <f t="shared" ca="1" si="278"/>
        <v>0</v>
      </c>
    </row>
    <row r="308" spans="5:19" x14ac:dyDescent="0.75">
      <c r="E308">
        <v>303</v>
      </c>
      <c r="F308">
        <v>100</v>
      </c>
      <c r="G308">
        <f t="shared" ca="1" si="274"/>
        <v>100.03119942110168</v>
      </c>
      <c r="H308">
        <f t="shared" ca="1" si="274"/>
        <v>107.43137617496738</v>
      </c>
      <c r="I308">
        <f t="shared" ca="1" si="274"/>
        <v>109.68645082736369</v>
      </c>
      <c r="J308">
        <f t="shared" ca="1" si="274"/>
        <v>121.18364049140757</v>
      </c>
      <c r="K308">
        <f t="shared" ref="K308:P308" ca="1" si="323">J308*EXP(($C$4-0.5*$C$5^2)*$C$10+$C$5*SQRT($C$10)*NORMINV(RAND(),0,1))</f>
        <v>128.14371805078841</v>
      </c>
      <c r="L308">
        <f t="shared" ca="1" si="323"/>
        <v>121.11167879315541</v>
      </c>
      <c r="M308">
        <f t="shared" ca="1" si="323"/>
        <v>128.58112644735192</v>
      </c>
      <c r="N308">
        <f t="shared" ca="1" si="323"/>
        <v>128.81040535395476</v>
      </c>
      <c r="O308">
        <f t="shared" ca="1" si="323"/>
        <v>122.82460807605464</v>
      </c>
      <c r="P308">
        <f t="shared" ca="1" si="323"/>
        <v>126.63143679180959</v>
      </c>
      <c r="Q308">
        <f t="shared" ca="1" si="276"/>
        <v>117.67596731163226</v>
      </c>
      <c r="R308">
        <f t="shared" ca="1" si="277"/>
        <v>17.675967311632263</v>
      </c>
      <c r="S308">
        <f t="shared" ca="1" si="278"/>
        <v>16.813900213337391</v>
      </c>
    </row>
    <row r="309" spans="5:19" x14ac:dyDescent="0.75">
      <c r="E309">
        <v>304</v>
      </c>
      <c r="F309">
        <v>100</v>
      </c>
      <c r="G309">
        <f t="shared" ca="1" si="274"/>
        <v>108.39549987187031</v>
      </c>
      <c r="H309">
        <f t="shared" ca="1" si="274"/>
        <v>105.53653628514681</v>
      </c>
      <c r="I309">
        <f t="shared" ca="1" si="274"/>
        <v>104.91940475723482</v>
      </c>
      <c r="J309">
        <f t="shared" ca="1" si="274"/>
        <v>106.82111495926523</v>
      </c>
      <c r="K309">
        <f t="shared" ref="K309:P309" ca="1" si="324">J309*EXP(($C$4-0.5*$C$5^2)*$C$10+$C$5*SQRT($C$10)*NORMINV(RAND(),0,1))</f>
        <v>112.44248295488325</v>
      </c>
      <c r="L309">
        <f t="shared" ca="1" si="324"/>
        <v>100.40264776224784</v>
      </c>
      <c r="M309">
        <f t="shared" ca="1" si="324"/>
        <v>97.112439086910655</v>
      </c>
      <c r="N309">
        <f t="shared" ca="1" si="324"/>
        <v>101.67229788384141</v>
      </c>
      <c r="O309">
        <f t="shared" ca="1" si="324"/>
        <v>102.32745023383978</v>
      </c>
      <c r="P309">
        <f t="shared" ca="1" si="324"/>
        <v>114.90870608236291</v>
      </c>
      <c r="Q309">
        <f t="shared" ca="1" si="276"/>
        <v>104.95805271614573</v>
      </c>
      <c r="R309">
        <f t="shared" ca="1" si="277"/>
        <v>4.9580527161457297</v>
      </c>
      <c r="S309">
        <f t="shared" ca="1" si="278"/>
        <v>4.7162456318235044</v>
      </c>
    </row>
    <row r="310" spans="5:19" x14ac:dyDescent="0.75">
      <c r="E310">
        <v>305</v>
      </c>
      <c r="F310">
        <v>100</v>
      </c>
      <c r="G310">
        <f t="shared" ca="1" si="274"/>
        <v>92.650793657351443</v>
      </c>
      <c r="H310">
        <f t="shared" ca="1" si="274"/>
        <v>100.32142431782964</v>
      </c>
      <c r="I310">
        <f t="shared" ca="1" si="274"/>
        <v>98.683400832199908</v>
      </c>
      <c r="J310">
        <f t="shared" ca="1" si="274"/>
        <v>103.13788040330546</v>
      </c>
      <c r="K310">
        <f t="shared" ref="K310:P310" ca="1" si="325">J310*EXP(($C$4-0.5*$C$5^2)*$C$10+$C$5*SQRT($C$10)*NORMINV(RAND(),0,1))</f>
        <v>112.44448241734996</v>
      </c>
      <c r="L310">
        <f t="shared" ca="1" si="325"/>
        <v>104.59170226507415</v>
      </c>
      <c r="M310">
        <f t="shared" ca="1" si="325"/>
        <v>104.52068446306487</v>
      </c>
      <c r="N310">
        <f t="shared" ca="1" si="325"/>
        <v>102.48332454509544</v>
      </c>
      <c r="O310">
        <f t="shared" ca="1" si="325"/>
        <v>98.933994005212668</v>
      </c>
      <c r="P310">
        <f t="shared" ca="1" si="325"/>
        <v>103.01658780703518</v>
      </c>
      <c r="Q310">
        <f t="shared" ca="1" si="276"/>
        <v>101.88947951941078</v>
      </c>
      <c r="R310">
        <f t="shared" ca="1" si="277"/>
        <v>1.8894795194107843</v>
      </c>
      <c r="S310">
        <f t="shared" ca="1" si="278"/>
        <v>1.7973285158550061</v>
      </c>
    </row>
    <row r="311" spans="5:19" x14ac:dyDescent="0.75">
      <c r="E311">
        <v>306</v>
      </c>
      <c r="F311">
        <v>100</v>
      </c>
      <c r="G311">
        <f t="shared" ca="1" si="274"/>
        <v>107.93807192377491</v>
      </c>
      <c r="H311">
        <f t="shared" ca="1" si="274"/>
        <v>101.07228607898556</v>
      </c>
      <c r="I311">
        <f t="shared" ca="1" si="274"/>
        <v>106.05119489108708</v>
      </c>
      <c r="J311">
        <f t="shared" ca="1" si="274"/>
        <v>104.04956333089132</v>
      </c>
      <c r="K311">
        <f t="shared" ref="K311:P311" ca="1" si="326">J311*EXP(($C$4-0.5*$C$5^2)*$C$10+$C$5*SQRT($C$10)*NORMINV(RAND(),0,1))</f>
        <v>102.78600480802569</v>
      </c>
      <c r="L311">
        <f t="shared" ca="1" si="326"/>
        <v>101.39183522157559</v>
      </c>
      <c r="M311">
        <f t="shared" ca="1" si="326"/>
        <v>97.209260646590792</v>
      </c>
      <c r="N311">
        <f t="shared" ca="1" si="326"/>
        <v>98.858767454709579</v>
      </c>
      <c r="O311">
        <f t="shared" ca="1" si="326"/>
        <v>99.199184209555625</v>
      </c>
      <c r="P311">
        <f t="shared" ca="1" si="326"/>
        <v>109.490111057169</v>
      </c>
      <c r="Q311">
        <f t="shared" ca="1" si="276"/>
        <v>102.54966178385138</v>
      </c>
      <c r="R311">
        <f t="shared" ca="1" si="277"/>
        <v>2.5496617838513771</v>
      </c>
      <c r="S311">
        <f t="shared" ca="1" si="278"/>
        <v>2.4253133113244094</v>
      </c>
    </row>
    <row r="312" spans="5:19" x14ac:dyDescent="0.75">
      <c r="E312">
        <v>307</v>
      </c>
      <c r="F312">
        <v>100</v>
      </c>
      <c r="G312">
        <f t="shared" ca="1" si="274"/>
        <v>95.633397757493739</v>
      </c>
      <c r="H312">
        <f t="shared" ca="1" si="274"/>
        <v>95.276768166065693</v>
      </c>
      <c r="I312">
        <f t="shared" ca="1" si="274"/>
        <v>95.616299841882622</v>
      </c>
      <c r="J312">
        <f t="shared" ca="1" si="274"/>
        <v>98.749682337249368</v>
      </c>
      <c r="K312">
        <f t="shared" ref="K312:P312" ca="1" si="327">J312*EXP(($C$4-0.5*$C$5^2)*$C$10+$C$5*SQRT($C$10)*NORMINV(RAND(),0,1))</f>
        <v>102.15038871239996</v>
      </c>
      <c r="L312">
        <f t="shared" ca="1" si="327"/>
        <v>102.91923777306368</v>
      </c>
      <c r="M312">
        <f t="shared" ca="1" si="327"/>
        <v>97.828452418901733</v>
      </c>
      <c r="N312">
        <f t="shared" ca="1" si="327"/>
        <v>101.97896085500058</v>
      </c>
      <c r="O312">
        <f t="shared" ca="1" si="327"/>
        <v>106.82098453608108</v>
      </c>
      <c r="P312">
        <f t="shared" ca="1" si="327"/>
        <v>102.2846008479471</v>
      </c>
      <c r="Q312">
        <f t="shared" ca="1" si="276"/>
        <v>99.932615749644143</v>
      </c>
      <c r="R312">
        <f t="shared" ca="1" si="277"/>
        <v>0</v>
      </c>
      <c r="S312">
        <f t="shared" ca="1" si="278"/>
        <v>0</v>
      </c>
    </row>
    <row r="313" spans="5:19" x14ac:dyDescent="0.75">
      <c r="E313">
        <v>308</v>
      </c>
      <c r="F313">
        <v>100</v>
      </c>
      <c r="G313">
        <f t="shared" ca="1" si="274"/>
        <v>93.721705479699793</v>
      </c>
      <c r="H313">
        <f t="shared" ca="1" si="274"/>
        <v>85.238558117369564</v>
      </c>
      <c r="I313">
        <f t="shared" ca="1" si="274"/>
        <v>84.348575215823871</v>
      </c>
      <c r="J313">
        <f t="shared" ca="1" si="274"/>
        <v>80.54381429348777</v>
      </c>
      <c r="K313">
        <f t="shared" ref="K313:P313" ca="1" si="328">J313*EXP(($C$4-0.5*$C$5^2)*$C$10+$C$5*SQRT($C$10)*NORMINV(RAND(),0,1))</f>
        <v>74.883564503822711</v>
      </c>
      <c r="L313">
        <f t="shared" ca="1" si="328"/>
        <v>73.259987708367959</v>
      </c>
      <c r="M313">
        <f t="shared" ca="1" si="328"/>
        <v>66.292905629739479</v>
      </c>
      <c r="N313">
        <f t="shared" ca="1" si="328"/>
        <v>72.735748221414838</v>
      </c>
      <c r="O313">
        <f t="shared" ca="1" si="328"/>
        <v>66.388460315508368</v>
      </c>
      <c r="P313">
        <f t="shared" ca="1" si="328"/>
        <v>65.278339070566716</v>
      </c>
      <c r="Q313">
        <f t="shared" ca="1" si="276"/>
        <v>78.426514414163748</v>
      </c>
      <c r="R313">
        <f t="shared" ca="1" si="277"/>
        <v>0</v>
      </c>
      <c r="S313">
        <f t="shared" ca="1" si="278"/>
        <v>0</v>
      </c>
    </row>
    <row r="314" spans="5:19" x14ac:dyDescent="0.75">
      <c r="E314">
        <v>309</v>
      </c>
      <c r="F314">
        <v>100</v>
      </c>
      <c r="G314">
        <f t="shared" ca="1" si="274"/>
        <v>96.671534403597462</v>
      </c>
      <c r="H314">
        <f t="shared" ca="1" si="274"/>
        <v>100.29414482913019</v>
      </c>
      <c r="I314">
        <f t="shared" ca="1" si="274"/>
        <v>96.743804072293358</v>
      </c>
      <c r="J314">
        <f t="shared" ca="1" si="274"/>
        <v>95.160783228381092</v>
      </c>
      <c r="K314">
        <f t="shared" ref="K314:P314" ca="1" si="329">J314*EXP(($C$4-0.5*$C$5^2)*$C$10+$C$5*SQRT($C$10)*NORMINV(RAND(),0,1))</f>
        <v>97.338957497754436</v>
      </c>
      <c r="L314">
        <f t="shared" ca="1" si="329"/>
        <v>100.69882858728739</v>
      </c>
      <c r="M314">
        <f t="shared" ca="1" si="329"/>
        <v>95.595403246154149</v>
      </c>
      <c r="N314">
        <f t="shared" ca="1" si="329"/>
        <v>100.46106673061331</v>
      </c>
      <c r="O314">
        <f t="shared" ca="1" si="329"/>
        <v>101.90775179132467</v>
      </c>
      <c r="P314">
        <f t="shared" ca="1" si="329"/>
        <v>103.43199646185607</v>
      </c>
      <c r="Q314">
        <f t="shared" ca="1" si="276"/>
        <v>98.936751895308362</v>
      </c>
      <c r="R314">
        <f t="shared" ca="1" si="277"/>
        <v>0</v>
      </c>
      <c r="S314">
        <f t="shared" ca="1" si="278"/>
        <v>0</v>
      </c>
    </row>
    <row r="315" spans="5:19" x14ac:dyDescent="0.75">
      <c r="E315">
        <v>310</v>
      </c>
      <c r="F315">
        <v>100</v>
      </c>
      <c r="G315">
        <f t="shared" ca="1" si="274"/>
        <v>103.56386131863889</v>
      </c>
      <c r="H315">
        <f t="shared" ca="1" si="274"/>
        <v>100.21645731223632</v>
      </c>
      <c r="I315">
        <f t="shared" ca="1" si="274"/>
        <v>105.55776327482528</v>
      </c>
      <c r="J315">
        <f t="shared" ca="1" si="274"/>
        <v>101.21101444044965</v>
      </c>
      <c r="K315">
        <f t="shared" ref="K315:P315" ca="1" si="330">J315*EXP(($C$4-0.5*$C$5^2)*$C$10+$C$5*SQRT($C$10)*NORMINV(RAND(),0,1))</f>
        <v>110.56576308797382</v>
      </c>
      <c r="L315">
        <f t="shared" ca="1" si="330"/>
        <v>116.34532325417398</v>
      </c>
      <c r="M315">
        <f t="shared" ca="1" si="330"/>
        <v>117.32021649400988</v>
      </c>
      <c r="N315">
        <f t="shared" ca="1" si="330"/>
        <v>128.52071879239449</v>
      </c>
      <c r="O315">
        <f t="shared" ca="1" si="330"/>
        <v>124.18917730624699</v>
      </c>
      <c r="P315">
        <f t="shared" ca="1" si="330"/>
        <v>121.16914312424717</v>
      </c>
      <c r="Q315">
        <f t="shared" ca="1" si="276"/>
        <v>111.69631258229059</v>
      </c>
      <c r="R315">
        <f t="shared" ca="1" si="277"/>
        <v>11.696312582290588</v>
      </c>
      <c r="S315">
        <f t="shared" ca="1" si="278"/>
        <v>11.125876686432736</v>
      </c>
    </row>
    <row r="316" spans="5:19" x14ac:dyDescent="0.75">
      <c r="E316">
        <v>311</v>
      </c>
      <c r="F316">
        <v>100</v>
      </c>
      <c r="G316">
        <f t="shared" ca="1" si="274"/>
        <v>101.68014158056964</v>
      </c>
      <c r="H316">
        <f t="shared" ca="1" si="274"/>
        <v>94.002558409909199</v>
      </c>
      <c r="I316">
        <f t="shared" ca="1" si="274"/>
        <v>100.00596820285938</v>
      </c>
      <c r="J316">
        <f t="shared" ca="1" si="274"/>
        <v>107.38578182456722</v>
      </c>
      <c r="K316">
        <f t="shared" ref="K316:P316" ca="1" si="331">J316*EXP(($C$4-0.5*$C$5^2)*$C$10+$C$5*SQRT($C$10)*NORMINV(RAND(),0,1))</f>
        <v>115.02846862048835</v>
      </c>
      <c r="L316">
        <f t="shared" ca="1" si="331"/>
        <v>115.61658125391261</v>
      </c>
      <c r="M316">
        <f t="shared" ca="1" si="331"/>
        <v>108.26986799671496</v>
      </c>
      <c r="N316">
        <f t="shared" ca="1" si="331"/>
        <v>122.99336402105112</v>
      </c>
      <c r="O316">
        <f t="shared" ca="1" si="331"/>
        <v>135.47931564107486</v>
      </c>
      <c r="P316">
        <f t="shared" ca="1" si="331"/>
        <v>134.32438522387824</v>
      </c>
      <c r="Q316">
        <f t="shared" ca="1" si="276"/>
        <v>112.25331207045684</v>
      </c>
      <c r="R316">
        <f t="shared" ca="1" si="277"/>
        <v>12.253312070456843</v>
      </c>
      <c r="S316">
        <f t="shared" ca="1" si="278"/>
        <v>11.655710989008316</v>
      </c>
    </row>
    <row r="317" spans="5:19" x14ac:dyDescent="0.75">
      <c r="E317">
        <v>312</v>
      </c>
      <c r="F317">
        <v>100</v>
      </c>
      <c r="G317">
        <f t="shared" ca="1" si="274"/>
        <v>100.32845803310961</v>
      </c>
      <c r="H317">
        <f t="shared" ca="1" si="274"/>
        <v>91.432385626727665</v>
      </c>
      <c r="I317">
        <f t="shared" ca="1" si="274"/>
        <v>88.737556744716954</v>
      </c>
      <c r="J317">
        <f t="shared" ca="1" si="274"/>
        <v>99.803540832781408</v>
      </c>
      <c r="K317">
        <f t="shared" ref="K317:P317" ca="1" si="332">J317*EXP(($C$4-0.5*$C$5^2)*$C$10+$C$5*SQRT($C$10)*NORMINV(RAND(),0,1))</f>
        <v>108.10816124666893</v>
      </c>
      <c r="L317">
        <f t="shared" ca="1" si="332"/>
        <v>103.6285307062811</v>
      </c>
      <c r="M317">
        <f t="shared" ca="1" si="332"/>
        <v>99.349898854479846</v>
      </c>
      <c r="N317">
        <f t="shared" ca="1" si="332"/>
        <v>97.606437215947125</v>
      </c>
      <c r="O317">
        <f t="shared" ca="1" si="332"/>
        <v>95.041462742108109</v>
      </c>
      <c r="P317">
        <f t="shared" ca="1" si="332"/>
        <v>93.599120739469754</v>
      </c>
      <c r="Q317">
        <f t="shared" ca="1" si="276"/>
        <v>97.966868431117334</v>
      </c>
      <c r="R317">
        <f t="shared" ca="1" si="277"/>
        <v>0</v>
      </c>
      <c r="S317">
        <f t="shared" ca="1" si="278"/>
        <v>0</v>
      </c>
    </row>
    <row r="318" spans="5:19" x14ac:dyDescent="0.75">
      <c r="E318">
        <v>313</v>
      </c>
      <c r="F318">
        <v>100</v>
      </c>
      <c r="G318">
        <f t="shared" ca="1" si="274"/>
        <v>98.640707772162131</v>
      </c>
      <c r="H318">
        <f t="shared" ca="1" si="274"/>
        <v>94.813758900819735</v>
      </c>
      <c r="I318">
        <f t="shared" ca="1" si="274"/>
        <v>97.942564532462512</v>
      </c>
      <c r="J318">
        <f t="shared" ca="1" si="274"/>
        <v>91.661541332173442</v>
      </c>
      <c r="K318">
        <f t="shared" ref="K318:P318" ca="1" si="333">J318*EXP(($C$4-0.5*$C$5^2)*$C$10+$C$5*SQRT($C$10)*NORMINV(RAND(),0,1))</f>
        <v>86.693652327618025</v>
      </c>
      <c r="L318">
        <f t="shared" ca="1" si="333"/>
        <v>93.447531039459051</v>
      </c>
      <c r="M318">
        <f t="shared" ca="1" si="333"/>
        <v>88.023674206731826</v>
      </c>
      <c r="N318">
        <f t="shared" ca="1" si="333"/>
        <v>80.928217963153301</v>
      </c>
      <c r="O318">
        <f t="shared" ca="1" si="333"/>
        <v>73.440579498679668</v>
      </c>
      <c r="P318">
        <f t="shared" ca="1" si="333"/>
        <v>73.344269680665377</v>
      </c>
      <c r="Q318">
        <f t="shared" ca="1" si="276"/>
        <v>88.994227023084079</v>
      </c>
      <c r="R318">
        <f t="shared" ca="1" si="277"/>
        <v>0</v>
      </c>
      <c r="S318">
        <f t="shared" ca="1" si="278"/>
        <v>0</v>
      </c>
    </row>
    <row r="319" spans="5:19" x14ac:dyDescent="0.75">
      <c r="E319">
        <v>314</v>
      </c>
      <c r="F319">
        <v>100</v>
      </c>
      <c r="G319">
        <f t="shared" ca="1" si="274"/>
        <v>107.13655111616411</v>
      </c>
      <c r="H319">
        <f t="shared" ca="1" si="274"/>
        <v>108.56472465517837</v>
      </c>
      <c r="I319">
        <f t="shared" ca="1" si="274"/>
        <v>101.79292344033</v>
      </c>
      <c r="J319">
        <f t="shared" ca="1" si="274"/>
        <v>94.333322055674728</v>
      </c>
      <c r="K319">
        <f t="shared" ref="K319:P319" ca="1" si="334">J319*EXP(($C$4-0.5*$C$5^2)*$C$10+$C$5*SQRT($C$10)*NORMINV(RAND(),0,1))</f>
        <v>102.94862274707685</v>
      </c>
      <c r="L319">
        <f t="shared" ca="1" si="334"/>
        <v>107.10570823793142</v>
      </c>
      <c r="M319">
        <f t="shared" ca="1" si="334"/>
        <v>99.869154361896108</v>
      </c>
      <c r="N319">
        <f t="shared" ca="1" si="334"/>
        <v>96.923180273225199</v>
      </c>
      <c r="O319">
        <f t="shared" ca="1" si="334"/>
        <v>95.940073895210716</v>
      </c>
      <c r="P319">
        <f t="shared" ca="1" si="334"/>
        <v>91.864916134202559</v>
      </c>
      <c r="Q319">
        <f t="shared" ca="1" si="276"/>
        <v>100.58901608335364</v>
      </c>
      <c r="R319">
        <f t="shared" ca="1" si="277"/>
        <v>0.58901608335364131</v>
      </c>
      <c r="S319">
        <f t="shared" ca="1" si="278"/>
        <v>0.56028942999014886</v>
      </c>
    </row>
    <row r="320" spans="5:19" x14ac:dyDescent="0.75">
      <c r="E320">
        <v>315</v>
      </c>
      <c r="F320">
        <v>100</v>
      </c>
      <c r="G320">
        <f t="shared" ca="1" si="274"/>
        <v>96.544686563995569</v>
      </c>
      <c r="H320">
        <f t="shared" ca="1" si="274"/>
        <v>97.771959365494311</v>
      </c>
      <c r="I320">
        <f t="shared" ca="1" si="274"/>
        <v>100.05048709545521</v>
      </c>
      <c r="J320">
        <f t="shared" ca="1" si="274"/>
        <v>106.32997254941922</v>
      </c>
      <c r="K320">
        <f t="shared" ref="K320:P320" ca="1" si="335">J320*EXP(($C$4-0.5*$C$5^2)*$C$10+$C$5*SQRT($C$10)*NORMINV(RAND(),0,1))</f>
        <v>122.64960389489804</v>
      </c>
      <c r="L320">
        <f t="shared" ca="1" si="335"/>
        <v>119.25070848041256</v>
      </c>
      <c r="M320">
        <f t="shared" ca="1" si="335"/>
        <v>117.91606293031634</v>
      </c>
      <c r="N320">
        <f t="shared" ca="1" si="335"/>
        <v>127.37850705302236</v>
      </c>
      <c r="O320">
        <f t="shared" ca="1" si="335"/>
        <v>133.46164821424253</v>
      </c>
      <c r="P320">
        <f t="shared" ca="1" si="335"/>
        <v>131.96592403270321</v>
      </c>
      <c r="Q320">
        <f t="shared" ca="1" si="276"/>
        <v>113.93814183454175</v>
      </c>
      <c r="R320">
        <f t="shared" ca="1" si="277"/>
        <v>13.938141834541753</v>
      </c>
      <c r="S320">
        <f t="shared" ca="1" si="278"/>
        <v>13.258370635880478</v>
      </c>
    </row>
    <row r="321" spans="5:19" x14ac:dyDescent="0.75">
      <c r="E321">
        <v>316</v>
      </c>
      <c r="F321">
        <v>100</v>
      </c>
      <c r="G321">
        <f t="shared" ca="1" si="274"/>
        <v>105.17982499620689</v>
      </c>
      <c r="H321">
        <f t="shared" ca="1" si="274"/>
        <v>104.20146954123122</v>
      </c>
      <c r="I321">
        <f t="shared" ca="1" si="274"/>
        <v>105.18016014062079</v>
      </c>
      <c r="J321">
        <f t="shared" ca="1" si="274"/>
        <v>100.18516979409743</v>
      </c>
      <c r="K321">
        <f t="shared" ref="K321:P321" ca="1" si="336">J321*EXP(($C$4-0.5*$C$5^2)*$C$10+$C$5*SQRT($C$10)*NORMINV(RAND(),0,1))</f>
        <v>100.52781315608051</v>
      </c>
      <c r="L321">
        <f t="shared" ca="1" si="336"/>
        <v>110.21504821944164</v>
      </c>
      <c r="M321">
        <f t="shared" ca="1" si="336"/>
        <v>107.92629400889236</v>
      </c>
      <c r="N321">
        <f t="shared" ca="1" si="336"/>
        <v>109.63815024237029</v>
      </c>
      <c r="O321">
        <f t="shared" ca="1" si="336"/>
        <v>108.44014631529895</v>
      </c>
      <c r="P321">
        <f t="shared" ca="1" si="336"/>
        <v>109.77814616437705</v>
      </c>
      <c r="Q321">
        <f t="shared" ca="1" si="276"/>
        <v>105.57020205260154</v>
      </c>
      <c r="R321">
        <f t="shared" ca="1" si="277"/>
        <v>5.5702020526015446</v>
      </c>
      <c r="S321">
        <f t="shared" ca="1" si="278"/>
        <v>5.2985400928488628</v>
      </c>
    </row>
    <row r="322" spans="5:19" x14ac:dyDescent="0.75">
      <c r="E322">
        <v>317</v>
      </c>
      <c r="F322">
        <v>100</v>
      </c>
      <c r="G322">
        <f t="shared" ca="1" si="274"/>
        <v>101.74882096257316</v>
      </c>
      <c r="H322">
        <f t="shared" ca="1" si="274"/>
        <v>97.681621134563102</v>
      </c>
      <c r="I322">
        <f t="shared" ca="1" si="274"/>
        <v>98.439133742576246</v>
      </c>
      <c r="J322">
        <f t="shared" ca="1" si="274"/>
        <v>102.15370503229531</v>
      </c>
      <c r="K322">
        <f t="shared" ref="K322:P322" ca="1" si="337">J322*EXP(($C$4-0.5*$C$5^2)*$C$10+$C$5*SQRT($C$10)*NORMINV(RAND(),0,1))</f>
        <v>96.836291914095639</v>
      </c>
      <c r="L322">
        <f t="shared" ca="1" si="337"/>
        <v>96.536874403120066</v>
      </c>
      <c r="M322">
        <f t="shared" ca="1" si="337"/>
        <v>104.83166540008064</v>
      </c>
      <c r="N322">
        <f t="shared" ca="1" si="337"/>
        <v>99.977839168039225</v>
      </c>
      <c r="O322">
        <f t="shared" ca="1" si="337"/>
        <v>102.93129878092229</v>
      </c>
      <c r="P322">
        <f t="shared" ca="1" si="337"/>
        <v>89.431830640063581</v>
      </c>
      <c r="Q322">
        <f t="shared" ca="1" si="276"/>
        <v>99.142643743484484</v>
      </c>
      <c r="R322">
        <f t="shared" ca="1" si="277"/>
        <v>0</v>
      </c>
      <c r="S322">
        <f t="shared" ca="1" si="278"/>
        <v>0</v>
      </c>
    </row>
    <row r="323" spans="5:19" x14ac:dyDescent="0.75">
      <c r="E323">
        <v>318</v>
      </c>
      <c r="F323">
        <v>100</v>
      </c>
      <c r="G323">
        <f t="shared" ca="1" si="274"/>
        <v>98.553780525499718</v>
      </c>
      <c r="H323">
        <f t="shared" ca="1" si="274"/>
        <v>101.87621770628664</v>
      </c>
      <c r="I323">
        <f t="shared" ca="1" si="274"/>
        <v>100.12059951521992</v>
      </c>
      <c r="J323">
        <f t="shared" ca="1" si="274"/>
        <v>98.877656628590373</v>
      </c>
      <c r="K323">
        <f t="shared" ref="K323:P323" ca="1" si="338">J323*EXP(($C$4-0.5*$C$5^2)*$C$10+$C$5*SQRT($C$10)*NORMINV(RAND(),0,1))</f>
        <v>105.65424960080712</v>
      </c>
      <c r="L323">
        <f t="shared" ca="1" si="338"/>
        <v>91.553144846834257</v>
      </c>
      <c r="M323">
        <f t="shared" ca="1" si="338"/>
        <v>86.2853935722583</v>
      </c>
      <c r="N323">
        <f t="shared" ca="1" si="338"/>
        <v>92.295904503751984</v>
      </c>
      <c r="O323">
        <f t="shared" ca="1" si="338"/>
        <v>87.081964883687533</v>
      </c>
      <c r="P323">
        <f t="shared" ca="1" si="338"/>
        <v>84.375830233276247</v>
      </c>
      <c r="Q323">
        <f t="shared" ca="1" si="276"/>
        <v>95.152249274201097</v>
      </c>
      <c r="R323">
        <f t="shared" ca="1" si="277"/>
        <v>0</v>
      </c>
      <c r="S323">
        <f t="shared" ca="1" si="278"/>
        <v>0</v>
      </c>
    </row>
    <row r="324" spans="5:19" x14ac:dyDescent="0.75">
      <c r="E324">
        <v>319</v>
      </c>
      <c r="F324">
        <v>100</v>
      </c>
      <c r="G324">
        <f t="shared" ca="1" si="274"/>
        <v>106.19759677702369</v>
      </c>
      <c r="H324">
        <f t="shared" ca="1" si="274"/>
        <v>113.44565915583064</v>
      </c>
      <c r="I324">
        <f t="shared" ca="1" si="274"/>
        <v>113.47919777093645</v>
      </c>
      <c r="J324">
        <f t="shared" ca="1" si="274"/>
        <v>113.75400738466045</v>
      </c>
      <c r="K324">
        <f t="shared" ref="K324:P324" ca="1" si="339">J324*EXP(($C$4-0.5*$C$5^2)*$C$10+$C$5*SQRT($C$10)*NORMINV(RAND(),0,1))</f>
        <v>120.02111211305424</v>
      </c>
      <c r="L324">
        <f t="shared" ca="1" si="339"/>
        <v>130.10909530920623</v>
      </c>
      <c r="M324">
        <f t="shared" ca="1" si="339"/>
        <v>128.08316955376787</v>
      </c>
      <c r="N324">
        <f t="shared" ca="1" si="339"/>
        <v>124.83893602986264</v>
      </c>
      <c r="O324">
        <f t="shared" ca="1" si="339"/>
        <v>121.77450515207273</v>
      </c>
      <c r="P324">
        <f t="shared" ca="1" si="339"/>
        <v>116.56442562197488</v>
      </c>
      <c r="Q324">
        <f t="shared" ca="1" si="276"/>
        <v>117.11524589712636</v>
      </c>
      <c r="R324">
        <f t="shared" ca="1" si="277"/>
        <v>17.115245897126357</v>
      </c>
      <c r="S324">
        <f t="shared" ca="1" si="278"/>
        <v>16.280525504911711</v>
      </c>
    </row>
    <row r="325" spans="5:19" x14ac:dyDescent="0.75">
      <c r="E325">
        <v>320</v>
      </c>
      <c r="F325">
        <v>100</v>
      </c>
      <c r="G325">
        <f t="shared" ca="1" si="274"/>
        <v>99.422126219096313</v>
      </c>
      <c r="H325">
        <f t="shared" ca="1" si="274"/>
        <v>92.346661475211093</v>
      </c>
      <c r="I325">
        <f t="shared" ca="1" si="274"/>
        <v>109.70274403593942</v>
      </c>
      <c r="J325">
        <f t="shared" ca="1" si="274"/>
        <v>106.20395047031749</v>
      </c>
      <c r="K325">
        <f t="shared" ref="K325:P325" ca="1" si="340">J325*EXP(($C$4-0.5*$C$5^2)*$C$10+$C$5*SQRT($C$10)*NORMINV(RAND(),0,1))</f>
        <v>108.68515845683039</v>
      </c>
      <c r="L325">
        <f t="shared" ca="1" si="340"/>
        <v>97.041111239398617</v>
      </c>
      <c r="M325">
        <f t="shared" ca="1" si="340"/>
        <v>107.84156898497535</v>
      </c>
      <c r="N325">
        <f t="shared" ca="1" si="340"/>
        <v>104.48522547357787</v>
      </c>
      <c r="O325">
        <f t="shared" ca="1" si="340"/>
        <v>103.60391145385849</v>
      </c>
      <c r="P325">
        <f t="shared" ca="1" si="340"/>
        <v>109.70151797772398</v>
      </c>
      <c r="Q325">
        <f t="shared" ca="1" si="276"/>
        <v>103.54854325335718</v>
      </c>
      <c r="R325">
        <f t="shared" ca="1" si="277"/>
        <v>3.548543253357181</v>
      </c>
      <c r="S325">
        <f t="shared" ca="1" si="278"/>
        <v>3.3754787567068427</v>
      </c>
    </row>
    <row r="326" spans="5:19" x14ac:dyDescent="0.75">
      <c r="E326">
        <v>321</v>
      </c>
      <c r="F326">
        <v>100</v>
      </c>
      <c r="G326">
        <f t="shared" ca="1" si="274"/>
        <v>108.28642053078832</v>
      </c>
      <c r="H326">
        <f t="shared" ca="1" si="274"/>
        <v>113.23332337939574</v>
      </c>
      <c r="I326">
        <f t="shared" ca="1" si="274"/>
        <v>114.06899096892727</v>
      </c>
      <c r="J326">
        <f t="shared" ref="J326:P326" ca="1" si="341">I326*EXP(($C$4-0.5*$C$5^2)*$C$10+$C$5*SQRT($C$10)*NORMINV(RAND(),0,1))</f>
        <v>121.26985383624942</v>
      </c>
      <c r="K326">
        <f t="shared" ca="1" si="341"/>
        <v>121.92959548639907</v>
      </c>
      <c r="L326">
        <f t="shared" ca="1" si="341"/>
        <v>121.76406676839093</v>
      </c>
      <c r="M326">
        <f t="shared" ca="1" si="341"/>
        <v>140.74342450351367</v>
      </c>
      <c r="N326">
        <f t="shared" ca="1" si="341"/>
        <v>135.15643828271976</v>
      </c>
      <c r="O326">
        <f t="shared" ca="1" si="341"/>
        <v>132.03292478819984</v>
      </c>
      <c r="P326">
        <f t="shared" ca="1" si="341"/>
        <v>127.9797970670671</v>
      </c>
      <c r="Q326">
        <f t="shared" ca="1" si="276"/>
        <v>121.49680323742281</v>
      </c>
      <c r="R326">
        <f t="shared" ca="1" si="277"/>
        <v>21.49680323742281</v>
      </c>
      <c r="S326">
        <f t="shared" ca="1" si="278"/>
        <v>20.448391772138784</v>
      </c>
    </row>
    <row r="327" spans="5:19" x14ac:dyDescent="0.75">
      <c r="E327">
        <v>322</v>
      </c>
      <c r="F327">
        <v>100</v>
      </c>
      <c r="G327">
        <f t="shared" ref="G327:J390" ca="1" si="342">F327*EXP(($C$4-0.5*$C$5^2)*$C$10+$C$5*SQRT($C$10)*NORMINV(RAND(),0,1))</f>
        <v>101.15527064283614</v>
      </c>
      <c r="H327">
        <f t="shared" ca="1" si="342"/>
        <v>91.982209495191015</v>
      </c>
      <c r="I327">
        <f t="shared" ca="1" si="342"/>
        <v>86.862135852908096</v>
      </c>
      <c r="J327">
        <f t="shared" ca="1" si="342"/>
        <v>86.207929875013775</v>
      </c>
      <c r="K327">
        <f t="shared" ref="K327:P327" ca="1" si="343">J327*EXP(($C$4-0.5*$C$5^2)*$C$10+$C$5*SQRT($C$10)*NORMINV(RAND(),0,1))</f>
        <v>88.532963021925937</v>
      </c>
      <c r="L327">
        <f t="shared" ca="1" si="343"/>
        <v>87.244030354253127</v>
      </c>
      <c r="M327">
        <f t="shared" ca="1" si="343"/>
        <v>87.069230188588378</v>
      </c>
      <c r="N327">
        <f t="shared" ca="1" si="343"/>
        <v>89.479084819828131</v>
      </c>
      <c r="O327">
        <f t="shared" ca="1" si="343"/>
        <v>87.103314368768821</v>
      </c>
      <c r="P327">
        <f t="shared" ca="1" si="343"/>
        <v>83.915400169942046</v>
      </c>
      <c r="Q327">
        <f t="shared" ref="Q327:Q390" ca="1" si="344">AVERAGE(F327:P327)</f>
        <v>89.959233526295947</v>
      </c>
      <c r="R327">
        <f t="shared" ref="R327:R390" ca="1" si="345">MAX(Q327-$C$7,0)</f>
        <v>0</v>
      </c>
      <c r="S327">
        <f t="shared" ref="S327:S390" ca="1" si="346">EXP(-$C$4*$C$6)*R327</f>
        <v>0</v>
      </c>
    </row>
    <row r="328" spans="5:19" x14ac:dyDescent="0.75">
      <c r="E328">
        <v>323</v>
      </c>
      <c r="F328">
        <v>100</v>
      </c>
      <c r="G328">
        <f t="shared" ca="1" si="342"/>
        <v>107.69421700027671</v>
      </c>
      <c r="H328">
        <f t="shared" ca="1" si="342"/>
        <v>115.02145589108659</v>
      </c>
      <c r="I328">
        <f t="shared" ca="1" si="342"/>
        <v>118.96095930043442</v>
      </c>
      <c r="J328">
        <f t="shared" ca="1" si="342"/>
        <v>113.83066908727756</v>
      </c>
      <c r="K328">
        <f t="shared" ref="K328:P328" ca="1" si="347">J328*EXP(($C$4-0.5*$C$5^2)*$C$10+$C$5*SQRT($C$10)*NORMINV(RAND(),0,1))</f>
        <v>109.98562900982242</v>
      </c>
      <c r="L328">
        <f t="shared" ca="1" si="347"/>
        <v>120.83165959395306</v>
      </c>
      <c r="M328">
        <f t="shared" ca="1" si="347"/>
        <v>123.57794568563862</v>
      </c>
      <c r="N328">
        <f t="shared" ca="1" si="347"/>
        <v>117.99557186837059</v>
      </c>
      <c r="O328">
        <f t="shared" ca="1" si="347"/>
        <v>122.03212964732128</v>
      </c>
      <c r="P328">
        <f t="shared" ca="1" si="347"/>
        <v>116.43674008334698</v>
      </c>
      <c r="Q328">
        <f t="shared" ca="1" si="344"/>
        <v>115.12427065159346</v>
      </c>
      <c r="R328">
        <f t="shared" ca="1" si="345"/>
        <v>15.124270651593463</v>
      </c>
      <c r="S328">
        <f t="shared" ca="1" si="346"/>
        <v>14.386651267908288</v>
      </c>
    </row>
    <row r="329" spans="5:19" x14ac:dyDescent="0.75">
      <c r="E329">
        <v>324</v>
      </c>
      <c r="F329">
        <v>100</v>
      </c>
      <c r="G329">
        <f t="shared" ca="1" si="342"/>
        <v>104.82016757063791</v>
      </c>
      <c r="H329">
        <f t="shared" ca="1" si="342"/>
        <v>93.913138497306321</v>
      </c>
      <c r="I329">
        <f t="shared" ca="1" si="342"/>
        <v>97.401313647069443</v>
      </c>
      <c r="J329">
        <f t="shared" ca="1" si="342"/>
        <v>100.96501613264647</v>
      </c>
      <c r="K329">
        <f t="shared" ref="K329:P329" ca="1" si="348">J329*EXP(($C$4-0.5*$C$5^2)*$C$10+$C$5*SQRT($C$10)*NORMINV(RAND(),0,1))</f>
        <v>106.20808116183134</v>
      </c>
      <c r="L329">
        <f t="shared" ca="1" si="348"/>
        <v>110.07363158843803</v>
      </c>
      <c r="M329">
        <f t="shared" ca="1" si="348"/>
        <v>112.54715318072292</v>
      </c>
      <c r="N329">
        <f t="shared" ca="1" si="348"/>
        <v>134.05042855733674</v>
      </c>
      <c r="O329">
        <f t="shared" ca="1" si="348"/>
        <v>127.8881177548102</v>
      </c>
      <c r="P329">
        <f t="shared" ca="1" si="348"/>
        <v>119.42136957344515</v>
      </c>
      <c r="Q329">
        <f t="shared" ca="1" si="344"/>
        <v>109.75349251493134</v>
      </c>
      <c r="R329">
        <f t="shared" ca="1" si="345"/>
        <v>9.7534925149313381</v>
      </c>
      <c r="S329">
        <f t="shared" ca="1" si="346"/>
        <v>9.2778090718501591</v>
      </c>
    </row>
    <row r="330" spans="5:19" x14ac:dyDescent="0.75">
      <c r="E330">
        <v>325</v>
      </c>
      <c r="F330">
        <v>100</v>
      </c>
      <c r="G330">
        <f t="shared" ca="1" si="342"/>
        <v>97.715013602362745</v>
      </c>
      <c r="H330">
        <f t="shared" ca="1" si="342"/>
        <v>111.73617677961063</v>
      </c>
      <c r="I330">
        <f t="shared" ca="1" si="342"/>
        <v>110.35956537378939</v>
      </c>
      <c r="J330">
        <f t="shared" ca="1" si="342"/>
        <v>113.85766746035573</v>
      </c>
      <c r="K330">
        <f t="shared" ref="K330:P330" ca="1" si="349">J330*EXP(($C$4-0.5*$C$5^2)*$C$10+$C$5*SQRT($C$10)*NORMINV(RAND(),0,1))</f>
        <v>104.13405013326559</v>
      </c>
      <c r="L330">
        <f t="shared" ca="1" si="349"/>
        <v>103.55724374568663</v>
      </c>
      <c r="M330">
        <f t="shared" ca="1" si="349"/>
        <v>105.5213729378538</v>
      </c>
      <c r="N330">
        <f t="shared" ca="1" si="349"/>
        <v>112.64357720853059</v>
      </c>
      <c r="O330">
        <f t="shared" ca="1" si="349"/>
        <v>119.26485549443969</v>
      </c>
      <c r="P330">
        <f t="shared" ca="1" si="349"/>
        <v>124.86814305323865</v>
      </c>
      <c r="Q330">
        <f t="shared" ca="1" si="344"/>
        <v>109.4234241626485</v>
      </c>
      <c r="R330">
        <f t="shared" ca="1" si="345"/>
        <v>9.4234241626485016</v>
      </c>
      <c r="S330">
        <f t="shared" ca="1" si="346"/>
        <v>8.9638383430622568</v>
      </c>
    </row>
    <row r="331" spans="5:19" x14ac:dyDescent="0.75">
      <c r="E331">
        <v>326</v>
      </c>
      <c r="F331">
        <v>100</v>
      </c>
      <c r="G331">
        <f t="shared" ca="1" si="342"/>
        <v>97.54391725841181</v>
      </c>
      <c r="H331">
        <f t="shared" ca="1" si="342"/>
        <v>97.345207114824404</v>
      </c>
      <c r="I331">
        <f t="shared" ca="1" si="342"/>
        <v>101.09195239777711</v>
      </c>
      <c r="J331">
        <f t="shared" ca="1" si="342"/>
        <v>106.37639285320171</v>
      </c>
      <c r="K331">
        <f t="shared" ref="K331:P331" ca="1" si="350">J331*EXP(($C$4-0.5*$C$5^2)*$C$10+$C$5*SQRT($C$10)*NORMINV(RAND(),0,1))</f>
        <v>103.99522667915967</v>
      </c>
      <c r="L331">
        <f t="shared" ca="1" si="350"/>
        <v>94.389205657070477</v>
      </c>
      <c r="M331">
        <f t="shared" ca="1" si="350"/>
        <v>99.398651279950457</v>
      </c>
      <c r="N331">
        <f t="shared" ca="1" si="350"/>
        <v>106.80137474215402</v>
      </c>
      <c r="O331">
        <f t="shared" ca="1" si="350"/>
        <v>109.08371620408087</v>
      </c>
      <c r="P331">
        <f t="shared" ca="1" si="350"/>
        <v>113.24033950592575</v>
      </c>
      <c r="Q331">
        <f t="shared" ca="1" si="344"/>
        <v>102.66054397205056</v>
      </c>
      <c r="R331">
        <f t="shared" ca="1" si="345"/>
        <v>2.6605439720505615</v>
      </c>
      <c r="S331">
        <f t="shared" ca="1" si="346"/>
        <v>2.5307877113924993</v>
      </c>
    </row>
    <row r="332" spans="5:19" x14ac:dyDescent="0.75">
      <c r="E332">
        <v>327</v>
      </c>
      <c r="F332">
        <v>100</v>
      </c>
      <c r="G332">
        <f t="shared" ca="1" si="342"/>
        <v>95.731186792756233</v>
      </c>
      <c r="H332">
        <f t="shared" ca="1" si="342"/>
        <v>96.046852594446889</v>
      </c>
      <c r="I332">
        <f t="shared" ca="1" si="342"/>
        <v>95.66336960812184</v>
      </c>
      <c r="J332">
        <f t="shared" ca="1" si="342"/>
        <v>88.966534785580905</v>
      </c>
      <c r="K332">
        <f t="shared" ref="K332:P332" ca="1" si="351">J332*EXP(($C$4-0.5*$C$5^2)*$C$10+$C$5*SQRT($C$10)*NORMINV(RAND(),0,1))</f>
        <v>93.248072686341544</v>
      </c>
      <c r="L332">
        <f t="shared" ca="1" si="351"/>
        <v>88.839824232293608</v>
      </c>
      <c r="M332">
        <f t="shared" ca="1" si="351"/>
        <v>102.57365779591285</v>
      </c>
      <c r="N332">
        <f t="shared" ca="1" si="351"/>
        <v>101.20390115486518</v>
      </c>
      <c r="O332">
        <f t="shared" ca="1" si="351"/>
        <v>103.48707582538158</v>
      </c>
      <c r="P332">
        <f t="shared" ca="1" si="351"/>
        <v>106.04431143585127</v>
      </c>
      <c r="Q332">
        <f t="shared" ca="1" si="344"/>
        <v>97.436798810141084</v>
      </c>
      <c r="R332">
        <f t="shared" ca="1" si="345"/>
        <v>0</v>
      </c>
      <c r="S332">
        <f t="shared" ca="1" si="346"/>
        <v>0</v>
      </c>
    </row>
    <row r="333" spans="5:19" x14ac:dyDescent="0.75">
      <c r="E333">
        <v>328</v>
      </c>
      <c r="F333">
        <v>100</v>
      </c>
      <c r="G333">
        <f t="shared" ca="1" si="342"/>
        <v>98.467785875923866</v>
      </c>
      <c r="H333">
        <f t="shared" ca="1" si="342"/>
        <v>104.35006117554575</v>
      </c>
      <c r="I333">
        <f t="shared" ca="1" si="342"/>
        <v>110.06284910333292</v>
      </c>
      <c r="J333">
        <f t="shared" ca="1" si="342"/>
        <v>112.88632889706705</v>
      </c>
      <c r="K333">
        <f t="shared" ref="K333:P333" ca="1" si="352">J333*EXP(($C$4-0.5*$C$5^2)*$C$10+$C$5*SQRT($C$10)*NORMINV(RAND(),0,1))</f>
        <v>125.94645334071572</v>
      </c>
      <c r="L333">
        <f t="shared" ca="1" si="352"/>
        <v>118.16812591679943</v>
      </c>
      <c r="M333">
        <f t="shared" ca="1" si="352"/>
        <v>127.60133693809978</v>
      </c>
      <c r="N333">
        <f t="shared" ca="1" si="352"/>
        <v>118.58493447645687</v>
      </c>
      <c r="O333">
        <f t="shared" ca="1" si="352"/>
        <v>121.1734016499382</v>
      </c>
      <c r="P333">
        <f t="shared" ca="1" si="352"/>
        <v>129.31563551826582</v>
      </c>
      <c r="Q333">
        <f t="shared" ca="1" si="344"/>
        <v>115.14153753564956</v>
      </c>
      <c r="R333">
        <f t="shared" ca="1" si="345"/>
        <v>15.141537535649562</v>
      </c>
      <c r="S333">
        <f t="shared" ca="1" si="346"/>
        <v>14.403076036091893</v>
      </c>
    </row>
    <row r="334" spans="5:19" x14ac:dyDescent="0.75">
      <c r="E334">
        <v>329</v>
      </c>
      <c r="F334">
        <v>100</v>
      </c>
      <c r="G334">
        <f t="shared" ca="1" si="342"/>
        <v>92.720353413241241</v>
      </c>
      <c r="H334">
        <f t="shared" ca="1" si="342"/>
        <v>96.279217566059714</v>
      </c>
      <c r="I334">
        <f t="shared" ca="1" si="342"/>
        <v>94.915348518815478</v>
      </c>
      <c r="J334">
        <f t="shared" ca="1" si="342"/>
        <v>103.44562869113479</v>
      </c>
      <c r="K334">
        <f t="shared" ref="K334:P334" ca="1" si="353">J334*EXP(($C$4-0.5*$C$5^2)*$C$10+$C$5*SQRT($C$10)*NORMINV(RAND(),0,1))</f>
        <v>96.97243910047905</v>
      </c>
      <c r="L334">
        <f t="shared" ca="1" si="353"/>
        <v>110.48783733572614</v>
      </c>
      <c r="M334">
        <f t="shared" ca="1" si="353"/>
        <v>112.98087386211455</v>
      </c>
      <c r="N334">
        <f t="shared" ca="1" si="353"/>
        <v>117.46226807592321</v>
      </c>
      <c r="O334">
        <f t="shared" ca="1" si="353"/>
        <v>117.05856383714963</v>
      </c>
      <c r="P334">
        <f t="shared" ca="1" si="353"/>
        <v>128.88468936229987</v>
      </c>
      <c r="Q334">
        <f t="shared" ca="1" si="344"/>
        <v>106.47338361481306</v>
      </c>
      <c r="R334">
        <f t="shared" ca="1" si="345"/>
        <v>6.4733836148130592</v>
      </c>
      <c r="S334">
        <f t="shared" ca="1" si="346"/>
        <v>6.1576729704909781</v>
      </c>
    </row>
    <row r="335" spans="5:19" x14ac:dyDescent="0.75">
      <c r="E335">
        <v>330</v>
      </c>
      <c r="F335">
        <v>100</v>
      </c>
      <c r="G335">
        <f t="shared" ca="1" si="342"/>
        <v>96.03068694232914</v>
      </c>
      <c r="H335">
        <f t="shared" ca="1" si="342"/>
        <v>98.138477521764727</v>
      </c>
      <c r="I335">
        <f t="shared" ca="1" si="342"/>
        <v>102.57789861384323</v>
      </c>
      <c r="J335">
        <f t="shared" ca="1" si="342"/>
        <v>90.792950020213752</v>
      </c>
      <c r="K335">
        <f t="shared" ref="K335:P335" ca="1" si="354">J335*EXP(($C$4-0.5*$C$5^2)*$C$10+$C$5*SQRT($C$10)*NORMINV(RAND(),0,1))</f>
        <v>94.838211948883412</v>
      </c>
      <c r="L335">
        <f t="shared" ca="1" si="354"/>
        <v>88.977155161027639</v>
      </c>
      <c r="M335">
        <f t="shared" ca="1" si="354"/>
        <v>86.718814657942332</v>
      </c>
      <c r="N335">
        <f t="shared" ca="1" si="354"/>
        <v>84.287573536578691</v>
      </c>
      <c r="O335">
        <f t="shared" ca="1" si="354"/>
        <v>85.109858132395544</v>
      </c>
      <c r="P335">
        <f t="shared" ca="1" si="354"/>
        <v>82.865278647455725</v>
      </c>
      <c r="Q335">
        <f t="shared" ca="1" si="344"/>
        <v>91.848809562039463</v>
      </c>
      <c r="R335">
        <f t="shared" ca="1" si="345"/>
        <v>0</v>
      </c>
      <c r="S335">
        <f t="shared" ca="1" si="346"/>
        <v>0</v>
      </c>
    </row>
    <row r="336" spans="5:19" x14ac:dyDescent="0.75">
      <c r="E336">
        <v>331</v>
      </c>
      <c r="F336">
        <v>100</v>
      </c>
      <c r="G336">
        <f t="shared" ca="1" si="342"/>
        <v>94.199659685620801</v>
      </c>
      <c r="H336">
        <f t="shared" ca="1" si="342"/>
        <v>95.097773439460852</v>
      </c>
      <c r="I336">
        <f t="shared" ca="1" si="342"/>
        <v>96.744841717807304</v>
      </c>
      <c r="J336">
        <f t="shared" ca="1" si="342"/>
        <v>84.915944290729314</v>
      </c>
      <c r="K336">
        <f t="shared" ref="K336:P336" ca="1" si="355">J336*EXP(($C$4-0.5*$C$5^2)*$C$10+$C$5*SQRT($C$10)*NORMINV(RAND(),0,1))</f>
        <v>78.059604241826605</v>
      </c>
      <c r="L336">
        <f t="shared" ca="1" si="355"/>
        <v>72.509058271361852</v>
      </c>
      <c r="M336">
        <f t="shared" ca="1" si="355"/>
        <v>68.091831822611624</v>
      </c>
      <c r="N336">
        <f t="shared" ca="1" si="355"/>
        <v>63.03871538627746</v>
      </c>
      <c r="O336">
        <f t="shared" ca="1" si="355"/>
        <v>58.554466411797158</v>
      </c>
      <c r="P336">
        <f t="shared" ca="1" si="355"/>
        <v>56.662649586809998</v>
      </c>
      <c r="Q336">
        <f t="shared" ca="1" si="344"/>
        <v>78.897685895845726</v>
      </c>
      <c r="R336">
        <f t="shared" ca="1" si="345"/>
        <v>0</v>
      </c>
      <c r="S336">
        <f t="shared" ca="1" si="346"/>
        <v>0</v>
      </c>
    </row>
    <row r="337" spans="5:19" x14ac:dyDescent="0.75">
      <c r="E337">
        <v>332</v>
      </c>
      <c r="F337">
        <v>100</v>
      </c>
      <c r="G337">
        <f t="shared" ca="1" si="342"/>
        <v>107.02810532991822</v>
      </c>
      <c r="H337">
        <f t="shared" ca="1" si="342"/>
        <v>102.21881643367233</v>
      </c>
      <c r="I337">
        <f t="shared" ca="1" si="342"/>
        <v>104.25264801896381</v>
      </c>
      <c r="J337">
        <f t="shared" ca="1" si="342"/>
        <v>96.294811774861188</v>
      </c>
      <c r="K337">
        <f t="shared" ref="K337:P337" ca="1" si="356">J337*EXP(($C$4-0.5*$C$5^2)*$C$10+$C$5*SQRT($C$10)*NORMINV(RAND(),0,1))</f>
        <v>102.91660034063101</v>
      </c>
      <c r="L337">
        <f t="shared" ca="1" si="356"/>
        <v>104.33585249776341</v>
      </c>
      <c r="M337">
        <f t="shared" ca="1" si="356"/>
        <v>102.63082726453689</v>
      </c>
      <c r="N337">
        <f t="shared" ca="1" si="356"/>
        <v>92.613041364702354</v>
      </c>
      <c r="O337">
        <f t="shared" ca="1" si="356"/>
        <v>90.204489463570241</v>
      </c>
      <c r="P337">
        <f t="shared" ca="1" si="356"/>
        <v>81.187094941199589</v>
      </c>
      <c r="Q337">
        <f t="shared" ca="1" si="344"/>
        <v>98.51657158452899</v>
      </c>
      <c r="R337">
        <f t="shared" ca="1" si="345"/>
        <v>0</v>
      </c>
      <c r="S337">
        <f t="shared" ca="1" si="346"/>
        <v>0</v>
      </c>
    </row>
    <row r="338" spans="5:19" x14ac:dyDescent="0.75">
      <c r="E338">
        <v>333</v>
      </c>
      <c r="F338">
        <v>100</v>
      </c>
      <c r="G338">
        <f t="shared" ca="1" si="342"/>
        <v>111.62163378414323</v>
      </c>
      <c r="H338">
        <f t="shared" ca="1" si="342"/>
        <v>121.40511106195292</v>
      </c>
      <c r="I338">
        <f t="shared" ca="1" si="342"/>
        <v>126.91691486459264</v>
      </c>
      <c r="J338">
        <f t="shared" ca="1" si="342"/>
        <v>144.54869030331727</v>
      </c>
      <c r="K338">
        <f t="shared" ref="K338:P338" ca="1" si="357">J338*EXP(($C$4-0.5*$C$5^2)*$C$10+$C$5*SQRT($C$10)*NORMINV(RAND(),0,1))</f>
        <v>144.35163446869277</v>
      </c>
      <c r="L338">
        <f t="shared" ca="1" si="357"/>
        <v>138.71482182033964</v>
      </c>
      <c r="M338">
        <f t="shared" ca="1" si="357"/>
        <v>139.56859967273519</v>
      </c>
      <c r="N338">
        <f t="shared" ca="1" si="357"/>
        <v>141.48665838377235</v>
      </c>
      <c r="O338">
        <f t="shared" ca="1" si="357"/>
        <v>141.80226593536915</v>
      </c>
      <c r="P338">
        <f t="shared" ca="1" si="357"/>
        <v>140.78675338050289</v>
      </c>
      <c r="Q338">
        <f t="shared" ca="1" si="344"/>
        <v>131.92755306140162</v>
      </c>
      <c r="R338">
        <f t="shared" ca="1" si="345"/>
        <v>31.927553061401625</v>
      </c>
      <c r="S338">
        <f t="shared" ca="1" si="346"/>
        <v>30.370427924313077</v>
      </c>
    </row>
    <row r="339" spans="5:19" x14ac:dyDescent="0.75">
      <c r="E339">
        <v>334</v>
      </c>
      <c r="F339">
        <v>100</v>
      </c>
      <c r="G339">
        <f t="shared" ca="1" si="342"/>
        <v>105.84182606702149</v>
      </c>
      <c r="H339">
        <f t="shared" ca="1" si="342"/>
        <v>118.11136995377278</v>
      </c>
      <c r="I339">
        <f t="shared" ca="1" si="342"/>
        <v>127.75268672873072</v>
      </c>
      <c r="J339">
        <f t="shared" ca="1" si="342"/>
        <v>128.72381744176221</v>
      </c>
      <c r="K339">
        <f t="shared" ref="K339:P339" ca="1" si="358">J339*EXP(($C$4-0.5*$C$5^2)*$C$10+$C$5*SQRT($C$10)*NORMINV(RAND(),0,1))</f>
        <v>127.11262233605254</v>
      </c>
      <c r="L339">
        <f t="shared" ca="1" si="358"/>
        <v>136.0227632742936</v>
      </c>
      <c r="M339">
        <f t="shared" ca="1" si="358"/>
        <v>122.95566422663083</v>
      </c>
      <c r="N339">
        <f t="shared" ca="1" si="358"/>
        <v>122.74842846710611</v>
      </c>
      <c r="O339">
        <f t="shared" ca="1" si="358"/>
        <v>131.28502062750823</v>
      </c>
      <c r="P339">
        <f t="shared" ca="1" si="358"/>
        <v>128.51180859624998</v>
      </c>
      <c r="Q339">
        <f t="shared" ca="1" si="344"/>
        <v>122.64236433810257</v>
      </c>
      <c r="R339">
        <f t="shared" ca="1" si="345"/>
        <v>22.642364338102567</v>
      </c>
      <c r="S339">
        <f t="shared" ca="1" si="346"/>
        <v>21.538083198668794</v>
      </c>
    </row>
    <row r="340" spans="5:19" x14ac:dyDescent="0.75">
      <c r="E340">
        <v>335</v>
      </c>
      <c r="F340">
        <v>100</v>
      </c>
      <c r="G340">
        <f t="shared" ca="1" si="342"/>
        <v>102.19446874661067</v>
      </c>
      <c r="H340">
        <f t="shared" ca="1" si="342"/>
        <v>98.442460644336705</v>
      </c>
      <c r="I340">
        <f t="shared" ca="1" si="342"/>
        <v>94.796506815046897</v>
      </c>
      <c r="J340">
        <f t="shared" ca="1" si="342"/>
        <v>98.086632912622804</v>
      </c>
      <c r="K340">
        <f t="shared" ref="K340:P340" ca="1" si="359">J340*EXP(($C$4-0.5*$C$5^2)*$C$10+$C$5*SQRT($C$10)*NORMINV(RAND(),0,1))</f>
        <v>105.16350022238612</v>
      </c>
      <c r="L340">
        <f t="shared" ca="1" si="359"/>
        <v>95.85392046491809</v>
      </c>
      <c r="M340">
        <f t="shared" ca="1" si="359"/>
        <v>97.376450745010899</v>
      </c>
      <c r="N340">
        <f t="shared" ca="1" si="359"/>
        <v>101.97126170264869</v>
      </c>
      <c r="O340">
        <f t="shared" ca="1" si="359"/>
        <v>114.18606754306397</v>
      </c>
      <c r="P340">
        <f t="shared" ca="1" si="359"/>
        <v>104.89766862821757</v>
      </c>
      <c r="Q340">
        <f t="shared" ca="1" si="344"/>
        <v>101.1789944022602</v>
      </c>
      <c r="R340">
        <f t="shared" ca="1" si="345"/>
        <v>1.1789944022602015</v>
      </c>
      <c r="S340">
        <f t="shared" ca="1" si="346"/>
        <v>1.1214941667515348</v>
      </c>
    </row>
    <row r="341" spans="5:19" x14ac:dyDescent="0.75">
      <c r="E341">
        <v>336</v>
      </c>
      <c r="F341">
        <v>100</v>
      </c>
      <c r="G341">
        <f t="shared" ca="1" si="342"/>
        <v>96.668259605510769</v>
      </c>
      <c r="H341">
        <f t="shared" ca="1" si="342"/>
        <v>102.41083804223526</v>
      </c>
      <c r="I341">
        <f t="shared" ca="1" si="342"/>
        <v>97.605657494595945</v>
      </c>
      <c r="J341">
        <f t="shared" ca="1" si="342"/>
        <v>106.55918826222589</v>
      </c>
      <c r="K341">
        <f t="shared" ref="K341:P341" ca="1" si="360">J341*EXP(($C$4-0.5*$C$5^2)*$C$10+$C$5*SQRT($C$10)*NORMINV(RAND(),0,1))</f>
        <v>105.3394125926656</v>
      </c>
      <c r="L341">
        <f t="shared" ca="1" si="360"/>
        <v>104.66772886357762</v>
      </c>
      <c r="M341">
        <f t="shared" ca="1" si="360"/>
        <v>94.708650237171199</v>
      </c>
      <c r="N341">
        <f t="shared" ca="1" si="360"/>
        <v>101.94588974610325</v>
      </c>
      <c r="O341">
        <f t="shared" ca="1" si="360"/>
        <v>95.89001768886186</v>
      </c>
      <c r="P341">
        <f t="shared" ca="1" si="360"/>
        <v>106.91062515358058</v>
      </c>
      <c r="Q341">
        <f t="shared" ca="1" si="344"/>
        <v>101.15511524422982</v>
      </c>
      <c r="R341">
        <f t="shared" ca="1" si="345"/>
        <v>1.1551152442298189</v>
      </c>
      <c r="S341">
        <f t="shared" ca="1" si="346"/>
        <v>1.0987796090007325</v>
      </c>
    </row>
    <row r="342" spans="5:19" x14ac:dyDescent="0.75">
      <c r="E342">
        <v>337</v>
      </c>
      <c r="F342">
        <v>100</v>
      </c>
      <c r="G342">
        <f t="shared" ca="1" si="342"/>
        <v>98.69665994298154</v>
      </c>
      <c r="H342">
        <f t="shared" ca="1" si="342"/>
        <v>96.761956613197057</v>
      </c>
      <c r="I342">
        <f t="shared" ca="1" si="342"/>
        <v>97.606642814778269</v>
      </c>
      <c r="J342">
        <f t="shared" ca="1" si="342"/>
        <v>93.553221119430091</v>
      </c>
      <c r="K342">
        <f t="shared" ref="K342:P342" ca="1" si="361">J342*EXP(($C$4-0.5*$C$5^2)*$C$10+$C$5*SQRT($C$10)*NORMINV(RAND(),0,1))</f>
        <v>89.810153508185408</v>
      </c>
      <c r="L342">
        <f t="shared" ca="1" si="361"/>
        <v>88.709685153637594</v>
      </c>
      <c r="M342">
        <f t="shared" ca="1" si="361"/>
        <v>93.11109674659815</v>
      </c>
      <c r="N342">
        <f t="shared" ca="1" si="361"/>
        <v>89.244966209410222</v>
      </c>
      <c r="O342">
        <f t="shared" ca="1" si="361"/>
        <v>99.932123518526311</v>
      </c>
      <c r="P342">
        <f t="shared" ca="1" si="361"/>
        <v>87.290516011187393</v>
      </c>
      <c r="Q342">
        <f t="shared" ca="1" si="344"/>
        <v>94.065183785266541</v>
      </c>
      <c r="R342">
        <f t="shared" ca="1" si="345"/>
        <v>0</v>
      </c>
      <c r="S342">
        <f t="shared" ca="1" si="346"/>
        <v>0</v>
      </c>
    </row>
    <row r="343" spans="5:19" x14ac:dyDescent="0.75">
      <c r="E343">
        <v>338</v>
      </c>
      <c r="F343">
        <v>100</v>
      </c>
      <c r="G343">
        <f t="shared" ca="1" si="342"/>
        <v>104.08365257596247</v>
      </c>
      <c r="H343">
        <f t="shared" ca="1" si="342"/>
        <v>94.309293760760653</v>
      </c>
      <c r="I343">
        <f t="shared" ca="1" si="342"/>
        <v>96.311051083458423</v>
      </c>
      <c r="J343">
        <f t="shared" ca="1" si="342"/>
        <v>91.112399117906577</v>
      </c>
      <c r="K343">
        <f t="shared" ref="K343:P343" ca="1" si="362">J343*EXP(($C$4-0.5*$C$5^2)*$C$10+$C$5*SQRT($C$10)*NORMINV(RAND(),0,1))</f>
        <v>92.30880206029174</v>
      </c>
      <c r="L343">
        <f t="shared" ca="1" si="362"/>
        <v>93.215110609602661</v>
      </c>
      <c r="M343">
        <f t="shared" ca="1" si="362"/>
        <v>93.232151744932054</v>
      </c>
      <c r="N343">
        <f t="shared" ca="1" si="362"/>
        <v>101.02407994542271</v>
      </c>
      <c r="O343">
        <f t="shared" ca="1" si="362"/>
        <v>121.22374412080973</v>
      </c>
      <c r="P343">
        <f t="shared" ca="1" si="362"/>
        <v>119.06329137696005</v>
      </c>
      <c r="Q343">
        <f t="shared" ca="1" si="344"/>
        <v>100.53487058146429</v>
      </c>
      <c r="R343">
        <f t="shared" ca="1" si="345"/>
        <v>0.53487058146428978</v>
      </c>
      <c r="S343">
        <f t="shared" ca="1" si="346"/>
        <v>0.50878463538863861</v>
      </c>
    </row>
    <row r="344" spans="5:19" x14ac:dyDescent="0.75">
      <c r="E344">
        <v>339</v>
      </c>
      <c r="F344">
        <v>100</v>
      </c>
      <c r="G344">
        <f t="shared" ca="1" si="342"/>
        <v>104.61762765751932</v>
      </c>
      <c r="H344">
        <f t="shared" ca="1" si="342"/>
        <v>102.23226895936807</v>
      </c>
      <c r="I344">
        <f t="shared" ca="1" si="342"/>
        <v>109.17497361639849</v>
      </c>
      <c r="J344">
        <f t="shared" ca="1" si="342"/>
        <v>107.20071804335207</v>
      </c>
      <c r="K344">
        <f t="shared" ref="K344:P344" ca="1" si="363">J344*EXP(($C$4-0.5*$C$5^2)*$C$10+$C$5*SQRT($C$10)*NORMINV(RAND(),0,1))</f>
        <v>108.7976957941838</v>
      </c>
      <c r="L344">
        <f t="shared" ca="1" si="363"/>
        <v>103.03616619994551</v>
      </c>
      <c r="M344">
        <f t="shared" ca="1" si="363"/>
        <v>98.30558815092057</v>
      </c>
      <c r="N344">
        <f t="shared" ca="1" si="363"/>
        <v>92.041319554795152</v>
      </c>
      <c r="O344">
        <f t="shared" ca="1" si="363"/>
        <v>97.341120584355849</v>
      </c>
      <c r="P344">
        <f t="shared" ca="1" si="363"/>
        <v>99.628528086783064</v>
      </c>
      <c r="Q344">
        <f t="shared" ca="1" si="344"/>
        <v>102.03418242251108</v>
      </c>
      <c r="R344">
        <f t="shared" ca="1" si="345"/>
        <v>2.0341824225110798</v>
      </c>
      <c r="S344">
        <f t="shared" ca="1" si="346"/>
        <v>1.9349741750946827</v>
      </c>
    </row>
    <row r="345" spans="5:19" x14ac:dyDescent="0.75">
      <c r="E345">
        <v>340</v>
      </c>
      <c r="F345">
        <v>100</v>
      </c>
      <c r="G345">
        <f t="shared" ca="1" si="342"/>
        <v>111.71047943747668</v>
      </c>
      <c r="H345">
        <f t="shared" ca="1" si="342"/>
        <v>113.50700526184599</v>
      </c>
      <c r="I345">
        <f t="shared" ca="1" si="342"/>
        <v>113.97654617044469</v>
      </c>
      <c r="J345">
        <f t="shared" ca="1" si="342"/>
        <v>118.491246287005</v>
      </c>
      <c r="K345">
        <f t="shared" ref="K345:P345" ca="1" si="364">J345*EXP(($C$4-0.5*$C$5^2)*$C$10+$C$5*SQRT($C$10)*NORMINV(RAND(),0,1))</f>
        <v>107.20202880476012</v>
      </c>
      <c r="L345">
        <f t="shared" ca="1" si="364"/>
        <v>102.67478671408929</v>
      </c>
      <c r="M345">
        <f t="shared" ca="1" si="364"/>
        <v>106.63741077754506</v>
      </c>
      <c r="N345">
        <f t="shared" ca="1" si="364"/>
        <v>94.926377438211347</v>
      </c>
      <c r="O345">
        <f t="shared" ca="1" si="364"/>
        <v>91.981371003886309</v>
      </c>
      <c r="P345">
        <f t="shared" ca="1" si="364"/>
        <v>80.946438571795213</v>
      </c>
      <c r="Q345">
        <f t="shared" ca="1" si="344"/>
        <v>103.82306276973272</v>
      </c>
      <c r="R345">
        <f t="shared" ca="1" si="345"/>
        <v>3.8230627697327151</v>
      </c>
      <c r="S345">
        <f t="shared" ca="1" si="346"/>
        <v>3.6366097982829562</v>
      </c>
    </row>
    <row r="346" spans="5:19" x14ac:dyDescent="0.75">
      <c r="E346">
        <v>341</v>
      </c>
      <c r="F346">
        <v>100</v>
      </c>
      <c r="G346">
        <f t="shared" ca="1" si="342"/>
        <v>105.83592882309649</v>
      </c>
      <c r="H346">
        <f t="shared" ca="1" si="342"/>
        <v>114.57631380534781</v>
      </c>
      <c r="I346">
        <f t="shared" ca="1" si="342"/>
        <v>128.21545612151118</v>
      </c>
      <c r="J346">
        <f t="shared" ca="1" si="342"/>
        <v>127.84070818488993</v>
      </c>
      <c r="K346">
        <f t="shared" ref="K346:P346" ca="1" si="365">J346*EXP(($C$4-0.5*$C$5^2)*$C$10+$C$5*SQRT($C$10)*NORMINV(RAND(),0,1))</f>
        <v>121.66907214361223</v>
      </c>
      <c r="L346">
        <f t="shared" ca="1" si="365"/>
        <v>120.3443191332378</v>
      </c>
      <c r="M346">
        <f t="shared" ca="1" si="365"/>
        <v>125.5375131283172</v>
      </c>
      <c r="N346">
        <f t="shared" ca="1" si="365"/>
        <v>122.57011422923152</v>
      </c>
      <c r="O346">
        <f t="shared" ca="1" si="365"/>
        <v>125.70299961541205</v>
      </c>
      <c r="P346">
        <f t="shared" ca="1" si="365"/>
        <v>127.32874574736087</v>
      </c>
      <c r="Q346">
        <f t="shared" ca="1" si="344"/>
        <v>119.96556099381974</v>
      </c>
      <c r="R346">
        <f t="shared" ca="1" si="345"/>
        <v>19.965560993819736</v>
      </c>
      <c r="S346">
        <f t="shared" ca="1" si="346"/>
        <v>18.99182909398505</v>
      </c>
    </row>
    <row r="347" spans="5:19" x14ac:dyDescent="0.75">
      <c r="E347">
        <v>342</v>
      </c>
      <c r="F347">
        <v>100</v>
      </c>
      <c r="G347">
        <f t="shared" ca="1" si="342"/>
        <v>102.35881471017763</v>
      </c>
      <c r="H347">
        <f t="shared" ca="1" si="342"/>
        <v>96.962657055452169</v>
      </c>
      <c r="I347">
        <f t="shared" ca="1" si="342"/>
        <v>87.490170319950607</v>
      </c>
      <c r="J347">
        <f t="shared" ca="1" si="342"/>
        <v>84.885986356602544</v>
      </c>
      <c r="K347">
        <f t="shared" ref="K347:P347" ca="1" si="366">J347*EXP(($C$4-0.5*$C$5^2)*$C$10+$C$5*SQRT($C$10)*NORMINV(RAND(),0,1))</f>
        <v>89.154770376821375</v>
      </c>
      <c r="L347">
        <f t="shared" ca="1" si="366"/>
        <v>90.99368288637335</v>
      </c>
      <c r="M347">
        <f t="shared" ca="1" si="366"/>
        <v>90.20530737911669</v>
      </c>
      <c r="N347">
        <f t="shared" ca="1" si="366"/>
        <v>85.555682657260618</v>
      </c>
      <c r="O347">
        <f t="shared" ca="1" si="366"/>
        <v>82.480488440705386</v>
      </c>
      <c r="P347">
        <f t="shared" ca="1" si="366"/>
        <v>88.263793976142992</v>
      </c>
      <c r="Q347">
        <f t="shared" ca="1" si="344"/>
        <v>90.759214014418475</v>
      </c>
      <c r="R347">
        <f t="shared" ca="1" si="345"/>
        <v>0</v>
      </c>
      <c r="S347">
        <f t="shared" ca="1" si="346"/>
        <v>0</v>
      </c>
    </row>
    <row r="348" spans="5:19" x14ac:dyDescent="0.75">
      <c r="E348">
        <v>343</v>
      </c>
      <c r="F348">
        <v>100</v>
      </c>
      <c r="G348">
        <f t="shared" ca="1" si="342"/>
        <v>95.341345678895067</v>
      </c>
      <c r="H348">
        <f t="shared" ca="1" si="342"/>
        <v>88.200728217266487</v>
      </c>
      <c r="I348">
        <f t="shared" ca="1" si="342"/>
        <v>85.981991364613179</v>
      </c>
      <c r="J348">
        <f t="shared" ca="1" si="342"/>
        <v>87.956544274534394</v>
      </c>
      <c r="K348">
        <f t="shared" ref="K348:P348" ca="1" si="367">J348*EXP(($C$4-0.5*$C$5^2)*$C$10+$C$5*SQRT($C$10)*NORMINV(RAND(),0,1))</f>
        <v>86.956716719192045</v>
      </c>
      <c r="L348">
        <f t="shared" ca="1" si="367"/>
        <v>85.947127922553378</v>
      </c>
      <c r="M348">
        <f t="shared" ca="1" si="367"/>
        <v>84.34248902038162</v>
      </c>
      <c r="N348">
        <f t="shared" ca="1" si="367"/>
        <v>93.768575136096032</v>
      </c>
      <c r="O348">
        <f t="shared" ca="1" si="367"/>
        <v>92.01032008664707</v>
      </c>
      <c r="P348">
        <f t="shared" ca="1" si="367"/>
        <v>84.292866433096322</v>
      </c>
      <c r="Q348">
        <f t="shared" ca="1" si="344"/>
        <v>89.527154986661429</v>
      </c>
      <c r="R348">
        <f t="shared" ca="1" si="345"/>
        <v>0</v>
      </c>
      <c r="S348">
        <f t="shared" ca="1" si="346"/>
        <v>0</v>
      </c>
    </row>
    <row r="349" spans="5:19" x14ac:dyDescent="0.75">
      <c r="E349">
        <v>344</v>
      </c>
      <c r="F349">
        <v>100</v>
      </c>
      <c r="G349">
        <f t="shared" ca="1" si="342"/>
        <v>99.050481890245351</v>
      </c>
      <c r="H349">
        <f t="shared" ca="1" si="342"/>
        <v>96.470593682266284</v>
      </c>
      <c r="I349">
        <f t="shared" ca="1" si="342"/>
        <v>87.76383479585337</v>
      </c>
      <c r="J349">
        <f t="shared" ca="1" si="342"/>
        <v>90.625406462228511</v>
      </c>
      <c r="K349">
        <f t="shared" ref="K349:P349" ca="1" si="368">J349*EXP(($C$4-0.5*$C$5^2)*$C$10+$C$5*SQRT($C$10)*NORMINV(RAND(),0,1))</f>
        <v>91.650482196543166</v>
      </c>
      <c r="L349">
        <f t="shared" ca="1" si="368"/>
        <v>88.256353245916571</v>
      </c>
      <c r="M349">
        <f t="shared" ca="1" si="368"/>
        <v>90.436882565419026</v>
      </c>
      <c r="N349">
        <f t="shared" ca="1" si="368"/>
        <v>91.771518827193347</v>
      </c>
      <c r="O349">
        <f t="shared" ca="1" si="368"/>
        <v>94.406702950817106</v>
      </c>
      <c r="P349">
        <f t="shared" ca="1" si="368"/>
        <v>98.7791731106105</v>
      </c>
      <c r="Q349">
        <f t="shared" ca="1" si="344"/>
        <v>93.564675429735772</v>
      </c>
      <c r="R349">
        <f t="shared" ca="1" si="345"/>
        <v>0</v>
      </c>
      <c r="S349">
        <f t="shared" ca="1" si="346"/>
        <v>0</v>
      </c>
    </row>
    <row r="350" spans="5:19" x14ac:dyDescent="0.75">
      <c r="E350">
        <v>345</v>
      </c>
      <c r="F350">
        <v>100</v>
      </c>
      <c r="G350">
        <f t="shared" ca="1" si="342"/>
        <v>99.270527297279827</v>
      </c>
      <c r="H350">
        <f t="shared" ca="1" si="342"/>
        <v>102.94533497129859</v>
      </c>
      <c r="I350">
        <f t="shared" ca="1" si="342"/>
        <v>99.35551575739602</v>
      </c>
      <c r="J350">
        <f t="shared" ca="1" si="342"/>
        <v>94.91924671555698</v>
      </c>
      <c r="K350">
        <f t="shared" ref="K350:P350" ca="1" si="369">J350*EXP(($C$4-0.5*$C$5^2)*$C$10+$C$5*SQRT($C$10)*NORMINV(RAND(),0,1))</f>
        <v>97.108760587291115</v>
      </c>
      <c r="L350">
        <f t="shared" ca="1" si="369"/>
        <v>96.908794895283165</v>
      </c>
      <c r="M350">
        <f t="shared" ca="1" si="369"/>
        <v>104.81628945925752</v>
      </c>
      <c r="N350">
        <f t="shared" ca="1" si="369"/>
        <v>108.15833273859023</v>
      </c>
      <c r="O350">
        <f t="shared" ca="1" si="369"/>
        <v>93.964720295719829</v>
      </c>
      <c r="P350">
        <f t="shared" ca="1" si="369"/>
        <v>93.607622208797267</v>
      </c>
      <c r="Q350">
        <f t="shared" ca="1" si="344"/>
        <v>99.18683135695187</v>
      </c>
      <c r="R350">
        <f t="shared" ca="1" si="345"/>
        <v>0</v>
      </c>
      <c r="S350">
        <f t="shared" ca="1" si="346"/>
        <v>0</v>
      </c>
    </row>
    <row r="351" spans="5:19" x14ac:dyDescent="0.75">
      <c r="E351">
        <v>346</v>
      </c>
      <c r="F351">
        <v>100</v>
      </c>
      <c r="G351">
        <f t="shared" ca="1" si="342"/>
        <v>98.327513758656835</v>
      </c>
      <c r="H351">
        <f t="shared" ca="1" si="342"/>
        <v>102.20775947553028</v>
      </c>
      <c r="I351">
        <f t="shared" ca="1" si="342"/>
        <v>92.963643138338981</v>
      </c>
      <c r="J351">
        <f t="shared" ca="1" si="342"/>
        <v>94.025019959474122</v>
      </c>
      <c r="K351">
        <f t="shared" ref="K351:P351" ca="1" si="370">J351*EXP(($C$4-0.5*$C$5^2)*$C$10+$C$5*SQRT($C$10)*NORMINV(RAND(),0,1))</f>
        <v>89.257084618598697</v>
      </c>
      <c r="L351">
        <f t="shared" ca="1" si="370"/>
        <v>101.97827699730807</v>
      </c>
      <c r="M351">
        <f t="shared" ca="1" si="370"/>
        <v>110.25427070926425</v>
      </c>
      <c r="N351">
        <f t="shared" ca="1" si="370"/>
        <v>105.582850055018</v>
      </c>
      <c r="O351">
        <f t="shared" ca="1" si="370"/>
        <v>106.11165612878179</v>
      </c>
      <c r="P351">
        <f t="shared" ca="1" si="370"/>
        <v>104.92462586803109</v>
      </c>
      <c r="Q351">
        <f t="shared" ca="1" si="344"/>
        <v>100.51206370081836</v>
      </c>
      <c r="R351">
        <f t="shared" ca="1" si="345"/>
        <v>0.51206370081835928</v>
      </c>
      <c r="S351">
        <f t="shared" ca="1" si="346"/>
        <v>0.48709005943715372</v>
      </c>
    </row>
    <row r="352" spans="5:19" x14ac:dyDescent="0.75">
      <c r="E352">
        <v>347</v>
      </c>
      <c r="F352">
        <v>100</v>
      </c>
      <c r="G352">
        <f t="shared" ca="1" si="342"/>
        <v>93.771718572173626</v>
      </c>
      <c r="H352">
        <f t="shared" ca="1" si="342"/>
        <v>101.93969438772476</v>
      </c>
      <c r="I352">
        <f t="shared" ca="1" si="342"/>
        <v>103.56396147516229</v>
      </c>
      <c r="J352">
        <f t="shared" ca="1" si="342"/>
        <v>102.64204125471888</v>
      </c>
      <c r="K352">
        <f t="shared" ref="K352:P352" ca="1" si="371">J352*EXP(($C$4-0.5*$C$5^2)*$C$10+$C$5*SQRT($C$10)*NORMINV(RAND(),0,1))</f>
        <v>94.806148734584482</v>
      </c>
      <c r="L352">
        <f t="shared" ca="1" si="371"/>
        <v>104.53536238422066</v>
      </c>
      <c r="M352">
        <f t="shared" ca="1" si="371"/>
        <v>98.089621921569361</v>
      </c>
      <c r="N352">
        <f t="shared" ca="1" si="371"/>
        <v>105.83596054262661</v>
      </c>
      <c r="O352">
        <f t="shared" ca="1" si="371"/>
        <v>104.61825506420462</v>
      </c>
      <c r="P352">
        <f t="shared" ca="1" si="371"/>
        <v>118.89347766623352</v>
      </c>
      <c r="Q352">
        <f t="shared" ca="1" si="344"/>
        <v>102.60874927301988</v>
      </c>
      <c r="R352">
        <f t="shared" ca="1" si="345"/>
        <v>2.6087492730198818</v>
      </c>
      <c r="S352">
        <f t="shared" ca="1" si="346"/>
        <v>2.481519069641358</v>
      </c>
    </row>
    <row r="353" spans="5:19" x14ac:dyDescent="0.75">
      <c r="E353">
        <v>348</v>
      </c>
      <c r="F353">
        <v>100</v>
      </c>
      <c r="G353">
        <f t="shared" ca="1" si="342"/>
        <v>101.57903674120215</v>
      </c>
      <c r="H353">
        <f t="shared" ca="1" si="342"/>
        <v>103.44915795760105</v>
      </c>
      <c r="I353">
        <f t="shared" ca="1" si="342"/>
        <v>92.893604447727839</v>
      </c>
      <c r="J353">
        <f t="shared" ca="1" si="342"/>
        <v>93.820547021941849</v>
      </c>
      <c r="K353">
        <f t="shared" ref="K353:P353" ca="1" si="372">J353*EXP(($C$4-0.5*$C$5^2)*$C$10+$C$5*SQRT($C$10)*NORMINV(RAND(),0,1))</f>
        <v>99.989585956794372</v>
      </c>
      <c r="L353">
        <f t="shared" ca="1" si="372"/>
        <v>98.652907876301015</v>
      </c>
      <c r="M353">
        <f t="shared" ca="1" si="372"/>
        <v>113.32264321096052</v>
      </c>
      <c r="N353">
        <f t="shared" ca="1" si="372"/>
        <v>106.86347331087848</v>
      </c>
      <c r="O353">
        <f t="shared" ca="1" si="372"/>
        <v>109.06162922615701</v>
      </c>
      <c r="P353">
        <f t="shared" ca="1" si="372"/>
        <v>109.97227465530294</v>
      </c>
      <c r="Q353">
        <f t="shared" ca="1" si="344"/>
        <v>102.69135094589701</v>
      </c>
      <c r="R353">
        <f t="shared" ca="1" si="345"/>
        <v>2.691350945897014</v>
      </c>
      <c r="S353">
        <f t="shared" ca="1" si="346"/>
        <v>2.560092211395069</v>
      </c>
    </row>
    <row r="354" spans="5:19" x14ac:dyDescent="0.75">
      <c r="E354">
        <v>349</v>
      </c>
      <c r="F354">
        <v>100</v>
      </c>
      <c r="G354">
        <f t="shared" ca="1" si="342"/>
        <v>95.147610735836068</v>
      </c>
      <c r="H354">
        <f t="shared" ca="1" si="342"/>
        <v>93.156351824746565</v>
      </c>
      <c r="I354">
        <f t="shared" ca="1" si="342"/>
        <v>88.578792631261166</v>
      </c>
      <c r="J354">
        <f t="shared" ca="1" si="342"/>
        <v>89.241305665832556</v>
      </c>
      <c r="K354">
        <f t="shared" ref="K354:P354" ca="1" si="373">J354*EXP(($C$4-0.5*$C$5^2)*$C$10+$C$5*SQRT($C$10)*NORMINV(RAND(),0,1))</f>
        <v>84.36752311864754</v>
      </c>
      <c r="L354">
        <f t="shared" ca="1" si="373"/>
        <v>80.764564703846645</v>
      </c>
      <c r="M354">
        <f t="shared" ca="1" si="373"/>
        <v>85.432881206833059</v>
      </c>
      <c r="N354">
        <f t="shared" ca="1" si="373"/>
        <v>76.509295899452667</v>
      </c>
      <c r="O354">
        <f t="shared" ca="1" si="373"/>
        <v>72.318090597226501</v>
      </c>
      <c r="P354">
        <f t="shared" ca="1" si="373"/>
        <v>73.923369790973382</v>
      </c>
      <c r="Q354">
        <f t="shared" ca="1" si="344"/>
        <v>85.403616924968745</v>
      </c>
      <c r="R354">
        <f t="shared" ca="1" si="345"/>
        <v>0</v>
      </c>
      <c r="S354">
        <f t="shared" ca="1" si="346"/>
        <v>0</v>
      </c>
    </row>
    <row r="355" spans="5:19" x14ac:dyDescent="0.75">
      <c r="E355">
        <v>350</v>
      </c>
      <c r="F355">
        <v>100</v>
      </c>
      <c r="G355">
        <f t="shared" ca="1" si="342"/>
        <v>100.92658532263346</v>
      </c>
      <c r="H355">
        <f t="shared" ca="1" si="342"/>
        <v>113.46460635805539</v>
      </c>
      <c r="I355">
        <f t="shared" ca="1" si="342"/>
        <v>110.94896236224533</v>
      </c>
      <c r="J355">
        <f t="shared" ca="1" si="342"/>
        <v>99.111334122598478</v>
      </c>
      <c r="K355">
        <f t="shared" ref="K355:P355" ca="1" si="374">J355*EXP(($C$4-0.5*$C$5^2)*$C$10+$C$5*SQRT($C$10)*NORMINV(RAND(),0,1))</f>
        <v>109.1195174766758</v>
      </c>
      <c r="L355">
        <f t="shared" ca="1" si="374"/>
        <v>102.37325027182693</v>
      </c>
      <c r="M355">
        <f t="shared" ca="1" si="374"/>
        <v>105.30709068323038</v>
      </c>
      <c r="N355">
        <f t="shared" ca="1" si="374"/>
        <v>124.95698496389291</v>
      </c>
      <c r="O355">
        <f t="shared" ca="1" si="374"/>
        <v>116.05821671583529</v>
      </c>
      <c r="P355">
        <f t="shared" ca="1" si="374"/>
        <v>120.50628623927786</v>
      </c>
      <c r="Q355">
        <f t="shared" ca="1" si="344"/>
        <v>109.34298495602471</v>
      </c>
      <c r="R355">
        <f t="shared" ca="1" si="345"/>
        <v>9.3429849560247078</v>
      </c>
      <c r="S355">
        <f t="shared" ca="1" si="346"/>
        <v>8.8873222028382113</v>
      </c>
    </row>
    <row r="356" spans="5:19" x14ac:dyDescent="0.75">
      <c r="E356">
        <v>351</v>
      </c>
      <c r="F356">
        <v>100</v>
      </c>
      <c r="G356">
        <f t="shared" ca="1" si="342"/>
        <v>95.54718396943845</v>
      </c>
      <c r="H356">
        <f t="shared" ca="1" si="342"/>
        <v>90.790730674019045</v>
      </c>
      <c r="I356">
        <f t="shared" ca="1" si="342"/>
        <v>102.24829301227969</v>
      </c>
      <c r="J356">
        <f t="shared" ca="1" si="342"/>
        <v>104.0261924993039</v>
      </c>
      <c r="K356">
        <f t="shared" ref="K356:P356" ca="1" si="375">J356*EXP(($C$4-0.5*$C$5^2)*$C$10+$C$5*SQRT($C$10)*NORMINV(RAND(),0,1))</f>
        <v>104.78261478043791</v>
      </c>
      <c r="L356">
        <f t="shared" ca="1" si="375"/>
        <v>105.2527017530723</v>
      </c>
      <c r="M356">
        <f t="shared" ca="1" si="375"/>
        <v>100.62253630346368</v>
      </c>
      <c r="N356">
        <f t="shared" ca="1" si="375"/>
        <v>101.71434262306356</v>
      </c>
      <c r="O356">
        <f t="shared" ca="1" si="375"/>
        <v>108.02028029921324</v>
      </c>
      <c r="P356">
        <f t="shared" ca="1" si="375"/>
        <v>110.41820279429589</v>
      </c>
      <c r="Q356">
        <f t="shared" ca="1" si="344"/>
        <v>102.12937079168978</v>
      </c>
      <c r="R356">
        <f t="shared" ca="1" si="345"/>
        <v>2.1293707916897802</v>
      </c>
      <c r="S356">
        <f t="shared" ca="1" si="346"/>
        <v>2.0255201527276996</v>
      </c>
    </row>
    <row r="357" spans="5:19" x14ac:dyDescent="0.75">
      <c r="E357">
        <v>352</v>
      </c>
      <c r="F357">
        <v>100</v>
      </c>
      <c r="G357">
        <f t="shared" ca="1" si="342"/>
        <v>107.34928545999463</v>
      </c>
      <c r="H357">
        <f t="shared" ca="1" si="342"/>
        <v>93.162372330475776</v>
      </c>
      <c r="I357">
        <f t="shared" ca="1" si="342"/>
        <v>87.02261140054631</v>
      </c>
      <c r="J357">
        <f t="shared" ca="1" si="342"/>
        <v>81.401135554006544</v>
      </c>
      <c r="K357">
        <f t="shared" ref="K357:P357" ca="1" si="376">J357*EXP(($C$4-0.5*$C$5^2)*$C$10+$C$5*SQRT($C$10)*NORMINV(RAND(),0,1))</f>
        <v>86.982740591911849</v>
      </c>
      <c r="L357">
        <f t="shared" ca="1" si="376"/>
        <v>91.408017028587238</v>
      </c>
      <c r="M357">
        <f t="shared" ca="1" si="376"/>
        <v>93.165499295690736</v>
      </c>
      <c r="N357">
        <f t="shared" ca="1" si="376"/>
        <v>90.045447398313911</v>
      </c>
      <c r="O357">
        <f t="shared" ca="1" si="376"/>
        <v>92.20494109757314</v>
      </c>
      <c r="P357">
        <f t="shared" ca="1" si="376"/>
        <v>75.338054592208934</v>
      </c>
      <c r="Q357">
        <f t="shared" ca="1" si="344"/>
        <v>90.73455497720991</v>
      </c>
      <c r="R357">
        <f t="shared" ca="1" si="345"/>
        <v>0</v>
      </c>
      <c r="S357">
        <f t="shared" ca="1" si="346"/>
        <v>0</v>
      </c>
    </row>
    <row r="358" spans="5:19" x14ac:dyDescent="0.75">
      <c r="E358">
        <v>353</v>
      </c>
      <c r="F358">
        <v>100</v>
      </c>
      <c r="G358">
        <f t="shared" ca="1" si="342"/>
        <v>102.90815289474654</v>
      </c>
      <c r="H358">
        <f t="shared" ca="1" si="342"/>
        <v>97.757723103523233</v>
      </c>
      <c r="I358">
        <f t="shared" ca="1" si="342"/>
        <v>102.68876336561966</v>
      </c>
      <c r="J358">
        <f t="shared" ca="1" si="342"/>
        <v>96.447422752884322</v>
      </c>
      <c r="K358">
        <f t="shared" ref="K358:P358" ca="1" si="377">J358*EXP(($C$4-0.5*$C$5^2)*$C$10+$C$5*SQRT($C$10)*NORMINV(RAND(),0,1))</f>
        <v>95.282420131988829</v>
      </c>
      <c r="L358">
        <f t="shared" ca="1" si="377"/>
        <v>94.36916055304853</v>
      </c>
      <c r="M358">
        <f t="shared" ca="1" si="377"/>
        <v>90.85910875454509</v>
      </c>
      <c r="N358">
        <f t="shared" ca="1" si="377"/>
        <v>93.664631773422855</v>
      </c>
      <c r="O358">
        <f t="shared" ca="1" si="377"/>
        <v>92.132447530749928</v>
      </c>
      <c r="P358">
        <f t="shared" ca="1" si="377"/>
        <v>99.333213341809298</v>
      </c>
      <c r="Q358">
        <f t="shared" ca="1" si="344"/>
        <v>96.858458563848941</v>
      </c>
      <c r="R358">
        <f t="shared" ca="1" si="345"/>
        <v>0</v>
      </c>
      <c r="S358">
        <f t="shared" ca="1" si="346"/>
        <v>0</v>
      </c>
    </row>
    <row r="359" spans="5:19" x14ac:dyDescent="0.75">
      <c r="E359">
        <v>354</v>
      </c>
      <c r="F359">
        <v>100</v>
      </c>
      <c r="G359">
        <f t="shared" ca="1" si="342"/>
        <v>96.838360472699719</v>
      </c>
      <c r="H359">
        <f t="shared" ca="1" si="342"/>
        <v>100.94221697347852</v>
      </c>
      <c r="I359">
        <f t="shared" ca="1" si="342"/>
        <v>101.08831260620198</v>
      </c>
      <c r="J359">
        <f t="shared" ca="1" si="342"/>
        <v>94.478707492310946</v>
      </c>
      <c r="K359">
        <f t="shared" ref="K359:P359" ca="1" si="378">J359*EXP(($C$4-0.5*$C$5^2)*$C$10+$C$5*SQRT($C$10)*NORMINV(RAND(),0,1))</f>
        <v>104.43800838986328</v>
      </c>
      <c r="L359">
        <f t="shared" ca="1" si="378"/>
        <v>101.20648027057561</v>
      </c>
      <c r="M359">
        <f t="shared" ca="1" si="378"/>
        <v>96.663826480366566</v>
      </c>
      <c r="N359">
        <f t="shared" ca="1" si="378"/>
        <v>88.405601094274999</v>
      </c>
      <c r="O359">
        <f t="shared" ca="1" si="378"/>
        <v>88.223312873563756</v>
      </c>
      <c r="P359">
        <f t="shared" ca="1" si="378"/>
        <v>82.299125158944648</v>
      </c>
      <c r="Q359">
        <f t="shared" ca="1" si="344"/>
        <v>95.871268346570915</v>
      </c>
      <c r="R359">
        <f t="shared" ca="1" si="345"/>
        <v>0</v>
      </c>
      <c r="S359">
        <f t="shared" ca="1" si="346"/>
        <v>0</v>
      </c>
    </row>
    <row r="360" spans="5:19" x14ac:dyDescent="0.75">
      <c r="E360">
        <v>355</v>
      </c>
      <c r="F360">
        <v>100</v>
      </c>
      <c r="G360">
        <f t="shared" ca="1" si="342"/>
        <v>96.297712286163119</v>
      </c>
      <c r="H360">
        <f t="shared" ca="1" si="342"/>
        <v>106.31257142482282</v>
      </c>
      <c r="I360">
        <f t="shared" ca="1" si="342"/>
        <v>101.66342406018587</v>
      </c>
      <c r="J360">
        <f t="shared" ca="1" si="342"/>
        <v>111.7260365237004</v>
      </c>
      <c r="K360">
        <f t="shared" ref="K360:P360" ca="1" si="379">J360*EXP(($C$4-0.5*$C$5^2)*$C$10+$C$5*SQRT($C$10)*NORMINV(RAND(),0,1))</f>
        <v>112.79073604308573</v>
      </c>
      <c r="L360">
        <f t="shared" ca="1" si="379"/>
        <v>123.76657561682154</v>
      </c>
      <c r="M360">
        <f t="shared" ca="1" si="379"/>
        <v>123.13293834880733</v>
      </c>
      <c r="N360">
        <f t="shared" ca="1" si="379"/>
        <v>134.78269988555107</v>
      </c>
      <c r="O360">
        <f t="shared" ca="1" si="379"/>
        <v>128.93297954242408</v>
      </c>
      <c r="P360">
        <f t="shared" ca="1" si="379"/>
        <v>115.21601936066732</v>
      </c>
      <c r="Q360">
        <f t="shared" ca="1" si="344"/>
        <v>114.05651755383904</v>
      </c>
      <c r="R360">
        <f t="shared" ca="1" si="345"/>
        <v>14.056517553839043</v>
      </c>
      <c r="S360">
        <f t="shared" ca="1" si="346"/>
        <v>13.370973103222498</v>
      </c>
    </row>
    <row r="361" spans="5:19" x14ac:dyDescent="0.75">
      <c r="E361">
        <v>356</v>
      </c>
      <c r="F361">
        <v>100</v>
      </c>
      <c r="G361">
        <f t="shared" ca="1" si="342"/>
        <v>99.375038894055336</v>
      </c>
      <c r="H361">
        <f t="shared" ca="1" si="342"/>
        <v>102.96831431736344</v>
      </c>
      <c r="I361">
        <f t="shared" ca="1" si="342"/>
        <v>99.414820528682597</v>
      </c>
      <c r="J361">
        <f t="shared" ca="1" si="342"/>
        <v>87.831911559200819</v>
      </c>
      <c r="K361">
        <f t="shared" ref="K361:P361" ca="1" si="380">J361*EXP(($C$4-0.5*$C$5^2)*$C$10+$C$5*SQRT($C$10)*NORMINV(RAND(),0,1))</f>
        <v>88.809986445458222</v>
      </c>
      <c r="L361">
        <f t="shared" ca="1" si="380"/>
        <v>102.50534993788601</v>
      </c>
      <c r="M361">
        <f t="shared" ca="1" si="380"/>
        <v>113.1812034700242</v>
      </c>
      <c r="N361">
        <f t="shared" ca="1" si="380"/>
        <v>113.27082464532337</v>
      </c>
      <c r="O361">
        <f t="shared" ca="1" si="380"/>
        <v>107.68935841695293</v>
      </c>
      <c r="P361">
        <f t="shared" ca="1" si="380"/>
        <v>124.02378198637892</v>
      </c>
      <c r="Q361">
        <f t="shared" ca="1" si="344"/>
        <v>103.55187183648417</v>
      </c>
      <c r="R361">
        <f t="shared" ca="1" si="345"/>
        <v>3.5518718364841675</v>
      </c>
      <c r="S361">
        <f t="shared" ca="1" si="346"/>
        <v>3.3786450029191286</v>
      </c>
    </row>
    <row r="362" spans="5:19" x14ac:dyDescent="0.75">
      <c r="E362">
        <v>357</v>
      </c>
      <c r="F362">
        <v>100</v>
      </c>
      <c r="G362">
        <f t="shared" ca="1" si="342"/>
        <v>96.597620172844287</v>
      </c>
      <c r="H362">
        <f t="shared" ca="1" si="342"/>
        <v>100.03966551597206</v>
      </c>
      <c r="I362">
        <f t="shared" ca="1" si="342"/>
        <v>108.44416792903755</v>
      </c>
      <c r="J362">
        <f t="shared" ca="1" si="342"/>
        <v>115.52014983951022</v>
      </c>
      <c r="K362">
        <f t="shared" ref="K362:P362" ca="1" si="381">J362*EXP(($C$4-0.5*$C$5^2)*$C$10+$C$5*SQRT($C$10)*NORMINV(RAND(),0,1))</f>
        <v>112.91860091655141</v>
      </c>
      <c r="L362">
        <f t="shared" ca="1" si="381"/>
        <v>123.78995125521253</v>
      </c>
      <c r="M362">
        <f t="shared" ca="1" si="381"/>
        <v>122.87573364198735</v>
      </c>
      <c r="N362">
        <f t="shared" ca="1" si="381"/>
        <v>122.1718523650166</v>
      </c>
      <c r="O362">
        <f t="shared" ca="1" si="381"/>
        <v>138.8038450826852</v>
      </c>
      <c r="P362">
        <f t="shared" ca="1" si="381"/>
        <v>121.617923004286</v>
      </c>
      <c r="Q362">
        <f t="shared" ca="1" si="344"/>
        <v>114.79813724755485</v>
      </c>
      <c r="R362">
        <f t="shared" ca="1" si="345"/>
        <v>14.798137247554848</v>
      </c>
      <c r="S362">
        <f t="shared" ca="1" si="346"/>
        <v>14.076423577674179</v>
      </c>
    </row>
    <row r="363" spans="5:19" x14ac:dyDescent="0.75">
      <c r="E363">
        <v>358</v>
      </c>
      <c r="F363">
        <v>100</v>
      </c>
      <c r="G363">
        <f t="shared" ca="1" si="342"/>
        <v>93.830368757387177</v>
      </c>
      <c r="H363">
        <f t="shared" ca="1" si="342"/>
        <v>96.237335047877494</v>
      </c>
      <c r="I363">
        <f t="shared" ca="1" si="342"/>
        <v>103.80965108133211</v>
      </c>
      <c r="J363">
        <f t="shared" ca="1" si="342"/>
        <v>88.975679713822004</v>
      </c>
      <c r="K363">
        <f t="shared" ref="K363:P363" ca="1" si="382">J363*EXP(($C$4-0.5*$C$5^2)*$C$10+$C$5*SQRT($C$10)*NORMINV(RAND(),0,1))</f>
        <v>79.531193567696576</v>
      </c>
      <c r="L363">
        <f t="shared" ca="1" si="382"/>
        <v>85.949516399750664</v>
      </c>
      <c r="M363">
        <f t="shared" ca="1" si="382"/>
        <v>93.391971132873294</v>
      </c>
      <c r="N363">
        <f t="shared" ca="1" si="382"/>
        <v>104.48779489683997</v>
      </c>
      <c r="O363">
        <f t="shared" ca="1" si="382"/>
        <v>102.9402941233724</v>
      </c>
      <c r="P363">
        <f t="shared" ca="1" si="382"/>
        <v>104.80397927515652</v>
      </c>
      <c r="Q363">
        <f t="shared" ca="1" si="344"/>
        <v>95.814343999646198</v>
      </c>
      <c r="R363">
        <f t="shared" ca="1" si="345"/>
        <v>0</v>
      </c>
      <c r="S363">
        <f t="shared" ca="1" si="346"/>
        <v>0</v>
      </c>
    </row>
    <row r="364" spans="5:19" x14ac:dyDescent="0.75">
      <c r="E364">
        <v>359</v>
      </c>
      <c r="F364">
        <v>100</v>
      </c>
      <c r="G364">
        <f t="shared" ca="1" si="342"/>
        <v>109.8758850678992</v>
      </c>
      <c r="H364">
        <f t="shared" ca="1" si="342"/>
        <v>112.9962599878654</v>
      </c>
      <c r="I364">
        <f t="shared" ca="1" si="342"/>
        <v>115.94347965915303</v>
      </c>
      <c r="J364">
        <f t="shared" ca="1" si="342"/>
        <v>117.26239712316793</v>
      </c>
      <c r="K364">
        <f t="shared" ref="K364:P364" ca="1" si="383">J364*EXP(($C$4-0.5*$C$5^2)*$C$10+$C$5*SQRT($C$10)*NORMINV(RAND(),0,1))</f>
        <v>115.98498438951594</v>
      </c>
      <c r="L364">
        <f t="shared" ca="1" si="383"/>
        <v>120.18978180975154</v>
      </c>
      <c r="M364">
        <f t="shared" ca="1" si="383"/>
        <v>117.61835027151908</v>
      </c>
      <c r="N364">
        <f t="shared" ca="1" si="383"/>
        <v>118.07763020825058</v>
      </c>
      <c r="O364">
        <f t="shared" ca="1" si="383"/>
        <v>122.2669680042428</v>
      </c>
      <c r="P364">
        <f t="shared" ca="1" si="383"/>
        <v>106.34114849736767</v>
      </c>
      <c r="Q364">
        <f t="shared" ca="1" si="344"/>
        <v>114.23244409261207</v>
      </c>
      <c r="R364">
        <f t="shared" ca="1" si="345"/>
        <v>14.23244409261207</v>
      </c>
      <c r="S364">
        <f t="shared" ca="1" si="346"/>
        <v>13.538319603453965</v>
      </c>
    </row>
    <row r="365" spans="5:19" x14ac:dyDescent="0.75">
      <c r="E365">
        <v>360</v>
      </c>
      <c r="F365">
        <v>100</v>
      </c>
      <c r="G365">
        <f t="shared" ca="1" si="342"/>
        <v>92.560404503049554</v>
      </c>
      <c r="H365">
        <f t="shared" ca="1" si="342"/>
        <v>88.848054545845812</v>
      </c>
      <c r="I365">
        <f t="shared" ca="1" si="342"/>
        <v>92.280557380876516</v>
      </c>
      <c r="J365">
        <f t="shared" ca="1" si="342"/>
        <v>88.450819777025288</v>
      </c>
      <c r="K365">
        <f t="shared" ref="K365:P365" ca="1" si="384">J365*EXP(($C$4-0.5*$C$5^2)*$C$10+$C$5*SQRT($C$10)*NORMINV(RAND(),0,1))</f>
        <v>87.857461671953573</v>
      </c>
      <c r="L365">
        <f t="shared" ca="1" si="384"/>
        <v>88.800333843039795</v>
      </c>
      <c r="M365">
        <f t="shared" ca="1" si="384"/>
        <v>77.846015588878785</v>
      </c>
      <c r="N365">
        <f t="shared" ca="1" si="384"/>
        <v>83.230876793862066</v>
      </c>
      <c r="O365">
        <f t="shared" ca="1" si="384"/>
        <v>78.994310510864963</v>
      </c>
      <c r="P365">
        <f t="shared" ca="1" si="384"/>
        <v>78.907462684045058</v>
      </c>
      <c r="Q365">
        <f t="shared" ca="1" si="344"/>
        <v>87.0705724817674</v>
      </c>
      <c r="R365">
        <f t="shared" ca="1" si="345"/>
        <v>0</v>
      </c>
      <c r="S365">
        <f t="shared" ca="1" si="346"/>
        <v>0</v>
      </c>
    </row>
    <row r="366" spans="5:19" x14ac:dyDescent="0.75">
      <c r="E366">
        <v>361</v>
      </c>
      <c r="F366">
        <v>100</v>
      </c>
      <c r="G366">
        <f t="shared" ca="1" si="342"/>
        <v>96.045956463041932</v>
      </c>
      <c r="H366">
        <f t="shared" ca="1" si="342"/>
        <v>87.072542601423748</v>
      </c>
      <c r="I366">
        <f t="shared" ca="1" si="342"/>
        <v>82.846588186086791</v>
      </c>
      <c r="J366">
        <f t="shared" ca="1" si="342"/>
        <v>80.403614678778965</v>
      </c>
      <c r="K366">
        <f t="shared" ref="K366:P366" ca="1" si="385">J366*EXP(($C$4-0.5*$C$5^2)*$C$10+$C$5*SQRT($C$10)*NORMINV(RAND(),0,1))</f>
        <v>85.771088002208757</v>
      </c>
      <c r="L366">
        <f t="shared" ca="1" si="385"/>
        <v>89.969603729846369</v>
      </c>
      <c r="M366">
        <f t="shared" ca="1" si="385"/>
        <v>80.526502944728378</v>
      </c>
      <c r="N366">
        <f t="shared" ca="1" si="385"/>
        <v>72.107109989365512</v>
      </c>
      <c r="O366">
        <f t="shared" ca="1" si="385"/>
        <v>68.3207420721902</v>
      </c>
      <c r="P366">
        <f t="shared" ca="1" si="385"/>
        <v>78.661832403791195</v>
      </c>
      <c r="Q366">
        <f t="shared" ca="1" si="344"/>
        <v>83.79323464286017</v>
      </c>
      <c r="R366">
        <f t="shared" ca="1" si="345"/>
        <v>0</v>
      </c>
      <c r="S366">
        <f t="shared" ca="1" si="346"/>
        <v>0</v>
      </c>
    </row>
    <row r="367" spans="5:19" x14ac:dyDescent="0.75">
      <c r="E367">
        <v>362</v>
      </c>
      <c r="F367">
        <v>100</v>
      </c>
      <c r="G367">
        <f t="shared" ca="1" si="342"/>
        <v>100.70869712586988</v>
      </c>
      <c r="H367">
        <f t="shared" ca="1" si="342"/>
        <v>97.295160886594786</v>
      </c>
      <c r="I367">
        <f t="shared" ca="1" si="342"/>
        <v>93.876740975923525</v>
      </c>
      <c r="J367">
        <f t="shared" ca="1" si="342"/>
        <v>86.40322460115371</v>
      </c>
      <c r="K367">
        <f t="shared" ref="K367:P367" ca="1" si="386">J367*EXP(($C$4-0.5*$C$5^2)*$C$10+$C$5*SQRT($C$10)*NORMINV(RAND(),0,1))</f>
        <v>88.743430044652698</v>
      </c>
      <c r="L367">
        <f t="shared" ca="1" si="386"/>
        <v>88.786737072500173</v>
      </c>
      <c r="M367">
        <f t="shared" ca="1" si="386"/>
        <v>90.650969318038534</v>
      </c>
      <c r="N367">
        <f t="shared" ca="1" si="386"/>
        <v>85.995649958620135</v>
      </c>
      <c r="O367">
        <f t="shared" ca="1" si="386"/>
        <v>78.917731043548415</v>
      </c>
      <c r="P367">
        <f t="shared" ca="1" si="386"/>
        <v>79.941878759160048</v>
      </c>
      <c r="Q367">
        <f t="shared" ca="1" si="344"/>
        <v>90.120019980551078</v>
      </c>
      <c r="R367">
        <f t="shared" ca="1" si="345"/>
        <v>0</v>
      </c>
      <c r="S367">
        <f t="shared" ca="1" si="346"/>
        <v>0</v>
      </c>
    </row>
    <row r="368" spans="5:19" x14ac:dyDescent="0.75">
      <c r="E368">
        <v>363</v>
      </c>
      <c r="F368">
        <v>100</v>
      </c>
      <c r="G368">
        <f t="shared" ca="1" si="342"/>
        <v>106.12716285425263</v>
      </c>
      <c r="H368">
        <f t="shared" ca="1" si="342"/>
        <v>110.90459467113875</v>
      </c>
      <c r="I368">
        <f t="shared" ca="1" si="342"/>
        <v>105.12492362263789</v>
      </c>
      <c r="J368">
        <f t="shared" ca="1" si="342"/>
        <v>120.14373360782012</v>
      </c>
      <c r="K368">
        <f t="shared" ref="K368:P368" ca="1" si="387">J368*EXP(($C$4-0.5*$C$5^2)*$C$10+$C$5*SQRT($C$10)*NORMINV(RAND(),0,1))</f>
        <v>113.63487679314505</v>
      </c>
      <c r="L368">
        <f t="shared" ca="1" si="387"/>
        <v>109.84579643904293</v>
      </c>
      <c r="M368">
        <f t="shared" ca="1" si="387"/>
        <v>109.65067387840783</v>
      </c>
      <c r="N368">
        <f t="shared" ca="1" si="387"/>
        <v>108.04631904347549</v>
      </c>
      <c r="O368">
        <f t="shared" ca="1" si="387"/>
        <v>104.01808009501001</v>
      </c>
      <c r="P368">
        <f t="shared" ca="1" si="387"/>
        <v>119.89206251374667</v>
      </c>
      <c r="Q368">
        <f t="shared" ca="1" si="344"/>
        <v>109.7625657744252</v>
      </c>
      <c r="R368">
        <f t="shared" ca="1" si="345"/>
        <v>9.7625657744251981</v>
      </c>
      <c r="S368">
        <f t="shared" ca="1" si="346"/>
        <v>9.286439823256849</v>
      </c>
    </row>
    <row r="369" spans="5:19" x14ac:dyDescent="0.75">
      <c r="E369">
        <v>364</v>
      </c>
      <c r="F369">
        <v>100</v>
      </c>
      <c r="G369">
        <f t="shared" ca="1" si="342"/>
        <v>96.674877099529326</v>
      </c>
      <c r="H369">
        <f t="shared" ca="1" si="342"/>
        <v>87.850237100166325</v>
      </c>
      <c r="I369">
        <f t="shared" ca="1" si="342"/>
        <v>88.90374587719046</v>
      </c>
      <c r="J369">
        <f t="shared" ca="1" si="342"/>
        <v>88.129232998347078</v>
      </c>
      <c r="K369">
        <f t="shared" ref="K369:P369" ca="1" si="388">J369*EXP(($C$4-0.5*$C$5^2)*$C$10+$C$5*SQRT($C$10)*NORMINV(RAND(),0,1))</f>
        <v>87.868457180269687</v>
      </c>
      <c r="L369">
        <f t="shared" ca="1" si="388"/>
        <v>89.828415012261189</v>
      </c>
      <c r="M369">
        <f t="shared" ca="1" si="388"/>
        <v>97.33844901981152</v>
      </c>
      <c r="N369">
        <f t="shared" ca="1" si="388"/>
        <v>100.5625852199817</v>
      </c>
      <c r="O369">
        <f t="shared" ca="1" si="388"/>
        <v>97.010515116421345</v>
      </c>
      <c r="P369">
        <f t="shared" ca="1" si="388"/>
        <v>109.4257704174039</v>
      </c>
      <c r="Q369">
        <f t="shared" ca="1" si="344"/>
        <v>94.872025912852962</v>
      </c>
      <c r="R369">
        <f t="shared" ca="1" si="345"/>
        <v>0</v>
      </c>
      <c r="S369">
        <f t="shared" ca="1" si="346"/>
        <v>0</v>
      </c>
    </row>
    <row r="370" spans="5:19" x14ac:dyDescent="0.75">
      <c r="E370">
        <v>365</v>
      </c>
      <c r="F370">
        <v>100</v>
      </c>
      <c r="G370">
        <f t="shared" ca="1" si="342"/>
        <v>97.281648760348759</v>
      </c>
      <c r="H370">
        <f t="shared" ca="1" si="342"/>
        <v>93.801659373559431</v>
      </c>
      <c r="I370">
        <f t="shared" ca="1" si="342"/>
        <v>92.642754921742636</v>
      </c>
      <c r="J370">
        <f t="shared" ca="1" si="342"/>
        <v>88.700475993317056</v>
      </c>
      <c r="K370">
        <f t="shared" ref="K370:P370" ca="1" si="389">J370*EXP(($C$4-0.5*$C$5^2)*$C$10+$C$5*SQRT($C$10)*NORMINV(RAND(),0,1))</f>
        <v>88.97499084422877</v>
      </c>
      <c r="L370">
        <f t="shared" ca="1" si="389"/>
        <v>89.72280201145648</v>
      </c>
      <c r="M370">
        <f t="shared" ca="1" si="389"/>
        <v>91.320918757740088</v>
      </c>
      <c r="N370">
        <f t="shared" ca="1" si="389"/>
        <v>88.562653936485532</v>
      </c>
      <c r="O370">
        <f t="shared" ca="1" si="389"/>
        <v>84.62967272285087</v>
      </c>
      <c r="P370">
        <f t="shared" ca="1" si="389"/>
        <v>83.250835099520998</v>
      </c>
      <c r="Q370">
        <f t="shared" ca="1" si="344"/>
        <v>90.808037492840953</v>
      </c>
      <c r="R370">
        <f t="shared" ca="1" si="345"/>
        <v>0</v>
      </c>
      <c r="S370">
        <f t="shared" ca="1" si="346"/>
        <v>0</v>
      </c>
    </row>
    <row r="371" spans="5:19" x14ac:dyDescent="0.75">
      <c r="E371">
        <v>366</v>
      </c>
      <c r="F371">
        <v>100</v>
      </c>
      <c r="G371">
        <f t="shared" ca="1" si="342"/>
        <v>97.90623055588749</v>
      </c>
      <c r="H371">
        <f t="shared" ca="1" si="342"/>
        <v>90.590661303654343</v>
      </c>
      <c r="I371">
        <f t="shared" ca="1" si="342"/>
        <v>102.89651656535146</v>
      </c>
      <c r="J371">
        <f t="shared" ca="1" si="342"/>
        <v>112.3939789687772</v>
      </c>
      <c r="K371">
        <f t="shared" ref="K371:P371" ca="1" si="390">J371*EXP(($C$4-0.5*$C$5^2)*$C$10+$C$5*SQRT($C$10)*NORMINV(RAND(),0,1))</f>
        <v>107.1319262835308</v>
      </c>
      <c r="L371">
        <f t="shared" ca="1" si="390"/>
        <v>97.112458196010252</v>
      </c>
      <c r="M371">
        <f t="shared" ca="1" si="390"/>
        <v>114.16486856132683</v>
      </c>
      <c r="N371">
        <f t="shared" ca="1" si="390"/>
        <v>111.54474215565835</v>
      </c>
      <c r="O371">
        <f t="shared" ca="1" si="390"/>
        <v>110.29368511452736</v>
      </c>
      <c r="P371">
        <f t="shared" ca="1" si="390"/>
        <v>103.82709069959125</v>
      </c>
      <c r="Q371">
        <f t="shared" ca="1" si="344"/>
        <v>104.35110530948322</v>
      </c>
      <c r="R371">
        <f t="shared" ca="1" si="345"/>
        <v>4.3511053094832164</v>
      </c>
      <c r="S371">
        <f t="shared" ca="1" si="346"/>
        <v>4.1388993994817209</v>
      </c>
    </row>
    <row r="372" spans="5:19" x14ac:dyDescent="0.75">
      <c r="E372">
        <v>367</v>
      </c>
      <c r="F372">
        <v>100</v>
      </c>
      <c r="G372">
        <f t="shared" ca="1" si="342"/>
        <v>104.59088087637072</v>
      </c>
      <c r="H372">
        <f t="shared" ca="1" si="342"/>
        <v>110.35001001619648</v>
      </c>
      <c r="I372">
        <f t="shared" ca="1" si="342"/>
        <v>119.71331400229718</v>
      </c>
      <c r="J372">
        <f t="shared" ca="1" si="342"/>
        <v>115.85408660928753</v>
      </c>
      <c r="K372">
        <f t="shared" ref="K372:P372" ca="1" si="391">J372*EXP(($C$4-0.5*$C$5^2)*$C$10+$C$5*SQRT($C$10)*NORMINV(RAND(),0,1))</f>
        <v>107.84147635740199</v>
      </c>
      <c r="L372">
        <f t="shared" ca="1" si="391"/>
        <v>115.29440386195969</v>
      </c>
      <c r="M372">
        <f t="shared" ca="1" si="391"/>
        <v>113.38183198362518</v>
      </c>
      <c r="N372">
        <f t="shared" ca="1" si="391"/>
        <v>119.97925822217979</v>
      </c>
      <c r="O372">
        <f t="shared" ca="1" si="391"/>
        <v>127.01690835972751</v>
      </c>
      <c r="P372">
        <f t="shared" ca="1" si="391"/>
        <v>130.42456433029562</v>
      </c>
      <c r="Q372">
        <f t="shared" ca="1" si="344"/>
        <v>114.94970314721287</v>
      </c>
      <c r="R372">
        <f t="shared" ca="1" si="345"/>
        <v>14.949703147212873</v>
      </c>
      <c r="S372">
        <f t="shared" ca="1" si="346"/>
        <v>14.220597521179814</v>
      </c>
    </row>
    <row r="373" spans="5:19" x14ac:dyDescent="0.75">
      <c r="E373">
        <v>368</v>
      </c>
      <c r="F373">
        <v>100</v>
      </c>
      <c r="G373">
        <f t="shared" ca="1" si="342"/>
        <v>90.890150386749085</v>
      </c>
      <c r="H373">
        <f t="shared" ca="1" si="342"/>
        <v>95.125207045644615</v>
      </c>
      <c r="I373">
        <f t="shared" ca="1" si="342"/>
        <v>89.459525307885244</v>
      </c>
      <c r="J373">
        <f t="shared" ca="1" si="342"/>
        <v>84.84028398366037</v>
      </c>
      <c r="K373">
        <f t="shared" ref="K373:P373" ca="1" si="392">J373*EXP(($C$4-0.5*$C$5^2)*$C$10+$C$5*SQRT($C$10)*NORMINV(RAND(),0,1))</f>
        <v>84.766813096083752</v>
      </c>
      <c r="L373">
        <f t="shared" ca="1" si="392"/>
        <v>84.33025872591827</v>
      </c>
      <c r="M373">
        <f t="shared" ca="1" si="392"/>
        <v>76.13836097403312</v>
      </c>
      <c r="N373">
        <f t="shared" ca="1" si="392"/>
        <v>70.559609383175058</v>
      </c>
      <c r="O373">
        <f t="shared" ca="1" si="392"/>
        <v>75.552765943383875</v>
      </c>
      <c r="P373">
        <f t="shared" ca="1" si="392"/>
        <v>75.755859521911688</v>
      </c>
      <c r="Q373">
        <f t="shared" ca="1" si="344"/>
        <v>84.310803124404103</v>
      </c>
      <c r="R373">
        <f t="shared" ca="1" si="345"/>
        <v>0</v>
      </c>
      <c r="S373">
        <f t="shared" ca="1" si="346"/>
        <v>0</v>
      </c>
    </row>
    <row r="374" spans="5:19" x14ac:dyDescent="0.75">
      <c r="E374">
        <v>369</v>
      </c>
      <c r="F374">
        <v>100</v>
      </c>
      <c r="G374">
        <f t="shared" ca="1" si="342"/>
        <v>89.425109646882461</v>
      </c>
      <c r="H374">
        <f t="shared" ca="1" si="342"/>
        <v>95.622293864383352</v>
      </c>
      <c r="I374">
        <f t="shared" ca="1" si="342"/>
        <v>98.321863122459263</v>
      </c>
      <c r="J374">
        <f t="shared" ca="1" si="342"/>
        <v>101.06510077596784</v>
      </c>
      <c r="K374">
        <f t="shared" ref="K374:P374" ca="1" si="393">J374*EXP(($C$4-0.5*$C$5^2)*$C$10+$C$5*SQRT($C$10)*NORMINV(RAND(),0,1))</f>
        <v>104.52527808149176</v>
      </c>
      <c r="L374">
        <f t="shared" ca="1" si="393"/>
        <v>109.7730424406317</v>
      </c>
      <c r="M374">
        <f t="shared" ca="1" si="393"/>
        <v>102.47158792200577</v>
      </c>
      <c r="N374">
        <f t="shared" ca="1" si="393"/>
        <v>100.86805201444191</v>
      </c>
      <c r="O374">
        <f t="shared" ca="1" si="393"/>
        <v>87.521235086637915</v>
      </c>
      <c r="P374">
        <f t="shared" ca="1" si="393"/>
        <v>87.536089081779366</v>
      </c>
      <c r="Q374">
        <f t="shared" ca="1" si="344"/>
        <v>97.920877457880124</v>
      </c>
      <c r="R374">
        <f t="shared" ca="1" si="345"/>
        <v>0</v>
      </c>
      <c r="S374">
        <f t="shared" ca="1" si="346"/>
        <v>0</v>
      </c>
    </row>
    <row r="375" spans="5:19" x14ac:dyDescent="0.75">
      <c r="E375">
        <v>370</v>
      </c>
      <c r="F375">
        <v>100</v>
      </c>
      <c r="G375">
        <f t="shared" ca="1" si="342"/>
        <v>103.62053402726335</v>
      </c>
      <c r="H375">
        <f t="shared" ca="1" si="342"/>
        <v>104.17539284432998</v>
      </c>
      <c r="I375">
        <f t="shared" ca="1" si="342"/>
        <v>93.819940884013448</v>
      </c>
      <c r="J375">
        <f t="shared" ca="1" si="342"/>
        <v>92.014359519434649</v>
      </c>
      <c r="K375">
        <f t="shared" ref="K375:P375" ca="1" si="394">J375*EXP(($C$4-0.5*$C$5^2)*$C$10+$C$5*SQRT($C$10)*NORMINV(RAND(),0,1))</f>
        <v>82.832281063694467</v>
      </c>
      <c r="L375">
        <f t="shared" ca="1" si="394"/>
        <v>77.374390367875449</v>
      </c>
      <c r="M375">
        <f t="shared" ca="1" si="394"/>
        <v>81.359302059541903</v>
      </c>
      <c r="N375">
        <f t="shared" ca="1" si="394"/>
        <v>75.494524550634011</v>
      </c>
      <c r="O375">
        <f t="shared" ca="1" si="394"/>
        <v>71.442831422125323</v>
      </c>
      <c r="P375">
        <f t="shared" ca="1" si="394"/>
        <v>71.290615934666974</v>
      </c>
      <c r="Q375">
        <f t="shared" ca="1" si="344"/>
        <v>86.674924788507226</v>
      </c>
      <c r="R375">
        <f t="shared" ca="1" si="345"/>
        <v>0</v>
      </c>
      <c r="S375">
        <f t="shared" ca="1" si="346"/>
        <v>0</v>
      </c>
    </row>
    <row r="376" spans="5:19" x14ac:dyDescent="0.75">
      <c r="E376">
        <v>371</v>
      </c>
      <c r="F376">
        <v>100</v>
      </c>
      <c r="G376">
        <f t="shared" ca="1" si="342"/>
        <v>101.16218162334918</v>
      </c>
      <c r="H376">
        <f t="shared" ca="1" si="342"/>
        <v>94.41975380579467</v>
      </c>
      <c r="I376">
        <f t="shared" ca="1" si="342"/>
        <v>86.963369954729558</v>
      </c>
      <c r="J376">
        <f t="shared" ca="1" si="342"/>
        <v>76.437499652521879</v>
      </c>
      <c r="K376">
        <f t="shared" ref="K376:P376" ca="1" si="395">J376*EXP(($C$4-0.5*$C$5^2)*$C$10+$C$5*SQRT($C$10)*NORMINV(RAND(),0,1))</f>
        <v>82.411918647270127</v>
      </c>
      <c r="L376">
        <f t="shared" ca="1" si="395"/>
        <v>70.724213698800369</v>
      </c>
      <c r="M376">
        <f t="shared" ca="1" si="395"/>
        <v>73.65389554860235</v>
      </c>
      <c r="N376">
        <f t="shared" ca="1" si="395"/>
        <v>70.703186576530769</v>
      </c>
      <c r="O376">
        <f t="shared" ca="1" si="395"/>
        <v>69.603396404628356</v>
      </c>
      <c r="P376">
        <f t="shared" ca="1" si="395"/>
        <v>72.922987688875409</v>
      </c>
      <c r="Q376">
        <f t="shared" ca="1" si="344"/>
        <v>81.727491236463891</v>
      </c>
      <c r="R376">
        <f t="shared" ca="1" si="345"/>
        <v>0</v>
      </c>
      <c r="S376">
        <f t="shared" ca="1" si="346"/>
        <v>0</v>
      </c>
    </row>
    <row r="377" spans="5:19" x14ac:dyDescent="0.75">
      <c r="E377">
        <v>372</v>
      </c>
      <c r="F377">
        <v>100</v>
      </c>
      <c r="G377">
        <f t="shared" ca="1" si="342"/>
        <v>99.54628310442132</v>
      </c>
      <c r="H377">
        <f t="shared" ca="1" si="342"/>
        <v>100.81708065246698</v>
      </c>
      <c r="I377">
        <f t="shared" ca="1" si="342"/>
        <v>102.69024839751621</v>
      </c>
      <c r="J377">
        <f t="shared" ca="1" si="342"/>
        <v>94.238382287891667</v>
      </c>
      <c r="K377">
        <f t="shared" ref="K377:P377" ca="1" si="396">J377*EXP(($C$4-0.5*$C$5^2)*$C$10+$C$5*SQRT($C$10)*NORMINV(RAND(),0,1))</f>
        <v>88.908330527977427</v>
      </c>
      <c r="L377">
        <f t="shared" ca="1" si="396"/>
        <v>98.877440921576678</v>
      </c>
      <c r="M377">
        <f t="shared" ca="1" si="396"/>
        <v>102.6101089481827</v>
      </c>
      <c r="N377">
        <f t="shared" ca="1" si="396"/>
        <v>108.58914409453378</v>
      </c>
      <c r="O377">
        <f t="shared" ca="1" si="396"/>
        <v>119.4611258233362</v>
      </c>
      <c r="P377">
        <f t="shared" ca="1" si="396"/>
        <v>125.29394379859251</v>
      </c>
      <c r="Q377">
        <f t="shared" ca="1" si="344"/>
        <v>103.73018986877231</v>
      </c>
      <c r="R377">
        <f t="shared" ca="1" si="345"/>
        <v>3.7301898687723138</v>
      </c>
      <c r="S377">
        <f t="shared" ca="1" si="346"/>
        <v>3.5482663621506823</v>
      </c>
    </row>
    <row r="378" spans="5:19" x14ac:dyDescent="0.75">
      <c r="E378">
        <v>373</v>
      </c>
      <c r="F378">
        <v>100</v>
      </c>
      <c r="G378">
        <f t="shared" ca="1" si="342"/>
        <v>95.786159091942153</v>
      </c>
      <c r="H378">
        <f t="shared" ca="1" si="342"/>
        <v>103.78497997461916</v>
      </c>
      <c r="I378">
        <f t="shared" ca="1" si="342"/>
        <v>113.57089378005553</v>
      </c>
      <c r="J378">
        <f t="shared" ca="1" si="342"/>
        <v>115.91030891633719</v>
      </c>
      <c r="K378">
        <f t="shared" ref="K378:P378" ca="1" si="397">J378*EXP(($C$4-0.5*$C$5^2)*$C$10+$C$5*SQRT($C$10)*NORMINV(RAND(),0,1))</f>
        <v>109.39178162017556</v>
      </c>
      <c r="L378">
        <f t="shared" ca="1" si="397"/>
        <v>113.47739438107484</v>
      </c>
      <c r="M378">
        <f t="shared" ca="1" si="397"/>
        <v>118.96499019468165</v>
      </c>
      <c r="N378">
        <f t="shared" ca="1" si="397"/>
        <v>118.31095881783887</v>
      </c>
      <c r="O378">
        <f t="shared" ca="1" si="397"/>
        <v>118.15726387691254</v>
      </c>
      <c r="P378">
        <f t="shared" ca="1" si="397"/>
        <v>109.67061229174818</v>
      </c>
      <c r="Q378">
        <f t="shared" ca="1" si="344"/>
        <v>110.63866754048962</v>
      </c>
      <c r="R378">
        <f t="shared" ca="1" si="345"/>
        <v>10.638667540489621</v>
      </c>
      <c r="S378">
        <f t="shared" ca="1" si="346"/>
        <v>10.11981360199437</v>
      </c>
    </row>
    <row r="379" spans="5:19" x14ac:dyDescent="0.75">
      <c r="E379">
        <v>374</v>
      </c>
      <c r="F379">
        <v>100</v>
      </c>
      <c r="G379">
        <f t="shared" ca="1" si="342"/>
        <v>92.275790731379772</v>
      </c>
      <c r="H379">
        <f t="shared" ca="1" si="342"/>
        <v>91.214687290723418</v>
      </c>
      <c r="I379">
        <f t="shared" ca="1" si="342"/>
        <v>95.022975812080631</v>
      </c>
      <c r="J379">
        <f t="shared" ca="1" si="342"/>
        <v>86.879791740206443</v>
      </c>
      <c r="K379">
        <f t="shared" ref="K379:P379" ca="1" si="398">J379*EXP(($C$4-0.5*$C$5^2)*$C$10+$C$5*SQRT($C$10)*NORMINV(RAND(),0,1))</f>
        <v>79.347436253371427</v>
      </c>
      <c r="L379">
        <f t="shared" ca="1" si="398"/>
        <v>79.738669830573897</v>
      </c>
      <c r="M379">
        <f t="shared" ca="1" si="398"/>
        <v>74.420858517567893</v>
      </c>
      <c r="N379">
        <f t="shared" ca="1" si="398"/>
        <v>74.072723344327329</v>
      </c>
      <c r="O379">
        <f t="shared" ca="1" si="398"/>
        <v>72.434705354346093</v>
      </c>
      <c r="P379">
        <f t="shared" ca="1" si="398"/>
        <v>72.960282561677488</v>
      </c>
      <c r="Q379">
        <f t="shared" ca="1" si="344"/>
        <v>83.487992857841292</v>
      </c>
      <c r="R379">
        <f t="shared" ca="1" si="345"/>
        <v>0</v>
      </c>
      <c r="S379">
        <f t="shared" ca="1" si="346"/>
        <v>0</v>
      </c>
    </row>
    <row r="380" spans="5:19" x14ac:dyDescent="0.75">
      <c r="E380">
        <v>375</v>
      </c>
      <c r="F380">
        <v>100</v>
      </c>
      <c r="G380">
        <f t="shared" ca="1" si="342"/>
        <v>99.361468867176328</v>
      </c>
      <c r="H380">
        <f t="shared" ca="1" si="342"/>
        <v>97.707829561910415</v>
      </c>
      <c r="I380">
        <f t="shared" ca="1" si="342"/>
        <v>93.690631808272911</v>
      </c>
      <c r="J380">
        <f t="shared" ca="1" si="342"/>
        <v>86.076183406317327</v>
      </c>
      <c r="K380">
        <f t="shared" ref="K380:P380" ca="1" si="399">J380*EXP(($C$4-0.5*$C$5^2)*$C$10+$C$5*SQRT($C$10)*NORMINV(RAND(),0,1))</f>
        <v>90.507566820481614</v>
      </c>
      <c r="L380">
        <f t="shared" ca="1" si="399"/>
        <v>97.94814083623433</v>
      </c>
      <c r="M380">
        <f t="shared" ca="1" si="399"/>
        <v>109.4960215984643</v>
      </c>
      <c r="N380">
        <f t="shared" ca="1" si="399"/>
        <v>107.98761166956282</v>
      </c>
      <c r="O380">
        <f t="shared" ca="1" si="399"/>
        <v>113.64184178230903</v>
      </c>
      <c r="P380">
        <f t="shared" ca="1" si="399"/>
        <v>112.22514409971103</v>
      </c>
      <c r="Q380">
        <f t="shared" ca="1" si="344"/>
        <v>100.78567640458546</v>
      </c>
      <c r="R380">
        <f t="shared" ca="1" si="345"/>
        <v>0.78567640458545895</v>
      </c>
      <c r="S380">
        <f t="shared" ca="1" si="346"/>
        <v>0.74735851417761623</v>
      </c>
    </row>
    <row r="381" spans="5:19" x14ac:dyDescent="0.75">
      <c r="E381">
        <v>376</v>
      </c>
      <c r="F381">
        <v>100</v>
      </c>
      <c r="G381">
        <f t="shared" ca="1" si="342"/>
        <v>93.225968576261863</v>
      </c>
      <c r="H381">
        <f t="shared" ca="1" si="342"/>
        <v>86.920901963664463</v>
      </c>
      <c r="I381">
        <f t="shared" ca="1" si="342"/>
        <v>93.898785821956579</v>
      </c>
      <c r="J381">
        <f t="shared" ca="1" si="342"/>
        <v>98.624034996222917</v>
      </c>
      <c r="K381">
        <f t="shared" ref="K381:P381" ca="1" si="400">J381*EXP(($C$4-0.5*$C$5^2)*$C$10+$C$5*SQRT($C$10)*NORMINV(RAND(),0,1))</f>
        <v>97.423103534706442</v>
      </c>
      <c r="L381">
        <f t="shared" ca="1" si="400"/>
        <v>95.656490724915045</v>
      </c>
      <c r="M381">
        <f t="shared" ca="1" si="400"/>
        <v>92.173702969356725</v>
      </c>
      <c r="N381">
        <f t="shared" ca="1" si="400"/>
        <v>90.769806337269841</v>
      </c>
      <c r="O381">
        <f t="shared" ca="1" si="400"/>
        <v>91.819335667680335</v>
      </c>
      <c r="P381">
        <f t="shared" ca="1" si="400"/>
        <v>88.13504410886469</v>
      </c>
      <c r="Q381">
        <f t="shared" ca="1" si="344"/>
        <v>93.513379518263548</v>
      </c>
      <c r="R381">
        <f t="shared" ca="1" si="345"/>
        <v>0</v>
      </c>
      <c r="S381">
        <f t="shared" ca="1" si="346"/>
        <v>0</v>
      </c>
    </row>
    <row r="382" spans="5:19" x14ac:dyDescent="0.75">
      <c r="E382">
        <v>377</v>
      </c>
      <c r="F382">
        <v>100</v>
      </c>
      <c r="G382">
        <f t="shared" ca="1" si="342"/>
        <v>95.716709182683076</v>
      </c>
      <c r="H382">
        <f t="shared" ca="1" si="342"/>
        <v>87.529304011498837</v>
      </c>
      <c r="I382">
        <f t="shared" ca="1" si="342"/>
        <v>84.882342931977178</v>
      </c>
      <c r="J382">
        <f t="shared" ca="1" si="342"/>
        <v>84.508115147456621</v>
      </c>
      <c r="K382">
        <f t="shared" ref="K382:P382" ca="1" si="401">J382*EXP(($C$4-0.5*$C$5^2)*$C$10+$C$5*SQRT($C$10)*NORMINV(RAND(),0,1))</f>
        <v>94.259150039236076</v>
      </c>
      <c r="L382">
        <f t="shared" ca="1" si="401"/>
        <v>91.428134641465903</v>
      </c>
      <c r="M382">
        <f t="shared" ca="1" si="401"/>
        <v>102.07274613001351</v>
      </c>
      <c r="N382">
        <f t="shared" ca="1" si="401"/>
        <v>95.272981585033534</v>
      </c>
      <c r="O382">
        <f t="shared" ca="1" si="401"/>
        <v>92.905523880317247</v>
      </c>
      <c r="P382">
        <f t="shared" ca="1" si="401"/>
        <v>94.804420007589059</v>
      </c>
      <c r="Q382">
        <f t="shared" ca="1" si="344"/>
        <v>93.034493414297359</v>
      </c>
      <c r="R382">
        <f t="shared" ca="1" si="345"/>
        <v>0</v>
      </c>
      <c r="S382">
        <f t="shared" ca="1" si="346"/>
        <v>0</v>
      </c>
    </row>
    <row r="383" spans="5:19" x14ac:dyDescent="0.75">
      <c r="E383">
        <v>378</v>
      </c>
      <c r="F383">
        <v>100</v>
      </c>
      <c r="G383">
        <f t="shared" ca="1" si="342"/>
        <v>93.757718836084592</v>
      </c>
      <c r="H383">
        <f t="shared" ca="1" si="342"/>
        <v>93.40986714820545</v>
      </c>
      <c r="I383">
        <f t="shared" ca="1" si="342"/>
        <v>83.888050747778834</v>
      </c>
      <c r="J383">
        <f t="shared" ca="1" si="342"/>
        <v>87.270505276522144</v>
      </c>
      <c r="K383">
        <f t="shared" ref="K383:P383" ca="1" si="402">J383*EXP(($C$4-0.5*$C$5^2)*$C$10+$C$5*SQRT($C$10)*NORMINV(RAND(),0,1))</f>
        <v>97.946957506475314</v>
      </c>
      <c r="L383">
        <f t="shared" ca="1" si="402"/>
        <v>99.511692424834393</v>
      </c>
      <c r="M383">
        <f t="shared" ca="1" si="402"/>
        <v>97.522502611874359</v>
      </c>
      <c r="N383">
        <f t="shared" ca="1" si="402"/>
        <v>105.82583428275841</v>
      </c>
      <c r="O383">
        <f t="shared" ca="1" si="402"/>
        <v>102.69527400535948</v>
      </c>
      <c r="P383">
        <f t="shared" ca="1" si="402"/>
        <v>95.399144935412764</v>
      </c>
      <c r="Q383">
        <f t="shared" ca="1" si="344"/>
        <v>96.111595252300518</v>
      </c>
      <c r="R383">
        <f t="shared" ca="1" si="345"/>
        <v>0</v>
      </c>
      <c r="S383">
        <f t="shared" ca="1" si="346"/>
        <v>0</v>
      </c>
    </row>
    <row r="384" spans="5:19" x14ac:dyDescent="0.75">
      <c r="E384">
        <v>379</v>
      </c>
      <c r="F384">
        <v>100</v>
      </c>
      <c r="G384">
        <f t="shared" ca="1" si="342"/>
        <v>97.251487023458012</v>
      </c>
      <c r="H384">
        <f t="shared" ca="1" si="342"/>
        <v>97.561967873484434</v>
      </c>
      <c r="I384">
        <f t="shared" ca="1" si="342"/>
        <v>108.0209896623124</v>
      </c>
      <c r="J384">
        <f t="shared" ca="1" si="342"/>
        <v>113.12919386839133</v>
      </c>
      <c r="K384">
        <f t="shared" ref="K384:P384" ca="1" si="403">J384*EXP(($C$4-0.5*$C$5^2)*$C$10+$C$5*SQRT($C$10)*NORMINV(RAND(),0,1))</f>
        <v>118.31703806000107</v>
      </c>
      <c r="L384">
        <f t="shared" ca="1" si="403"/>
        <v>114.0571237603333</v>
      </c>
      <c r="M384">
        <f t="shared" ca="1" si="403"/>
        <v>107.19800992471775</v>
      </c>
      <c r="N384">
        <f t="shared" ca="1" si="403"/>
        <v>102.51685148385475</v>
      </c>
      <c r="O384">
        <f t="shared" ca="1" si="403"/>
        <v>105.52342207028428</v>
      </c>
      <c r="P384">
        <f t="shared" ca="1" si="403"/>
        <v>107.40200848844306</v>
      </c>
      <c r="Q384">
        <f t="shared" ca="1" si="344"/>
        <v>106.45255383775276</v>
      </c>
      <c r="R384">
        <f t="shared" ca="1" si="345"/>
        <v>6.4525538377527596</v>
      </c>
      <c r="S384">
        <f t="shared" ca="1" si="346"/>
        <v>6.1378590736454308</v>
      </c>
    </row>
    <row r="385" spans="5:19" x14ac:dyDescent="0.75">
      <c r="E385">
        <v>380</v>
      </c>
      <c r="F385">
        <v>100</v>
      </c>
      <c r="G385">
        <f t="shared" ca="1" si="342"/>
        <v>94.739725355285003</v>
      </c>
      <c r="H385">
        <f t="shared" ca="1" si="342"/>
        <v>86.507172310218579</v>
      </c>
      <c r="I385">
        <f t="shared" ca="1" si="342"/>
        <v>83.473074472661494</v>
      </c>
      <c r="J385">
        <f t="shared" ca="1" si="342"/>
        <v>89.097565162109618</v>
      </c>
      <c r="K385">
        <f t="shared" ref="K385:P385" ca="1" si="404">J385*EXP(($C$4-0.5*$C$5^2)*$C$10+$C$5*SQRT($C$10)*NORMINV(RAND(),0,1))</f>
        <v>86.729572680927006</v>
      </c>
      <c r="L385">
        <f t="shared" ca="1" si="404"/>
        <v>76.815281221186169</v>
      </c>
      <c r="M385">
        <f t="shared" ca="1" si="404"/>
        <v>87.950682045204047</v>
      </c>
      <c r="N385">
        <f t="shared" ca="1" si="404"/>
        <v>78.464006272883964</v>
      </c>
      <c r="O385">
        <f t="shared" ca="1" si="404"/>
        <v>79.202336225768434</v>
      </c>
      <c r="P385">
        <f t="shared" ca="1" si="404"/>
        <v>87.461439512267035</v>
      </c>
      <c r="Q385">
        <f t="shared" ca="1" si="344"/>
        <v>86.403714114410135</v>
      </c>
      <c r="R385">
        <f t="shared" ca="1" si="345"/>
        <v>0</v>
      </c>
      <c r="S385">
        <f t="shared" ca="1" si="346"/>
        <v>0</v>
      </c>
    </row>
    <row r="386" spans="5:19" x14ac:dyDescent="0.75">
      <c r="E386">
        <v>381</v>
      </c>
      <c r="F386">
        <v>100</v>
      </c>
      <c r="G386">
        <f t="shared" ca="1" si="342"/>
        <v>102.05580095116903</v>
      </c>
      <c r="H386">
        <f t="shared" ca="1" si="342"/>
        <v>109.76902049957752</v>
      </c>
      <c r="I386">
        <f t="shared" ca="1" si="342"/>
        <v>106.23657504949499</v>
      </c>
      <c r="J386">
        <f t="shared" ca="1" si="342"/>
        <v>97.401770480575408</v>
      </c>
      <c r="K386">
        <f t="shared" ref="K386:P386" ca="1" si="405">J386*EXP(($C$4-0.5*$C$5^2)*$C$10+$C$5*SQRT($C$10)*NORMINV(RAND(),0,1))</f>
        <v>104.61709724787936</v>
      </c>
      <c r="L386">
        <f t="shared" ca="1" si="405"/>
        <v>106.6915386619138</v>
      </c>
      <c r="M386">
        <f t="shared" ca="1" si="405"/>
        <v>94.84391049793615</v>
      </c>
      <c r="N386">
        <f t="shared" ca="1" si="405"/>
        <v>101.85082535759193</v>
      </c>
      <c r="O386">
        <f t="shared" ca="1" si="405"/>
        <v>105.12664298861908</v>
      </c>
      <c r="P386">
        <f t="shared" ca="1" si="405"/>
        <v>119.46260662527544</v>
      </c>
      <c r="Q386">
        <f t="shared" ca="1" si="344"/>
        <v>104.36870803273023</v>
      </c>
      <c r="R386">
        <f t="shared" ca="1" si="345"/>
        <v>4.3687080327302255</v>
      </c>
      <c r="S386">
        <f t="shared" ca="1" si="346"/>
        <v>4.1556436277856186</v>
      </c>
    </row>
    <row r="387" spans="5:19" x14ac:dyDescent="0.75">
      <c r="E387">
        <v>382</v>
      </c>
      <c r="F387">
        <v>100</v>
      </c>
      <c r="G387">
        <f t="shared" ca="1" si="342"/>
        <v>94.65454587666575</v>
      </c>
      <c r="H387">
        <f t="shared" ca="1" si="342"/>
        <v>106.36078227504848</v>
      </c>
      <c r="I387">
        <f t="shared" ca="1" si="342"/>
        <v>111.52834983185437</v>
      </c>
      <c r="J387">
        <f t="shared" ca="1" si="342"/>
        <v>110.65299549774586</v>
      </c>
      <c r="K387">
        <f t="shared" ref="K387:P387" ca="1" si="406">J387*EXP(($C$4-0.5*$C$5^2)*$C$10+$C$5*SQRT($C$10)*NORMINV(RAND(),0,1))</f>
        <v>107.88532405868399</v>
      </c>
      <c r="L387">
        <f t="shared" ca="1" si="406"/>
        <v>113.34412521045358</v>
      </c>
      <c r="M387">
        <f t="shared" ca="1" si="406"/>
        <v>117.70984633161929</v>
      </c>
      <c r="N387">
        <f t="shared" ca="1" si="406"/>
        <v>124.10458505067329</v>
      </c>
      <c r="O387">
        <f t="shared" ca="1" si="406"/>
        <v>124.56148629841498</v>
      </c>
      <c r="P387">
        <f t="shared" ca="1" si="406"/>
        <v>113.1426634420251</v>
      </c>
      <c r="Q387">
        <f t="shared" ca="1" si="344"/>
        <v>111.26770035210771</v>
      </c>
      <c r="R387">
        <f t="shared" ca="1" si="345"/>
        <v>11.26770035210771</v>
      </c>
      <c r="S387">
        <f t="shared" ca="1" si="346"/>
        <v>10.718168121381909</v>
      </c>
    </row>
    <row r="388" spans="5:19" x14ac:dyDescent="0.75">
      <c r="E388">
        <v>383</v>
      </c>
      <c r="F388">
        <v>100</v>
      </c>
      <c r="G388">
        <f t="shared" ca="1" si="342"/>
        <v>93.770335351659384</v>
      </c>
      <c r="H388">
        <f t="shared" ca="1" si="342"/>
        <v>100.84025108554756</v>
      </c>
      <c r="I388">
        <f t="shared" ca="1" si="342"/>
        <v>101.0642372157739</v>
      </c>
      <c r="J388">
        <f t="shared" ca="1" si="342"/>
        <v>101.06376059156833</v>
      </c>
      <c r="K388">
        <f t="shared" ref="K388:P388" ca="1" si="407">J388*EXP(($C$4-0.5*$C$5^2)*$C$10+$C$5*SQRT($C$10)*NORMINV(RAND(),0,1))</f>
        <v>104.79807067998078</v>
      </c>
      <c r="L388">
        <f t="shared" ca="1" si="407"/>
        <v>113.19477811146869</v>
      </c>
      <c r="M388">
        <f t="shared" ca="1" si="407"/>
        <v>119.54985522020198</v>
      </c>
      <c r="N388">
        <f t="shared" ca="1" si="407"/>
        <v>122.92577423423037</v>
      </c>
      <c r="O388">
        <f t="shared" ca="1" si="407"/>
        <v>117.64321321327387</v>
      </c>
      <c r="P388">
        <f t="shared" ca="1" si="407"/>
        <v>120.59185805924984</v>
      </c>
      <c r="Q388">
        <f t="shared" ca="1" si="344"/>
        <v>108.67655761481409</v>
      </c>
      <c r="R388">
        <f t="shared" ca="1" si="345"/>
        <v>8.6765576148140866</v>
      </c>
      <c r="S388">
        <f t="shared" ca="1" si="346"/>
        <v>8.2533969065868913</v>
      </c>
    </row>
    <row r="389" spans="5:19" x14ac:dyDescent="0.75">
      <c r="E389">
        <v>384</v>
      </c>
      <c r="F389">
        <v>100</v>
      </c>
      <c r="G389">
        <f t="shared" ca="1" si="342"/>
        <v>88.991564025498221</v>
      </c>
      <c r="H389">
        <f t="shared" ca="1" si="342"/>
        <v>87.730074839090435</v>
      </c>
      <c r="I389">
        <f t="shared" ca="1" si="342"/>
        <v>92.447510418465029</v>
      </c>
      <c r="J389">
        <f t="shared" ca="1" si="342"/>
        <v>94.601043770060002</v>
      </c>
      <c r="K389">
        <f t="shared" ref="K389:P389" ca="1" si="408">J389*EXP(($C$4-0.5*$C$5^2)*$C$10+$C$5*SQRT($C$10)*NORMINV(RAND(),0,1))</f>
        <v>98.024233581869822</v>
      </c>
      <c r="L389">
        <f t="shared" ca="1" si="408"/>
        <v>98.48229456859363</v>
      </c>
      <c r="M389">
        <f t="shared" ca="1" si="408"/>
        <v>89.363553100419992</v>
      </c>
      <c r="N389">
        <f t="shared" ca="1" si="408"/>
        <v>103.3707892801842</v>
      </c>
      <c r="O389">
        <f t="shared" ca="1" si="408"/>
        <v>96.816091266156121</v>
      </c>
      <c r="P389">
        <f t="shared" ca="1" si="408"/>
        <v>86.00665160078978</v>
      </c>
      <c r="Q389">
        <f t="shared" ca="1" si="344"/>
        <v>94.166709677375195</v>
      </c>
      <c r="R389">
        <f t="shared" ca="1" si="345"/>
        <v>0</v>
      </c>
      <c r="S389">
        <f t="shared" ca="1" si="346"/>
        <v>0</v>
      </c>
    </row>
    <row r="390" spans="5:19" x14ac:dyDescent="0.75">
      <c r="E390">
        <v>385</v>
      </c>
      <c r="F390">
        <v>100</v>
      </c>
      <c r="G390">
        <f t="shared" ca="1" si="342"/>
        <v>93.163296897451701</v>
      </c>
      <c r="H390">
        <f t="shared" ca="1" si="342"/>
        <v>93.480835891464878</v>
      </c>
      <c r="I390">
        <f t="shared" ca="1" si="342"/>
        <v>99.425257974875649</v>
      </c>
      <c r="J390">
        <f t="shared" ref="J390:P390" ca="1" si="409">I390*EXP(($C$4-0.5*$C$5^2)*$C$10+$C$5*SQRT($C$10)*NORMINV(RAND(),0,1))</f>
        <v>109.0780947799271</v>
      </c>
      <c r="K390">
        <f t="shared" ca="1" si="409"/>
        <v>103.74005119456568</v>
      </c>
      <c r="L390">
        <f t="shared" ca="1" si="409"/>
        <v>104.29645409869859</v>
      </c>
      <c r="M390">
        <f t="shared" ca="1" si="409"/>
        <v>98.519594766434537</v>
      </c>
      <c r="N390">
        <f t="shared" ca="1" si="409"/>
        <v>93.291533884699447</v>
      </c>
      <c r="O390">
        <f t="shared" ca="1" si="409"/>
        <v>90.4354494624572</v>
      </c>
      <c r="P390">
        <f t="shared" ca="1" si="409"/>
        <v>88.976921055440002</v>
      </c>
      <c r="Q390">
        <f t="shared" ca="1" si="344"/>
        <v>97.67340818236498</v>
      </c>
      <c r="R390">
        <f t="shared" ca="1" si="345"/>
        <v>0</v>
      </c>
      <c r="S390">
        <f t="shared" ca="1" si="346"/>
        <v>0</v>
      </c>
    </row>
    <row r="391" spans="5:19" x14ac:dyDescent="0.75">
      <c r="E391">
        <v>386</v>
      </c>
      <c r="F391">
        <v>100</v>
      </c>
      <c r="G391">
        <f t="shared" ref="G391:J454" ca="1" si="410">F391*EXP(($C$4-0.5*$C$5^2)*$C$10+$C$5*SQRT($C$10)*NORMINV(RAND(),0,1))</f>
        <v>108.67756324172886</v>
      </c>
      <c r="H391">
        <f t="shared" ca="1" si="410"/>
        <v>112.67215357114567</v>
      </c>
      <c r="I391">
        <f t="shared" ca="1" si="410"/>
        <v>113.10884247716149</v>
      </c>
      <c r="J391">
        <f t="shared" ca="1" si="410"/>
        <v>108.8147615564516</v>
      </c>
      <c r="K391">
        <f t="shared" ref="K391:P391" ca="1" si="411">J391*EXP(($C$4-0.5*$C$5^2)*$C$10+$C$5*SQRT($C$10)*NORMINV(RAND(),0,1))</f>
        <v>114.15242139402578</v>
      </c>
      <c r="L391">
        <f t="shared" ca="1" si="411"/>
        <v>116.50670653053287</v>
      </c>
      <c r="M391">
        <f t="shared" ca="1" si="411"/>
        <v>123.95064985261583</v>
      </c>
      <c r="N391">
        <f t="shared" ca="1" si="411"/>
        <v>112.08205457290714</v>
      </c>
      <c r="O391">
        <f t="shared" ca="1" si="411"/>
        <v>118.11855957033353</v>
      </c>
      <c r="P391">
        <f t="shared" ca="1" si="411"/>
        <v>113.22693122442597</v>
      </c>
      <c r="Q391">
        <f t="shared" ref="Q391:Q454" ca="1" si="412">AVERAGE(F391:P391)</f>
        <v>112.84642218102987</v>
      </c>
      <c r="R391">
        <f t="shared" ref="R391:R454" ca="1" si="413">MAX(Q391-$C$7,0)</f>
        <v>12.846422181029865</v>
      </c>
      <c r="S391">
        <f t="shared" ref="S391:S454" ca="1" si="414">EXP(-$C$4*$C$6)*R391</f>
        <v>12.219894778154247</v>
      </c>
    </row>
    <row r="392" spans="5:19" x14ac:dyDescent="0.75">
      <c r="E392">
        <v>387</v>
      </c>
      <c r="F392">
        <v>100</v>
      </c>
      <c r="G392">
        <f t="shared" ca="1" si="410"/>
        <v>102.86830918164817</v>
      </c>
      <c r="H392">
        <f t="shared" ca="1" si="410"/>
        <v>102.66895539544771</v>
      </c>
      <c r="I392">
        <f t="shared" ca="1" si="410"/>
        <v>107.52754182710829</v>
      </c>
      <c r="J392">
        <f t="shared" ca="1" si="410"/>
        <v>105.9078601839885</v>
      </c>
      <c r="K392">
        <f t="shared" ref="K392:P392" ca="1" si="415">J392*EXP(($C$4-0.5*$C$5^2)*$C$10+$C$5*SQRT($C$10)*NORMINV(RAND(),0,1))</f>
        <v>101.85000888945287</v>
      </c>
      <c r="L392">
        <f t="shared" ca="1" si="415"/>
        <v>106.95732873061804</v>
      </c>
      <c r="M392">
        <f t="shared" ca="1" si="415"/>
        <v>102.88711845319835</v>
      </c>
      <c r="N392">
        <f t="shared" ca="1" si="415"/>
        <v>110.72952144749432</v>
      </c>
      <c r="O392">
        <f t="shared" ca="1" si="415"/>
        <v>101.50770620951282</v>
      </c>
      <c r="P392">
        <f t="shared" ca="1" si="415"/>
        <v>94.681919084220993</v>
      </c>
      <c r="Q392">
        <f t="shared" ca="1" si="412"/>
        <v>103.41693358206273</v>
      </c>
      <c r="R392">
        <f t="shared" ca="1" si="413"/>
        <v>3.4169335820627253</v>
      </c>
      <c r="S392">
        <f t="shared" ca="1" si="414"/>
        <v>3.2502877648226893</v>
      </c>
    </row>
    <row r="393" spans="5:19" x14ac:dyDescent="0.75">
      <c r="E393">
        <v>388</v>
      </c>
      <c r="F393">
        <v>100</v>
      </c>
      <c r="G393">
        <f t="shared" ca="1" si="410"/>
        <v>103.93201003843031</v>
      </c>
      <c r="H393">
        <f t="shared" ca="1" si="410"/>
        <v>110.76312390060237</v>
      </c>
      <c r="I393">
        <f t="shared" ca="1" si="410"/>
        <v>100.48699090208417</v>
      </c>
      <c r="J393">
        <f t="shared" ca="1" si="410"/>
        <v>99.38034179074657</v>
      </c>
      <c r="K393">
        <f t="shared" ref="K393:P393" ca="1" si="416">J393*EXP(($C$4-0.5*$C$5^2)*$C$10+$C$5*SQRT($C$10)*NORMINV(RAND(),0,1))</f>
        <v>94.761403275666382</v>
      </c>
      <c r="L393">
        <f t="shared" ca="1" si="416"/>
        <v>95.28924914013956</v>
      </c>
      <c r="M393">
        <f t="shared" ca="1" si="416"/>
        <v>103.4723391588671</v>
      </c>
      <c r="N393">
        <f t="shared" ca="1" si="416"/>
        <v>90.19075802184858</v>
      </c>
      <c r="O393">
        <f t="shared" ca="1" si="416"/>
        <v>97.810119207872972</v>
      </c>
      <c r="P393">
        <f t="shared" ca="1" si="416"/>
        <v>82.00052557911232</v>
      </c>
      <c r="Q393">
        <f t="shared" ca="1" si="412"/>
        <v>98.007896455942728</v>
      </c>
      <c r="R393">
        <f t="shared" ca="1" si="413"/>
        <v>0</v>
      </c>
      <c r="S393">
        <f t="shared" ca="1" si="414"/>
        <v>0</v>
      </c>
    </row>
    <row r="394" spans="5:19" x14ac:dyDescent="0.75">
      <c r="E394">
        <v>389</v>
      </c>
      <c r="F394">
        <v>100</v>
      </c>
      <c r="G394">
        <f t="shared" ca="1" si="410"/>
        <v>118.92261614781643</v>
      </c>
      <c r="H394">
        <f t="shared" ca="1" si="410"/>
        <v>106.28824223774456</v>
      </c>
      <c r="I394">
        <f t="shared" ca="1" si="410"/>
        <v>100.50931897907731</v>
      </c>
      <c r="J394">
        <f t="shared" ca="1" si="410"/>
        <v>101.15521349455719</v>
      </c>
      <c r="K394">
        <f t="shared" ref="K394:P394" ca="1" si="417">J394*EXP(($C$4-0.5*$C$5^2)*$C$10+$C$5*SQRT($C$10)*NORMINV(RAND(),0,1))</f>
        <v>103.89539207478212</v>
      </c>
      <c r="L394">
        <f t="shared" ca="1" si="417"/>
        <v>106.50413378720417</v>
      </c>
      <c r="M394">
        <f t="shared" ca="1" si="417"/>
        <v>111.5796622963982</v>
      </c>
      <c r="N394">
        <f t="shared" ca="1" si="417"/>
        <v>109.94214825408899</v>
      </c>
      <c r="O394">
        <f t="shared" ca="1" si="417"/>
        <v>105.6074422459921</v>
      </c>
      <c r="P394">
        <f t="shared" ca="1" si="417"/>
        <v>101.13560128093634</v>
      </c>
      <c r="Q394">
        <f t="shared" ca="1" si="412"/>
        <v>105.95816098169067</v>
      </c>
      <c r="R394">
        <f t="shared" ca="1" si="413"/>
        <v>5.9581609816906678</v>
      </c>
      <c r="S394">
        <f t="shared" ca="1" si="414"/>
        <v>5.6675780416962231</v>
      </c>
    </row>
    <row r="395" spans="5:19" x14ac:dyDescent="0.75">
      <c r="E395">
        <v>390</v>
      </c>
      <c r="F395">
        <v>100</v>
      </c>
      <c r="G395">
        <f t="shared" ca="1" si="410"/>
        <v>103.79064246953497</v>
      </c>
      <c r="H395">
        <f t="shared" ca="1" si="410"/>
        <v>96.531058912135663</v>
      </c>
      <c r="I395">
        <f t="shared" ca="1" si="410"/>
        <v>102.25054348776708</v>
      </c>
      <c r="J395">
        <f t="shared" ca="1" si="410"/>
        <v>85.366338911751839</v>
      </c>
      <c r="K395">
        <f t="shared" ref="K395:P395" ca="1" si="418">J395*EXP(($C$4-0.5*$C$5^2)*$C$10+$C$5*SQRT($C$10)*NORMINV(RAND(),0,1))</f>
        <v>85.370031487440883</v>
      </c>
      <c r="L395">
        <f t="shared" ca="1" si="418"/>
        <v>88.911519859140029</v>
      </c>
      <c r="M395">
        <f t="shared" ca="1" si="418"/>
        <v>93.611661127848208</v>
      </c>
      <c r="N395">
        <f t="shared" ca="1" si="418"/>
        <v>98.125633604320356</v>
      </c>
      <c r="O395">
        <f t="shared" ca="1" si="418"/>
        <v>94.065405430199917</v>
      </c>
      <c r="P395">
        <f t="shared" ca="1" si="418"/>
        <v>101.91935046825857</v>
      </c>
      <c r="Q395">
        <f t="shared" ca="1" si="412"/>
        <v>95.449289614399774</v>
      </c>
      <c r="R395">
        <f t="shared" ca="1" si="413"/>
        <v>0</v>
      </c>
      <c r="S395">
        <f t="shared" ca="1" si="414"/>
        <v>0</v>
      </c>
    </row>
    <row r="396" spans="5:19" x14ac:dyDescent="0.75">
      <c r="E396">
        <v>391</v>
      </c>
      <c r="F396">
        <v>100</v>
      </c>
      <c r="G396">
        <f t="shared" ca="1" si="410"/>
        <v>106.08448871410501</v>
      </c>
      <c r="H396">
        <f t="shared" ca="1" si="410"/>
        <v>107.55849083281744</v>
      </c>
      <c r="I396">
        <f t="shared" ca="1" si="410"/>
        <v>120.02316796821849</v>
      </c>
      <c r="J396">
        <f t="shared" ca="1" si="410"/>
        <v>130.26173707232724</v>
      </c>
      <c r="K396">
        <f t="shared" ref="K396:P396" ca="1" si="419">J396*EXP(($C$4-0.5*$C$5^2)*$C$10+$C$5*SQRT($C$10)*NORMINV(RAND(),0,1))</f>
        <v>130.90943119574086</v>
      </c>
      <c r="L396">
        <f t="shared" ca="1" si="419"/>
        <v>144.98889978576193</v>
      </c>
      <c r="M396">
        <f t="shared" ca="1" si="419"/>
        <v>157.70735345002444</v>
      </c>
      <c r="N396">
        <f t="shared" ca="1" si="419"/>
        <v>153.34856548740686</v>
      </c>
      <c r="O396">
        <f t="shared" ca="1" si="419"/>
        <v>142.74256557664722</v>
      </c>
      <c r="P396">
        <f t="shared" ca="1" si="419"/>
        <v>145.7244393262697</v>
      </c>
      <c r="Q396">
        <f t="shared" ca="1" si="412"/>
        <v>130.84992176448358</v>
      </c>
      <c r="R396">
        <f t="shared" ca="1" si="413"/>
        <v>30.849921764483582</v>
      </c>
      <c r="S396">
        <f t="shared" ca="1" si="414"/>
        <v>29.345353325921771</v>
      </c>
    </row>
    <row r="397" spans="5:19" x14ac:dyDescent="0.75">
      <c r="E397">
        <v>392</v>
      </c>
      <c r="F397">
        <v>100</v>
      </c>
      <c r="G397">
        <f t="shared" ca="1" si="410"/>
        <v>105.75468734039734</v>
      </c>
      <c r="H397">
        <f t="shared" ca="1" si="410"/>
        <v>104.93301820199332</v>
      </c>
      <c r="I397">
        <f t="shared" ca="1" si="410"/>
        <v>107.41937884154038</v>
      </c>
      <c r="J397">
        <f t="shared" ca="1" si="410"/>
        <v>108.36015488811104</v>
      </c>
      <c r="K397">
        <f t="shared" ref="K397:P397" ca="1" si="420">J397*EXP(($C$4-0.5*$C$5^2)*$C$10+$C$5*SQRT($C$10)*NORMINV(RAND(),0,1))</f>
        <v>107.71824439874526</v>
      </c>
      <c r="L397">
        <f t="shared" ca="1" si="420"/>
        <v>110.18720393339603</v>
      </c>
      <c r="M397">
        <f t="shared" ca="1" si="420"/>
        <v>106.17971955524465</v>
      </c>
      <c r="N397">
        <f t="shared" ca="1" si="420"/>
        <v>119.56335190749229</v>
      </c>
      <c r="O397">
        <f t="shared" ca="1" si="420"/>
        <v>118.61997784873729</v>
      </c>
      <c r="P397">
        <f t="shared" ca="1" si="420"/>
        <v>124.81326606280305</v>
      </c>
      <c r="Q397">
        <f t="shared" ca="1" si="412"/>
        <v>110.32263663440553</v>
      </c>
      <c r="R397">
        <f t="shared" ca="1" si="413"/>
        <v>10.322636634405526</v>
      </c>
      <c r="S397">
        <f t="shared" ca="1" si="414"/>
        <v>9.8191957050755558</v>
      </c>
    </row>
    <row r="398" spans="5:19" x14ac:dyDescent="0.75">
      <c r="E398">
        <v>393</v>
      </c>
      <c r="F398">
        <v>100</v>
      </c>
      <c r="G398">
        <f t="shared" ca="1" si="410"/>
        <v>103.65186609168113</v>
      </c>
      <c r="H398">
        <f t="shared" ca="1" si="410"/>
        <v>108.12156778619753</v>
      </c>
      <c r="I398">
        <f t="shared" ca="1" si="410"/>
        <v>101.00422246376202</v>
      </c>
      <c r="J398">
        <f t="shared" ca="1" si="410"/>
        <v>104.60438604117772</v>
      </c>
      <c r="K398">
        <f t="shared" ref="K398:P398" ca="1" si="421">J398*EXP(($C$4-0.5*$C$5^2)*$C$10+$C$5*SQRT($C$10)*NORMINV(RAND(),0,1))</f>
        <v>107.29057525850581</v>
      </c>
      <c r="L398">
        <f t="shared" ca="1" si="421"/>
        <v>110.01488421473201</v>
      </c>
      <c r="M398">
        <f t="shared" ca="1" si="421"/>
        <v>113.67448514743009</v>
      </c>
      <c r="N398">
        <f t="shared" ca="1" si="421"/>
        <v>119.96881194846814</v>
      </c>
      <c r="O398">
        <f t="shared" ca="1" si="421"/>
        <v>136.17516281952223</v>
      </c>
      <c r="P398">
        <f t="shared" ca="1" si="421"/>
        <v>128.36551382974494</v>
      </c>
      <c r="Q398">
        <f t="shared" ca="1" si="412"/>
        <v>112.0792250546565</v>
      </c>
      <c r="R398">
        <f t="shared" ca="1" si="413"/>
        <v>12.079225054656504</v>
      </c>
      <c r="S398">
        <f t="shared" ca="1" si="414"/>
        <v>11.490114297155513</v>
      </c>
    </row>
    <row r="399" spans="5:19" x14ac:dyDescent="0.75">
      <c r="E399">
        <v>394</v>
      </c>
      <c r="F399">
        <v>100</v>
      </c>
      <c r="G399">
        <f t="shared" ca="1" si="410"/>
        <v>99.744504153464348</v>
      </c>
      <c r="H399">
        <f t="shared" ca="1" si="410"/>
        <v>100.10552466256507</v>
      </c>
      <c r="I399">
        <f t="shared" ca="1" si="410"/>
        <v>97.341424106989166</v>
      </c>
      <c r="J399">
        <f t="shared" ca="1" si="410"/>
        <v>94.541384537978857</v>
      </c>
      <c r="K399">
        <f t="shared" ref="K399:P399" ca="1" si="422">J399*EXP(($C$4-0.5*$C$5^2)*$C$10+$C$5*SQRT($C$10)*NORMINV(RAND(),0,1))</f>
        <v>93.429647241562321</v>
      </c>
      <c r="L399">
        <f t="shared" ca="1" si="422"/>
        <v>99.279213964615664</v>
      </c>
      <c r="M399">
        <f t="shared" ca="1" si="422"/>
        <v>100.75836247741688</v>
      </c>
      <c r="N399">
        <f t="shared" ca="1" si="422"/>
        <v>97.118089080793609</v>
      </c>
      <c r="O399">
        <f t="shared" ca="1" si="422"/>
        <v>96.404272403529291</v>
      </c>
      <c r="P399">
        <f t="shared" ca="1" si="422"/>
        <v>97.289756592096595</v>
      </c>
      <c r="Q399">
        <f t="shared" ca="1" si="412"/>
        <v>97.819289020091986</v>
      </c>
      <c r="R399">
        <f t="shared" ca="1" si="413"/>
        <v>0</v>
      </c>
      <c r="S399">
        <f t="shared" ca="1" si="414"/>
        <v>0</v>
      </c>
    </row>
    <row r="400" spans="5:19" x14ac:dyDescent="0.75">
      <c r="E400">
        <v>395</v>
      </c>
      <c r="F400">
        <v>100</v>
      </c>
      <c r="G400">
        <f t="shared" ca="1" si="410"/>
        <v>100.52224766811067</v>
      </c>
      <c r="H400">
        <f t="shared" ca="1" si="410"/>
        <v>96.949432599181975</v>
      </c>
      <c r="I400">
        <f t="shared" ca="1" si="410"/>
        <v>97.11024374970016</v>
      </c>
      <c r="J400">
        <f t="shared" ca="1" si="410"/>
        <v>102.88850205836965</v>
      </c>
      <c r="K400">
        <f t="shared" ref="K400:P400" ca="1" si="423">J400*EXP(($C$4-0.5*$C$5^2)*$C$10+$C$5*SQRT($C$10)*NORMINV(RAND(),0,1))</f>
        <v>111.35942414787033</v>
      </c>
      <c r="L400">
        <f t="shared" ca="1" si="423"/>
        <v>114.5630272366912</v>
      </c>
      <c r="M400">
        <f t="shared" ca="1" si="423"/>
        <v>108.01736237329835</v>
      </c>
      <c r="N400">
        <f t="shared" ca="1" si="423"/>
        <v>103.05306228242564</v>
      </c>
      <c r="O400">
        <f t="shared" ca="1" si="423"/>
        <v>108.32596382122124</v>
      </c>
      <c r="P400">
        <f t="shared" ca="1" si="423"/>
        <v>104.72942021143778</v>
      </c>
      <c r="Q400">
        <f t="shared" ca="1" si="412"/>
        <v>104.31988055893702</v>
      </c>
      <c r="R400">
        <f t="shared" ca="1" si="413"/>
        <v>4.3198805589370153</v>
      </c>
      <c r="S400">
        <f t="shared" ca="1" si="414"/>
        <v>4.1091974979894799</v>
      </c>
    </row>
    <row r="401" spans="5:19" x14ac:dyDescent="0.75">
      <c r="E401">
        <v>396</v>
      </c>
      <c r="F401">
        <v>100</v>
      </c>
      <c r="G401">
        <f t="shared" ca="1" si="410"/>
        <v>93.088448142212087</v>
      </c>
      <c r="H401">
        <f t="shared" ca="1" si="410"/>
        <v>102.08226441879901</v>
      </c>
      <c r="I401">
        <f t="shared" ca="1" si="410"/>
        <v>94.458788755523742</v>
      </c>
      <c r="J401">
        <f t="shared" ca="1" si="410"/>
        <v>97.502906611037375</v>
      </c>
      <c r="K401">
        <f t="shared" ref="K401:P401" ca="1" si="424">J401*EXP(($C$4-0.5*$C$5^2)*$C$10+$C$5*SQRT($C$10)*NORMINV(RAND(),0,1))</f>
        <v>109.68201952862852</v>
      </c>
      <c r="L401">
        <f t="shared" ca="1" si="424"/>
        <v>118.17253892473356</v>
      </c>
      <c r="M401">
        <f t="shared" ca="1" si="424"/>
        <v>108.12157215517681</v>
      </c>
      <c r="N401">
        <f t="shared" ca="1" si="424"/>
        <v>107.13091105275019</v>
      </c>
      <c r="O401">
        <f t="shared" ca="1" si="424"/>
        <v>97.109862179659444</v>
      </c>
      <c r="P401">
        <f t="shared" ca="1" si="424"/>
        <v>98.017392023333798</v>
      </c>
      <c r="Q401">
        <f t="shared" ca="1" si="412"/>
        <v>102.30606398107767</v>
      </c>
      <c r="R401">
        <f t="shared" ca="1" si="413"/>
        <v>2.3060639810776706</v>
      </c>
      <c r="S401">
        <f t="shared" ca="1" si="414"/>
        <v>2.193595913582338</v>
      </c>
    </row>
    <row r="402" spans="5:19" x14ac:dyDescent="0.75">
      <c r="E402">
        <v>397</v>
      </c>
      <c r="F402">
        <v>100</v>
      </c>
      <c r="G402">
        <f t="shared" ca="1" si="410"/>
        <v>98.114462463431181</v>
      </c>
      <c r="H402">
        <f t="shared" ca="1" si="410"/>
        <v>94.340509655366844</v>
      </c>
      <c r="I402">
        <f t="shared" ca="1" si="410"/>
        <v>97.703651739910825</v>
      </c>
      <c r="J402">
        <f t="shared" ca="1" si="410"/>
        <v>98.57030845572865</v>
      </c>
      <c r="K402">
        <f t="shared" ref="K402:P402" ca="1" si="425">J402*EXP(($C$4-0.5*$C$5^2)*$C$10+$C$5*SQRT($C$10)*NORMINV(RAND(),0,1))</f>
        <v>100.64951901852908</v>
      </c>
      <c r="L402">
        <f t="shared" ca="1" si="425"/>
        <v>109.63150777362958</v>
      </c>
      <c r="M402">
        <f t="shared" ca="1" si="425"/>
        <v>123.09489200307678</v>
      </c>
      <c r="N402">
        <f t="shared" ca="1" si="425"/>
        <v>119.89992559121667</v>
      </c>
      <c r="O402">
        <f t="shared" ca="1" si="425"/>
        <v>109.13220351155586</v>
      </c>
      <c r="P402">
        <f t="shared" ca="1" si="425"/>
        <v>109.89362482269389</v>
      </c>
      <c r="Q402">
        <f t="shared" ca="1" si="412"/>
        <v>105.54823682137629</v>
      </c>
      <c r="R402">
        <f t="shared" ca="1" si="413"/>
        <v>5.5482368213762925</v>
      </c>
      <c r="S402">
        <f t="shared" ca="1" si="414"/>
        <v>5.2776461185914414</v>
      </c>
    </row>
    <row r="403" spans="5:19" x14ac:dyDescent="0.75">
      <c r="E403">
        <v>398</v>
      </c>
      <c r="F403">
        <v>100</v>
      </c>
      <c r="G403">
        <f t="shared" ca="1" si="410"/>
        <v>95.988881643937162</v>
      </c>
      <c r="H403">
        <f t="shared" ca="1" si="410"/>
        <v>101.98141603641231</v>
      </c>
      <c r="I403">
        <f t="shared" ca="1" si="410"/>
        <v>97.716999685708728</v>
      </c>
      <c r="J403">
        <f t="shared" ca="1" si="410"/>
        <v>106.73526274787594</v>
      </c>
      <c r="K403">
        <f t="shared" ref="K403:P403" ca="1" si="426">J403*EXP(($C$4-0.5*$C$5^2)*$C$10+$C$5*SQRT($C$10)*NORMINV(RAND(),0,1))</f>
        <v>113.40350250473007</v>
      </c>
      <c r="L403">
        <f t="shared" ca="1" si="426"/>
        <v>114.94018331956093</v>
      </c>
      <c r="M403">
        <f t="shared" ca="1" si="426"/>
        <v>123.01326292993507</v>
      </c>
      <c r="N403">
        <f t="shared" ca="1" si="426"/>
        <v>121.50636315627645</v>
      </c>
      <c r="O403">
        <f t="shared" ca="1" si="426"/>
        <v>118.08647833944912</v>
      </c>
      <c r="P403">
        <f t="shared" ca="1" si="426"/>
        <v>122.22577833141889</v>
      </c>
      <c r="Q403">
        <f t="shared" ca="1" si="412"/>
        <v>110.50892079048225</v>
      </c>
      <c r="R403">
        <f t="shared" ca="1" si="413"/>
        <v>10.50892079048225</v>
      </c>
      <c r="S403">
        <f t="shared" ca="1" si="414"/>
        <v>9.9963946756540203</v>
      </c>
    </row>
    <row r="404" spans="5:19" x14ac:dyDescent="0.75">
      <c r="E404">
        <v>399</v>
      </c>
      <c r="F404">
        <v>100</v>
      </c>
      <c r="G404">
        <f t="shared" ca="1" si="410"/>
        <v>103.96157721594159</v>
      </c>
      <c r="H404">
        <f t="shared" ca="1" si="410"/>
        <v>100.95320859830277</v>
      </c>
      <c r="I404">
        <f t="shared" ca="1" si="410"/>
        <v>111.21476478628465</v>
      </c>
      <c r="J404">
        <f t="shared" ca="1" si="410"/>
        <v>99.322913756843732</v>
      </c>
      <c r="K404">
        <f t="shared" ref="K404:P404" ca="1" si="427">J404*EXP(($C$4-0.5*$C$5^2)*$C$10+$C$5*SQRT($C$10)*NORMINV(RAND(),0,1))</f>
        <v>98.386250449308307</v>
      </c>
      <c r="L404">
        <f t="shared" ca="1" si="427"/>
        <v>95.591573334881801</v>
      </c>
      <c r="M404">
        <f t="shared" ca="1" si="427"/>
        <v>94.638522334507911</v>
      </c>
      <c r="N404">
        <f t="shared" ca="1" si="427"/>
        <v>100.21637144704351</v>
      </c>
      <c r="O404">
        <f t="shared" ca="1" si="427"/>
        <v>102.48990860561956</v>
      </c>
      <c r="P404">
        <f t="shared" ca="1" si="427"/>
        <v>100.50537185392523</v>
      </c>
      <c r="Q404">
        <f t="shared" ca="1" si="412"/>
        <v>100.66186021660538</v>
      </c>
      <c r="R404">
        <f t="shared" ca="1" si="413"/>
        <v>0.66186021660537619</v>
      </c>
      <c r="S404">
        <f t="shared" ca="1" si="414"/>
        <v>0.62958091294144991</v>
      </c>
    </row>
    <row r="405" spans="5:19" x14ac:dyDescent="0.75">
      <c r="E405">
        <v>400</v>
      </c>
      <c r="F405">
        <v>100</v>
      </c>
      <c r="G405">
        <f t="shared" ca="1" si="410"/>
        <v>102.01373094422787</v>
      </c>
      <c r="H405">
        <f t="shared" ca="1" si="410"/>
        <v>108.98581985139008</v>
      </c>
      <c r="I405">
        <f t="shared" ca="1" si="410"/>
        <v>119.26963767990684</v>
      </c>
      <c r="J405">
        <f t="shared" ca="1" si="410"/>
        <v>117.6747179870719</v>
      </c>
      <c r="K405">
        <f t="shared" ref="K405:P405" ca="1" si="428">J405*EXP(($C$4-0.5*$C$5^2)*$C$10+$C$5*SQRT($C$10)*NORMINV(RAND(),0,1))</f>
        <v>135.31202101584523</v>
      </c>
      <c r="L405">
        <f t="shared" ca="1" si="428"/>
        <v>129.1899321554103</v>
      </c>
      <c r="M405">
        <f t="shared" ca="1" si="428"/>
        <v>129.93566751015285</v>
      </c>
      <c r="N405">
        <f t="shared" ca="1" si="428"/>
        <v>146.27294959271276</v>
      </c>
      <c r="O405">
        <f t="shared" ca="1" si="428"/>
        <v>135.66355648415674</v>
      </c>
      <c r="P405">
        <f t="shared" ca="1" si="428"/>
        <v>130.40691710542265</v>
      </c>
      <c r="Q405">
        <f t="shared" ca="1" si="412"/>
        <v>123.15681366602703</v>
      </c>
      <c r="R405">
        <f t="shared" ca="1" si="413"/>
        <v>23.156813666027034</v>
      </c>
      <c r="S405">
        <f t="shared" ca="1" si="414"/>
        <v>22.027442536805165</v>
      </c>
    </row>
    <row r="406" spans="5:19" x14ac:dyDescent="0.75">
      <c r="E406">
        <v>401</v>
      </c>
      <c r="F406">
        <v>100</v>
      </c>
      <c r="G406">
        <f t="shared" ca="1" si="410"/>
        <v>96.944726810488604</v>
      </c>
      <c r="H406">
        <f t="shared" ca="1" si="410"/>
        <v>98.288258748947911</v>
      </c>
      <c r="I406">
        <f t="shared" ca="1" si="410"/>
        <v>103.44754104106725</v>
      </c>
      <c r="J406">
        <f t="shared" ca="1" si="410"/>
        <v>101.13317324968116</v>
      </c>
      <c r="K406">
        <f t="shared" ref="K406:P406" ca="1" si="429">J406*EXP(($C$4-0.5*$C$5^2)*$C$10+$C$5*SQRT($C$10)*NORMINV(RAND(),0,1))</f>
        <v>100.40878290191661</v>
      </c>
      <c r="L406">
        <f t="shared" ca="1" si="429"/>
        <v>104.08206330643877</v>
      </c>
      <c r="M406">
        <f t="shared" ca="1" si="429"/>
        <v>114.20502632220848</v>
      </c>
      <c r="N406">
        <f t="shared" ca="1" si="429"/>
        <v>122.76160124849523</v>
      </c>
      <c r="O406">
        <f t="shared" ca="1" si="429"/>
        <v>118.27307820795417</v>
      </c>
      <c r="P406">
        <f t="shared" ca="1" si="429"/>
        <v>105.94050810214779</v>
      </c>
      <c r="Q406">
        <f t="shared" ca="1" si="412"/>
        <v>105.95315999448599</v>
      </c>
      <c r="R406">
        <f t="shared" ca="1" si="413"/>
        <v>5.9531599944859863</v>
      </c>
      <c r="S406">
        <f t="shared" ca="1" si="414"/>
        <v>5.6628209555155786</v>
      </c>
    </row>
    <row r="407" spans="5:19" x14ac:dyDescent="0.75">
      <c r="E407">
        <v>402</v>
      </c>
      <c r="F407">
        <v>100</v>
      </c>
      <c r="G407">
        <f t="shared" ca="1" si="410"/>
        <v>98.416663815604011</v>
      </c>
      <c r="H407">
        <f t="shared" ca="1" si="410"/>
        <v>102.58141350568185</v>
      </c>
      <c r="I407">
        <f t="shared" ca="1" si="410"/>
        <v>108.69667688032807</v>
      </c>
      <c r="J407">
        <f t="shared" ca="1" si="410"/>
        <v>111.35432477657834</v>
      </c>
      <c r="K407">
        <f t="shared" ref="K407:P407" ca="1" si="430">J407*EXP(($C$4-0.5*$C$5^2)*$C$10+$C$5*SQRT($C$10)*NORMINV(RAND(),0,1))</f>
        <v>122.0076878555747</v>
      </c>
      <c r="L407">
        <f t="shared" ca="1" si="430"/>
        <v>116.71344815148437</v>
      </c>
      <c r="M407">
        <f t="shared" ca="1" si="430"/>
        <v>108.47027453033247</v>
      </c>
      <c r="N407">
        <f t="shared" ca="1" si="430"/>
        <v>120.04810875307682</v>
      </c>
      <c r="O407">
        <f t="shared" ca="1" si="430"/>
        <v>135.32281233031273</v>
      </c>
      <c r="P407">
        <f t="shared" ca="1" si="430"/>
        <v>133.24326432173368</v>
      </c>
      <c r="Q407">
        <f t="shared" ca="1" si="412"/>
        <v>114.25951590188247</v>
      </c>
      <c r="R407">
        <f t="shared" ca="1" si="413"/>
        <v>14.259515901882466</v>
      </c>
      <c r="S407">
        <f t="shared" ca="1" si="414"/>
        <v>13.564071105006438</v>
      </c>
    </row>
    <row r="408" spans="5:19" x14ac:dyDescent="0.75">
      <c r="E408">
        <v>403</v>
      </c>
      <c r="F408">
        <v>100</v>
      </c>
      <c r="G408">
        <f t="shared" ca="1" si="410"/>
        <v>98.456997792983984</v>
      </c>
      <c r="H408">
        <f t="shared" ca="1" si="410"/>
        <v>111.95750873613623</v>
      </c>
      <c r="I408">
        <f t="shared" ca="1" si="410"/>
        <v>123.34276016204933</v>
      </c>
      <c r="J408">
        <f t="shared" ca="1" si="410"/>
        <v>114.93435718503093</v>
      </c>
      <c r="K408">
        <f t="shared" ref="K408:P408" ca="1" si="431">J408*EXP(($C$4-0.5*$C$5^2)*$C$10+$C$5*SQRT($C$10)*NORMINV(RAND(),0,1))</f>
        <v>120.79892556268007</v>
      </c>
      <c r="L408">
        <f t="shared" ca="1" si="431"/>
        <v>116.03899435719944</v>
      </c>
      <c r="M408">
        <f t="shared" ca="1" si="431"/>
        <v>107.32599440917534</v>
      </c>
      <c r="N408">
        <f t="shared" ca="1" si="431"/>
        <v>111.00058927503845</v>
      </c>
      <c r="O408">
        <f t="shared" ca="1" si="431"/>
        <v>110.86569011680105</v>
      </c>
      <c r="P408">
        <f t="shared" ca="1" si="431"/>
        <v>120.90212307777024</v>
      </c>
      <c r="Q408">
        <f t="shared" ca="1" si="412"/>
        <v>112.32944915226048</v>
      </c>
      <c r="R408">
        <f t="shared" ca="1" si="413"/>
        <v>12.32944915226048</v>
      </c>
      <c r="S408">
        <f t="shared" ca="1" si="414"/>
        <v>11.728134821515553</v>
      </c>
    </row>
    <row r="409" spans="5:19" x14ac:dyDescent="0.75">
      <c r="E409">
        <v>404</v>
      </c>
      <c r="F409">
        <v>100</v>
      </c>
      <c r="G409">
        <f t="shared" ca="1" si="410"/>
        <v>105.05987657270173</v>
      </c>
      <c r="H409">
        <f t="shared" ca="1" si="410"/>
        <v>108.76684200784472</v>
      </c>
      <c r="I409">
        <f t="shared" ca="1" si="410"/>
        <v>105.01267721009994</v>
      </c>
      <c r="J409">
        <f t="shared" ca="1" si="410"/>
        <v>99.40051470949669</v>
      </c>
      <c r="K409">
        <f t="shared" ref="K409:P409" ca="1" si="432">J409*EXP(($C$4-0.5*$C$5^2)*$C$10+$C$5*SQRT($C$10)*NORMINV(RAND(),0,1))</f>
        <v>97.638805625008899</v>
      </c>
      <c r="L409">
        <f t="shared" ca="1" si="432"/>
        <v>97.449128930049341</v>
      </c>
      <c r="M409">
        <f t="shared" ca="1" si="432"/>
        <v>99.195507204033433</v>
      </c>
      <c r="N409">
        <f t="shared" ca="1" si="432"/>
        <v>104.79289695877711</v>
      </c>
      <c r="O409">
        <f t="shared" ca="1" si="432"/>
        <v>105.82784826874362</v>
      </c>
      <c r="P409">
        <f t="shared" ca="1" si="432"/>
        <v>110.99591397171898</v>
      </c>
      <c r="Q409">
        <f t="shared" ca="1" si="412"/>
        <v>103.10363740531585</v>
      </c>
      <c r="R409">
        <f t="shared" ca="1" si="413"/>
        <v>3.1036374053158511</v>
      </c>
      <c r="S409">
        <f t="shared" ca="1" si="414"/>
        <v>2.9522712229174863</v>
      </c>
    </row>
    <row r="410" spans="5:19" x14ac:dyDescent="0.75">
      <c r="E410">
        <v>405</v>
      </c>
      <c r="F410">
        <v>100</v>
      </c>
      <c r="G410">
        <f t="shared" ca="1" si="410"/>
        <v>94.992154563158863</v>
      </c>
      <c r="H410">
        <f t="shared" ca="1" si="410"/>
        <v>88.793436705684059</v>
      </c>
      <c r="I410">
        <f t="shared" ca="1" si="410"/>
        <v>86.86371035675144</v>
      </c>
      <c r="J410">
        <f t="shared" ca="1" si="410"/>
        <v>83.204564541579302</v>
      </c>
      <c r="K410">
        <f t="shared" ref="K410:P410" ca="1" si="433">J410*EXP(($C$4-0.5*$C$5^2)*$C$10+$C$5*SQRT($C$10)*NORMINV(RAND(),0,1))</f>
        <v>81.96738199530634</v>
      </c>
      <c r="L410">
        <f t="shared" ca="1" si="433"/>
        <v>80.738916112017776</v>
      </c>
      <c r="M410">
        <f t="shared" ca="1" si="433"/>
        <v>78.15470763354547</v>
      </c>
      <c r="N410">
        <f t="shared" ca="1" si="433"/>
        <v>72.866075572124075</v>
      </c>
      <c r="O410">
        <f t="shared" ca="1" si="433"/>
        <v>77.718870219134914</v>
      </c>
      <c r="P410">
        <f t="shared" ca="1" si="433"/>
        <v>86.5856208195368</v>
      </c>
      <c r="Q410">
        <f t="shared" ca="1" si="412"/>
        <v>84.716858047167193</v>
      </c>
      <c r="R410">
        <f t="shared" ca="1" si="413"/>
        <v>0</v>
      </c>
      <c r="S410">
        <f t="shared" ca="1" si="414"/>
        <v>0</v>
      </c>
    </row>
    <row r="411" spans="5:19" x14ac:dyDescent="0.75">
      <c r="E411">
        <v>406</v>
      </c>
      <c r="F411">
        <v>100</v>
      </c>
      <c r="G411">
        <f t="shared" ca="1" si="410"/>
        <v>97.433757037222463</v>
      </c>
      <c r="H411">
        <f t="shared" ca="1" si="410"/>
        <v>93.218817597884026</v>
      </c>
      <c r="I411">
        <f t="shared" ca="1" si="410"/>
        <v>88.12900353671597</v>
      </c>
      <c r="J411">
        <f t="shared" ca="1" si="410"/>
        <v>92.744711436046956</v>
      </c>
      <c r="K411">
        <f t="shared" ref="K411:P411" ca="1" si="434">J411*EXP(($C$4-0.5*$C$5^2)*$C$10+$C$5*SQRT($C$10)*NORMINV(RAND(),0,1))</f>
        <v>91.761134012957541</v>
      </c>
      <c r="L411">
        <f t="shared" ca="1" si="434"/>
        <v>87.834319307714452</v>
      </c>
      <c r="M411">
        <f t="shared" ca="1" si="434"/>
        <v>84.477403929757244</v>
      </c>
      <c r="N411">
        <f t="shared" ca="1" si="434"/>
        <v>85.856500072054885</v>
      </c>
      <c r="O411">
        <f t="shared" ca="1" si="434"/>
        <v>90.678792598416919</v>
      </c>
      <c r="P411">
        <f t="shared" ca="1" si="434"/>
        <v>93.236942994208206</v>
      </c>
      <c r="Q411">
        <f t="shared" ca="1" si="412"/>
        <v>91.397398411179879</v>
      </c>
      <c r="R411">
        <f t="shared" ca="1" si="413"/>
        <v>0</v>
      </c>
      <c r="S411">
        <f t="shared" ca="1" si="414"/>
        <v>0</v>
      </c>
    </row>
    <row r="412" spans="5:19" x14ac:dyDescent="0.75">
      <c r="E412">
        <v>407</v>
      </c>
      <c r="F412">
        <v>100</v>
      </c>
      <c r="G412">
        <f t="shared" ca="1" si="410"/>
        <v>99.557035151335413</v>
      </c>
      <c r="H412">
        <f t="shared" ca="1" si="410"/>
        <v>102.70877955792456</v>
      </c>
      <c r="I412">
        <f t="shared" ca="1" si="410"/>
        <v>103.14184256391759</v>
      </c>
      <c r="J412">
        <f t="shared" ca="1" si="410"/>
        <v>99.150931866806928</v>
      </c>
      <c r="K412">
        <f t="shared" ref="K412:P412" ca="1" si="435">J412*EXP(($C$4-0.5*$C$5^2)*$C$10+$C$5*SQRT($C$10)*NORMINV(RAND(),0,1))</f>
        <v>93.185590091685739</v>
      </c>
      <c r="L412">
        <f t="shared" ca="1" si="435"/>
        <v>96.246848437922694</v>
      </c>
      <c r="M412">
        <f t="shared" ca="1" si="435"/>
        <v>95.853952640042394</v>
      </c>
      <c r="N412">
        <f t="shared" ca="1" si="435"/>
        <v>96.377388350856535</v>
      </c>
      <c r="O412">
        <f t="shared" ca="1" si="435"/>
        <v>94.829940880236734</v>
      </c>
      <c r="P412">
        <f t="shared" ca="1" si="435"/>
        <v>104.33484820004642</v>
      </c>
      <c r="Q412">
        <f t="shared" ca="1" si="412"/>
        <v>98.671559794615916</v>
      </c>
      <c r="R412">
        <f t="shared" ca="1" si="413"/>
        <v>0</v>
      </c>
      <c r="S412">
        <f t="shared" ca="1" si="414"/>
        <v>0</v>
      </c>
    </row>
    <row r="413" spans="5:19" x14ac:dyDescent="0.75">
      <c r="E413">
        <v>408</v>
      </c>
      <c r="F413">
        <v>100</v>
      </c>
      <c r="G413">
        <f t="shared" ca="1" si="410"/>
        <v>107.67008096624006</v>
      </c>
      <c r="H413">
        <f t="shared" ca="1" si="410"/>
        <v>111.11805851934221</v>
      </c>
      <c r="I413">
        <f t="shared" ca="1" si="410"/>
        <v>94.314104920191582</v>
      </c>
      <c r="J413">
        <f t="shared" ca="1" si="410"/>
        <v>96.991350986370321</v>
      </c>
      <c r="K413">
        <f t="shared" ref="K413:P413" ca="1" si="436">J413*EXP(($C$4-0.5*$C$5^2)*$C$10+$C$5*SQRT($C$10)*NORMINV(RAND(),0,1))</f>
        <v>83.757428069559154</v>
      </c>
      <c r="L413">
        <f t="shared" ca="1" si="436"/>
        <v>82.461789300679769</v>
      </c>
      <c r="M413">
        <f t="shared" ca="1" si="436"/>
        <v>82.207997652847624</v>
      </c>
      <c r="N413">
        <f t="shared" ca="1" si="436"/>
        <v>84.850636162922925</v>
      </c>
      <c r="O413">
        <f t="shared" ca="1" si="436"/>
        <v>82.876123339208419</v>
      </c>
      <c r="P413">
        <f t="shared" ca="1" si="436"/>
        <v>81.052898630425702</v>
      </c>
      <c r="Q413">
        <f t="shared" ca="1" si="412"/>
        <v>91.572769867980711</v>
      </c>
      <c r="R413">
        <f t="shared" ca="1" si="413"/>
        <v>0</v>
      </c>
      <c r="S413">
        <f t="shared" ca="1" si="414"/>
        <v>0</v>
      </c>
    </row>
    <row r="414" spans="5:19" x14ac:dyDescent="0.75">
      <c r="E414">
        <v>409</v>
      </c>
      <c r="F414">
        <v>100</v>
      </c>
      <c r="G414">
        <f t="shared" ca="1" si="410"/>
        <v>100.4541848951128</v>
      </c>
      <c r="H414">
        <f t="shared" ca="1" si="410"/>
        <v>97.041665013719708</v>
      </c>
      <c r="I414">
        <f t="shared" ca="1" si="410"/>
        <v>99.712734337796959</v>
      </c>
      <c r="J414">
        <f t="shared" ca="1" si="410"/>
        <v>103.22864300041566</v>
      </c>
      <c r="K414">
        <f t="shared" ref="K414:P414" ca="1" si="437">J414*EXP(($C$4-0.5*$C$5^2)*$C$10+$C$5*SQRT($C$10)*NORMINV(RAND(),0,1))</f>
        <v>108.59132353458622</v>
      </c>
      <c r="L414">
        <f t="shared" ca="1" si="437"/>
        <v>110.32473867537792</v>
      </c>
      <c r="M414">
        <f t="shared" ca="1" si="437"/>
        <v>110.66218370100351</v>
      </c>
      <c r="N414">
        <f t="shared" ca="1" si="437"/>
        <v>111.25809244357121</v>
      </c>
      <c r="O414">
        <f t="shared" ca="1" si="437"/>
        <v>103.85964497633945</v>
      </c>
      <c r="P414">
        <f t="shared" ca="1" si="437"/>
        <v>99.604852779199348</v>
      </c>
      <c r="Q414">
        <f t="shared" ca="1" si="412"/>
        <v>104.06709666882934</v>
      </c>
      <c r="R414">
        <f t="shared" ca="1" si="413"/>
        <v>4.0670966688293362</v>
      </c>
      <c r="S414">
        <f t="shared" ca="1" si="414"/>
        <v>3.8687420236793004</v>
      </c>
    </row>
    <row r="415" spans="5:19" x14ac:dyDescent="0.75">
      <c r="E415">
        <v>410</v>
      </c>
      <c r="F415">
        <v>100</v>
      </c>
      <c r="G415">
        <f t="shared" ca="1" si="410"/>
        <v>95.523711193769344</v>
      </c>
      <c r="H415">
        <f t="shared" ca="1" si="410"/>
        <v>95.953326865017004</v>
      </c>
      <c r="I415">
        <f t="shared" ca="1" si="410"/>
        <v>98.380685790992032</v>
      </c>
      <c r="J415">
        <f t="shared" ca="1" si="410"/>
        <v>95.045710235814397</v>
      </c>
      <c r="K415">
        <f t="shared" ref="K415:P415" ca="1" si="438">J415*EXP(($C$4-0.5*$C$5^2)*$C$10+$C$5*SQRT($C$10)*NORMINV(RAND(),0,1))</f>
        <v>95.850047884077242</v>
      </c>
      <c r="L415">
        <f t="shared" ca="1" si="438"/>
        <v>100.76132466055851</v>
      </c>
      <c r="M415">
        <f t="shared" ca="1" si="438"/>
        <v>104.03399505122088</v>
      </c>
      <c r="N415">
        <f t="shared" ca="1" si="438"/>
        <v>110.96218005107974</v>
      </c>
      <c r="O415">
        <f t="shared" ca="1" si="438"/>
        <v>103.93521307675705</v>
      </c>
      <c r="P415">
        <f t="shared" ca="1" si="438"/>
        <v>108.1484021056215</v>
      </c>
      <c r="Q415">
        <f t="shared" ca="1" si="412"/>
        <v>100.78132699226434</v>
      </c>
      <c r="R415">
        <f t="shared" ca="1" si="413"/>
        <v>0.78132699226433999</v>
      </c>
      <c r="S415">
        <f t="shared" ca="1" si="414"/>
        <v>0.74322122519848199</v>
      </c>
    </row>
    <row r="416" spans="5:19" x14ac:dyDescent="0.75">
      <c r="E416">
        <v>411</v>
      </c>
      <c r="F416">
        <v>100</v>
      </c>
      <c r="G416">
        <f t="shared" ca="1" si="410"/>
        <v>106.63490557717022</v>
      </c>
      <c r="H416">
        <f t="shared" ca="1" si="410"/>
        <v>120.39919030267535</v>
      </c>
      <c r="I416">
        <f t="shared" ca="1" si="410"/>
        <v>125.53438301563745</v>
      </c>
      <c r="J416">
        <f t="shared" ca="1" si="410"/>
        <v>120.08897445167329</v>
      </c>
      <c r="K416">
        <f t="shared" ref="K416:P416" ca="1" si="439">J416*EXP(($C$4-0.5*$C$5^2)*$C$10+$C$5*SQRT($C$10)*NORMINV(RAND(),0,1))</f>
        <v>110.80964414526791</v>
      </c>
      <c r="L416">
        <f t="shared" ca="1" si="439"/>
        <v>105.27604085915571</v>
      </c>
      <c r="M416">
        <f t="shared" ca="1" si="439"/>
        <v>104.02174294191002</v>
      </c>
      <c r="N416">
        <f t="shared" ca="1" si="439"/>
        <v>109.33769159332687</v>
      </c>
      <c r="O416">
        <f t="shared" ca="1" si="439"/>
        <v>104.75211298307944</v>
      </c>
      <c r="P416">
        <f t="shared" ca="1" si="439"/>
        <v>101.49184942524059</v>
      </c>
      <c r="Q416">
        <f t="shared" ca="1" si="412"/>
        <v>109.84968502683064</v>
      </c>
      <c r="R416">
        <f t="shared" ca="1" si="413"/>
        <v>9.8496850268306417</v>
      </c>
      <c r="S416">
        <f t="shared" ca="1" si="414"/>
        <v>9.3693102195854117</v>
      </c>
    </row>
    <row r="417" spans="5:19" x14ac:dyDescent="0.75">
      <c r="E417">
        <v>412</v>
      </c>
      <c r="F417">
        <v>100</v>
      </c>
      <c r="G417">
        <f t="shared" ca="1" si="410"/>
        <v>100.52158630302735</v>
      </c>
      <c r="H417">
        <f t="shared" ca="1" si="410"/>
        <v>100.17562653136447</v>
      </c>
      <c r="I417">
        <f t="shared" ca="1" si="410"/>
        <v>102.76773235247765</v>
      </c>
      <c r="J417">
        <f t="shared" ca="1" si="410"/>
        <v>111.26516546142875</v>
      </c>
      <c r="K417">
        <f t="shared" ref="K417:P417" ca="1" si="440">J417*EXP(($C$4-0.5*$C$5^2)*$C$10+$C$5*SQRT($C$10)*NORMINV(RAND(),0,1))</f>
        <v>110.94924331460463</v>
      </c>
      <c r="L417">
        <f t="shared" ca="1" si="440"/>
        <v>105.67837139196598</v>
      </c>
      <c r="M417">
        <f t="shared" ca="1" si="440"/>
        <v>107.79243059721995</v>
      </c>
      <c r="N417">
        <f t="shared" ca="1" si="440"/>
        <v>116.15365962804536</v>
      </c>
      <c r="O417">
        <f t="shared" ca="1" si="440"/>
        <v>108.07379321166032</v>
      </c>
      <c r="P417">
        <f t="shared" ca="1" si="440"/>
        <v>118.13567077019292</v>
      </c>
      <c r="Q417">
        <f t="shared" ca="1" si="412"/>
        <v>107.41029814199884</v>
      </c>
      <c r="R417">
        <f t="shared" ca="1" si="413"/>
        <v>7.4102981419988367</v>
      </c>
      <c r="S417">
        <f t="shared" ca="1" si="414"/>
        <v>7.0488936369922639</v>
      </c>
    </row>
    <row r="418" spans="5:19" x14ac:dyDescent="0.75">
      <c r="E418">
        <v>413</v>
      </c>
      <c r="F418">
        <v>100</v>
      </c>
      <c r="G418">
        <f t="shared" ca="1" si="410"/>
        <v>103.1072962938034</v>
      </c>
      <c r="H418">
        <f t="shared" ca="1" si="410"/>
        <v>105.10217028230528</v>
      </c>
      <c r="I418">
        <f t="shared" ca="1" si="410"/>
        <v>101.66412795829348</v>
      </c>
      <c r="J418">
        <f t="shared" ca="1" si="410"/>
        <v>102.11642385870742</v>
      </c>
      <c r="K418">
        <f t="shared" ref="K418:P418" ca="1" si="441">J418*EXP(($C$4-0.5*$C$5^2)*$C$10+$C$5*SQRT($C$10)*NORMINV(RAND(),0,1))</f>
        <v>108.41448786825751</v>
      </c>
      <c r="L418">
        <f t="shared" ca="1" si="441"/>
        <v>104.39943452700432</v>
      </c>
      <c r="M418">
        <f t="shared" ca="1" si="441"/>
        <v>107.54323886789676</v>
      </c>
      <c r="N418">
        <f t="shared" ca="1" si="441"/>
        <v>105.78236802602078</v>
      </c>
      <c r="O418">
        <f t="shared" ca="1" si="441"/>
        <v>116.7638349548679</v>
      </c>
      <c r="P418">
        <f t="shared" ca="1" si="441"/>
        <v>134.33601170238219</v>
      </c>
      <c r="Q418">
        <f t="shared" ca="1" si="412"/>
        <v>108.11176312177628</v>
      </c>
      <c r="R418">
        <f t="shared" ca="1" si="413"/>
        <v>8.1117631217762778</v>
      </c>
      <c r="S418">
        <f t="shared" ca="1" si="414"/>
        <v>7.7161477660133642</v>
      </c>
    </row>
    <row r="419" spans="5:19" x14ac:dyDescent="0.75">
      <c r="E419">
        <v>414</v>
      </c>
      <c r="F419">
        <v>100</v>
      </c>
      <c r="G419">
        <f t="shared" ca="1" si="410"/>
        <v>95.845350344581462</v>
      </c>
      <c r="H419">
        <f t="shared" ca="1" si="410"/>
        <v>95.366693720484477</v>
      </c>
      <c r="I419">
        <f t="shared" ca="1" si="410"/>
        <v>97.641369117368114</v>
      </c>
      <c r="J419">
        <f t="shared" ca="1" si="410"/>
        <v>99.551842997834143</v>
      </c>
      <c r="K419">
        <f t="shared" ref="K419:P419" ca="1" si="442">J419*EXP(($C$4-0.5*$C$5^2)*$C$10+$C$5*SQRT($C$10)*NORMINV(RAND(),0,1))</f>
        <v>109.13151440881251</v>
      </c>
      <c r="L419">
        <f t="shared" ca="1" si="442"/>
        <v>105.65561678422348</v>
      </c>
      <c r="M419">
        <f t="shared" ca="1" si="442"/>
        <v>111.60655422627516</v>
      </c>
      <c r="N419">
        <f t="shared" ca="1" si="442"/>
        <v>110.13495055817239</v>
      </c>
      <c r="O419">
        <f t="shared" ca="1" si="442"/>
        <v>109.89659909245999</v>
      </c>
      <c r="P419">
        <f t="shared" ca="1" si="442"/>
        <v>105.77441344449586</v>
      </c>
      <c r="Q419">
        <f t="shared" ca="1" si="412"/>
        <v>103.69135497224616</v>
      </c>
      <c r="R419">
        <f t="shared" ca="1" si="413"/>
        <v>3.6913549722461596</v>
      </c>
      <c r="S419">
        <f t="shared" ca="1" si="414"/>
        <v>3.5113254658775634</v>
      </c>
    </row>
    <row r="420" spans="5:19" x14ac:dyDescent="0.75">
      <c r="E420">
        <v>415</v>
      </c>
      <c r="F420">
        <v>100</v>
      </c>
      <c r="G420">
        <f t="shared" ca="1" si="410"/>
        <v>96.240500533125129</v>
      </c>
      <c r="H420">
        <f t="shared" ca="1" si="410"/>
        <v>99.610530250065864</v>
      </c>
      <c r="I420">
        <f t="shared" ca="1" si="410"/>
        <v>94.90256652593358</v>
      </c>
      <c r="J420">
        <f t="shared" ca="1" si="410"/>
        <v>90.66650805679437</v>
      </c>
      <c r="K420">
        <f t="shared" ref="K420:P420" ca="1" si="443">J420*EXP(($C$4-0.5*$C$5^2)*$C$10+$C$5*SQRT($C$10)*NORMINV(RAND(),0,1))</f>
        <v>82.698332633793981</v>
      </c>
      <c r="L420">
        <f t="shared" ca="1" si="443"/>
        <v>85.50485156609659</v>
      </c>
      <c r="M420">
        <f t="shared" ca="1" si="443"/>
        <v>90.612895640203973</v>
      </c>
      <c r="N420">
        <f t="shared" ca="1" si="443"/>
        <v>88.178609178700185</v>
      </c>
      <c r="O420">
        <f t="shared" ca="1" si="443"/>
        <v>79.273062116925061</v>
      </c>
      <c r="P420">
        <f t="shared" ca="1" si="443"/>
        <v>82.956694284998449</v>
      </c>
      <c r="Q420">
        <f t="shared" ca="1" si="412"/>
        <v>90.058595526057928</v>
      </c>
      <c r="R420">
        <f t="shared" ca="1" si="413"/>
        <v>0</v>
      </c>
      <c r="S420">
        <f t="shared" ca="1" si="414"/>
        <v>0</v>
      </c>
    </row>
    <row r="421" spans="5:19" x14ac:dyDescent="0.75">
      <c r="E421">
        <v>416</v>
      </c>
      <c r="F421">
        <v>100</v>
      </c>
      <c r="G421">
        <f t="shared" ca="1" si="410"/>
        <v>105.00785553297094</v>
      </c>
      <c r="H421">
        <f t="shared" ca="1" si="410"/>
        <v>114.99956180860464</v>
      </c>
      <c r="I421">
        <f t="shared" ca="1" si="410"/>
        <v>115.36700834762819</v>
      </c>
      <c r="J421">
        <f t="shared" ca="1" si="410"/>
        <v>127.57689341327649</v>
      </c>
      <c r="K421">
        <f t="shared" ref="K421:P421" ca="1" si="444">J421*EXP(($C$4-0.5*$C$5^2)*$C$10+$C$5*SQRT($C$10)*NORMINV(RAND(),0,1))</f>
        <v>123.25998808589571</v>
      </c>
      <c r="L421">
        <f t="shared" ca="1" si="444"/>
        <v>121.21614000631142</v>
      </c>
      <c r="M421">
        <f t="shared" ca="1" si="444"/>
        <v>130.42091654008138</v>
      </c>
      <c r="N421">
        <f t="shared" ca="1" si="444"/>
        <v>134.06701229466444</v>
      </c>
      <c r="O421">
        <f t="shared" ca="1" si="444"/>
        <v>120.92968411322479</v>
      </c>
      <c r="P421">
        <f t="shared" ca="1" si="444"/>
        <v>118.31806364618363</v>
      </c>
      <c r="Q421">
        <f t="shared" ca="1" si="412"/>
        <v>119.19664761716741</v>
      </c>
      <c r="R421">
        <f t="shared" ca="1" si="413"/>
        <v>19.196647617167415</v>
      </c>
      <c r="S421">
        <f t="shared" ca="1" si="414"/>
        <v>18.260416065221161</v>
      </c>
    </row>
    <row r="422" spans="5:19" x14ac:dyDescent="0.75">
      <c r="E422">
        <v>417</v>
      </c>
      <c r="F422">
        <v>100</v>
      </c>
      <c r="G422">
        <f t="shared" ca="1" si="410"/>
        <v>95.921949428743375</v>
      </c>
      <c r="H422">
        <f t="shared" ca="1" si="410"/>
        <v>87.898835669080285</v>
      </c>
      <c r="I422">
        <f t="shared" ca="1" si="410"/>
        <v>97.996520131882392</v>
      </c>
      <c r="J422">
        <f t="shared" ca="1" si="410"/>
        <v>100.54061731745128</v>
      </c>
      <c r="K422">
        <f t="shared" ref="K422:P422" ca="1" si="445">J422*EXP(($C$4-0.5*$C$5^2)*$C$10+$C$5*SQRT($C$10)*NORMINV(RAND(),0,1))</f>
        <v>89.205598148083681</v>
      </c>
      <c r="L422">
        <f t="shared" ca="1" si="445"/>
        <v>83.768867839262356</v>
      </c>
      <c r="M422">
        <f t="shared" ca="1" si="445"/>
        <v>87.511267300132161</v>
      </c>
      <c r="N422">
        <f t="shared" ca="1" si="445"/>
        <v>91.086617843964973</v>
      </c>
      <c r="O422">
        <f t="shared" ca="1" si="445"/>
        <v>90.410687133342947</v>
      </c>
      <c r="P422">
        <f t="shared" ca="1" si="445"/>
        <v>84.78825660021549</v>
      </c>
      <c r="Q422">
        <f t="shared" ca="1" si="412"/>
        <v>91.739019764741727</v>
      </c>
      <c r="R422">
        <f t="shared" ca="1" si="413"/>
        <v>0</v>
      </c>
      <c r="S422">
        <f t="shared" ca="1" si="414"/>
        <v>0</v>
      </c>
    </row>
    <row r="423" spans="5:19" x14ac:dyDescent="0.75">
      <c r="E423">
        <v>418</v>
      </c>
      <c r="F423">
        <v>100</v>
      </c>
      <c r="G423">
        <f t="shared" ca="1" si="410"/>
        <v>99.808085987984612</v>
      </c>
      <c r="H423">
        <f t="shared" ca="1" si="410"/>
        <v>101.91620844216195</v>
      </c>
      <c r="I423">
        <f t="shared" ca="1" si="410"/>
        <v>109.76739046044257</v>
      </c>
      <c r="J423">
        <f t="shared" ca="1" si="410"/>
        <v>106.63505043291812</v>
      </c>
      <c r="K423">
        <f t="shared" ref="K423:P423" ca="1" si="446">J423*EXP(($C$4-0.5*$C$5^2)*$C$10+$C$5*SQRT($C$10)*NORMINV(RAND(),0,1))</f>
        <v>101.67811817764736</v>
      </c>
      <c r="L423">
        <f t="shared" ca="1" si="446"/>
        <v>90.566497542551176</v>
      </c>
      <c r="M423">
        <f t="shared" ca="1" si="446"/>
        <v>91.227755285715062</v>
      </c>
      <c r="N423">
        <f t="shared" ca="1" si="446"/>
        <v>97.925358933536685</v>
      </c>
      <c r="O423">
        <f t="shared" ca="1" si="446"/>
        <v>102.1491247226664</v>
      </c>
      <c r="P423">
        <f t="shared" ca="1" si="446"/>
        <v>105.16406910809613</v>
      </c>
      <c r="Q423">
        <f t="shared" ca="1" si="412"/>
        <v>100.62160537215637</v>
      </c>
      <c r="R423">
        <f t="shared" ca="1" si="413"/>
        <v>0.6216053721563668</v>
      </c>
      <c r="S423">
        <f t="shared" ca="1" si="414"/>
        <v>0.59128932042285298</v>
      </c>
    </row>
    <row r="424" spans="5:19" x14ac:dyDescent="0.75">
      <c r="E424">
        <v>419</v>
      </c>
      <c r="F424">
        <v>100</v>
      </c>
      <c r="G424">
        <f t="shared" ca="1" si="410"/>
        <v>97.495138988484882</v>
      </c>
      <c r="H424">
        <f t="shared" ca="1" si="410"/>
        <v>91.059099411554385</v>
      </c>
      <c r="I424">
        <f t="shared" ca="1" si="410"/>
        <v>85.706203490681716</v>
      </c>
      <c r="J424">
        <f t="shared" ca="1" si="410"/>
        <v>81.809568964035535</v>
      </c>
      <c r="K424">
        <f t="shared" ref="K424:P424" ca="1" si="447">J424*EXP(($C$4-0.5*$C$5^2)*$C$10+$C$5*SQRT($C$10)*NORMINV(RAND(),0,1))</f>
        <v>83.822956222535609</v>
      </c>
      <c r="L424">
        <f t="shared" ca="1" si="447"/>
        <v>78.713038115817625</v>
      </c>
      <c r="M424">
        <f t="shared" ca="1" si="447"/>
        <v>79.082309854058266</v>
      </c>
      <c r="N424">
        <f t="shared" ca="1" si="447"/>
        <v>71.034038571652587</v>
      </c>
      <c r="O424">
        <f t="shared" ca="1" si="447"/>
        <v>68.759943561221689</v>
      </c>
      <c r="P424">
        <f t="shared" ca="1" si="447"/>
        <v>74.015560591658911</v>
      </c>
      <c r="Q424">
        <f t="shared" ca="1" si="412"/>
        <v>82.863441615609204</v>
      </c>
      <c r="R424">
        <f t="shared" ca="1" si="413"/>
        <v>0</v>
      </c>
      <c r="S424">
        <f t="shared" ca="1" si="414"/>
        <v>0</v>
      </c>
    </row>
    <row r="425" spans="5:19" x14ac:dyDescent="0.75">
      <c r="E425">
        <v>420</v>
      </c>
      <c r="F425">
        <v>100</v>
      </c>
      <c r="G425">
        <f t="shared" ca="1" si="410"/>
        <v>91.076047840740742</v>
      </c>
      <c r="H425">
        <f t="shared" ca="1" si="410"/>
        <v>90.990202485545211</v>
      </c>
      <c r="I425">
        <f t="shared" ca="1" si="410"/>
        <v>89.943854198311016</v>
      </c>
      <c r="J425">
        <f t="shared" ca="1" si="410"/>
        <v>84.929588140237229</v>
      </c>
      <c r="K425">
        <f t="shared" ref="K425:P425" ca="1" si="448">J425*EXP(($C$4-0.5*$C$5^2)*$C$10+$C$5*SQRT($C$10)*NORMINV(RAND(),0,1))</f>
        <v>84.565639335596956</v>
      </c>
      <c r="L425">
        <f t="shared" ca="1" si="448"/>
        <v>86.594779462352236</v>
      </c>
      <c r="M425">
        <f t="shared" ca="1" si="448"/>
        <v>82.755861875311268</v>
      </c>
      <c r="N425">
        <f t="shared" ca="1" si="448"/>
        <v>86.736767717770519</v>
      </c>
      <c r="O425">
        <f t="shared" ca="1" si="448"/>
        <v>84.576246372951417</v>
      </c>
      <c r="P425">
        <f t="shared" ca="1" si="448"/>
        <v>87.310793143215975</v>
      </c>
      <c r="Q425">
        <f t="shared" ca="1" si="412"/>
        <v>88.134525506548414</v>
      </c>
      <c r="R425">
        <f t="shared" ca="1" si="413"/>
        <v>0</v>
      </c>
      <c r="S425">
        <f t="shared" ca="1" si="414"/>
        <v>0</v>
      </c>
    </row>
    <row r="426" spans="5:19" x14ac:dyDescent="0.75">
      <c r="E426">
        <v>421</v>
      </c>
      <c r="F426">
        <v>100</v>
      </c>
      <c r="G426">
        <f t="shared" ca="1" si="410"/>
        <v>97.385378165045793</v>
      </c>
      <c r="H426">
        <f t="shared" ca="1" si="410"/>
        <v>92.144848389282274</v>
      </c>
      <c r="I426">
        <f t="shared" ca="1" si="410"/>
        <v>90.455534358346867</v>
      </c>
      <c r="J426">
        <f t="shared" ca="1" si="410"/>
        <v>101.03359772285241</v>
      </c>
      <c r="K426">
        <f t="shared" ref="K426:P426" ca="1" si="449">J426*EXP(($C$4-0.5*$C$5^2)*$C$10+$C$5*SQRT($C$10)*NORMINV(RAND(),0,1))</f>
        <v>94.164151448994431</v>
      </c>
      <c r="L426">
        <f t="shared" ca="1" si="449"/>
        <v>90.425369557389828</v>
      </c>
      <c r="M426">
        <f t="shared" ca="1" si="449"/>
        <v>97.721807764026991</v>
      </c>
      <c r="N426">
        <f t="shared" ca="1" si="449"/>
        <v>91.190869113540245</v>
      </c>
      <c r="O426">
        <f t="shared" ca="1" si="449"/>
        <v>87.368584699662776</v>
      </c>
      <c r="P426">
        <f t="shared" ca="1" si="449"/>
        <v>92.834493136432229</v>
      </c>
      <c r="Q426">
        <f t="shared" ca="1" si="412"/>
        <v>94.0658758505067</v>
      </c>
      <c r="R426">
        <f t="shared" ca="1" si="413"/>
        <v>0</v>
      </c>
      <c r="S426">
        <f t="shared" ca="1" si="414"/>
        <v>0</v>
      </c>
    </row>
    <row r="427" spans="5:19" x14ac:dyDescent="0.75">
      <c r="E427">
        <v>422</v>
      </c>
      <c r="F427">
        <v>100</v>
      </c>
      <c r="G427">
        <f t="shared" ca="1" si="410"/>
        <v>117.83395201567764</v>
      </c>
      <c r="H427">
        <f t="shared" ca="1" si="410"/>
        <v>110.00609052085849</v>
      </c>
      <c r="I427">
        <f t="shared" ca="1" si="410"/>
        <v>109.62180776453509</v>
      </c>
      <c r="J427">
        <f t="shared" ca="1" si="410"/>
        <v>111.35415738585141</v>
      </c>
      <c r="K427">
        <f t="shared" ref="K427:P427" ca="1" si="450">J427*EXP(($C$4-0.5*$C$5^2)*$C$10+$C$5*SQRT($C$10)*NORMINV(RAND(),0,1))</f>
        <v>107.57253059520416</v>
      </c>
      <c r="L427">
        <f t="shared" ca="1" si="450"/>
        <v>109.70966627396562</v>
      </c>
      <c r="M427">
        <f t="shared" ca="1" si="450"/>
        <v>112.40051039863657</v>
      </c>
      <c r="N427">
        <f t="shared" ca="1" si="450"/>
        <v>106.42138313664239</v>
      </c>
      <c r="O427">
        <f t="shared" ca="1" si="450"/>
        <v>107.37341661973139</v>
      </c>
      <c r="P427">
        <f t="shared" ca="1" si="450"/>
        <v>113.5509744076717</v>
      </c>
      <c r="Q427">
        <f t="shared" ca="1" si="412"/>
        <v>109.62222628352494</v>
      </c>
      <c r="R427">
        <f t="shared" ca="1" si="413"/>
        <v>9.6222262835249381</v>
      </c>
      <c r="S427">
        <f t="shared" ca="1" si="414"/>
        <v>9.1529447700930717</v>
      </c>
    </row>
    <row r="428" spans="5:19" x14ac:dyDescent="0.75">
      <c r="E428">
        <v>423</v>
      </c>
      <c r="F428">
        <v>100</v>
      </c>
      <c r="G428">
        <f t="shared" ca="1" si="410"/>
        <v>99.106362766932463</v>
      </c>
      <c r="H428">
        <f t="shared" ca="1" si="410"/>
        <v>96.193977522697224</v>
      </c>
      <c r="I428">
        <f t="shared" ca="1" si="410"/>
        <v>88.782719557173309</v>
      </c>
      <c r="J428">
        <f t="shared" ca="1" si="410"/>
        <v>96.600658120642052</v>
      </c>
      <c r="K428">
        <f t="shared" ref="K428:P428" ca="1" si="451">J428*EXP(($C$4-0.5*$C$5^2)*$C$10+$C$5*SQRT($C$10)*NORMINV(RAND(),0,1))</f>
        <v>99.138624287937404</v>
      </c>
      <c r="L428">
        <f t="shared" ca="1" si="451"/>
        <v>101.15010665469842</v>
      </c>
      <c r="M428">
        <f t="shared" ca="1" si="451"/>
        <v>107.53971497614194</v>
      </c>
      <c r="N428">
        <f t="shared" ca="1" si="451"/>
        <v>123.53393510154827</v>
      </c>
      <c r="O428">
        <f t="shared" ca="1" si="451"/>
        <v>123.16799534998043</v>
      </c>
      <c r="P428">
        <f t="shared" ca="1" si="451"/>
        <v>119.2360226459203</v>
      </c>
      <c r="Q428">
        <f t="shared" ca="1" si="412"/>
        <v>104.95001063487926</v>
      </c>
      <c r="R428">
        <f t="shared" ca="1" si="413"/>
        <v>4.9500106348792627</v>
      </c>
      <c r="S428">
        <f t="shared" ca="1" si="414"/>
        <v>4.7085957674886147</v>
      </c>
    </row>
    <row r="429" spans="5:19" x14ac:dyDescent="0.75">
      <c r="E429">
        <v>424</v>
      </c>
      <c r="F429">
        <v>100</v>
      </c>
      <c r="G429">
        <f t="shared" ca="1" si="410"/>
        <v>102.35461804811341</v>
      </c>
      <c r="H429">
        <f t="shared" ca="1" si="410"/>
        <v>97.736272426819312</v>
      </c>
      <c r="I429">
        <f t="shared" ca="1" si="410"/>
        <v>94.415973370544691</v>
      </c>
      <c r="J429">
        <f t="shared" ca="1" si="410"/>
        <v>100.09218203173256</v>
      </c>
      <c r="K429">
        <f t="shared" ref="K429:P429" ca="1" si="452">J429*EXP(($C$4-0.5*$C$5^2)*$C$10+$C$5*SQRT($C$10)*NORMINV(RAND(),0,1))</f>
        <v>100.5095103119133</v>
      </c>
      <c r="L429">
        <f t="shared" ca="1" si="452"/>
        <v>110.58006445070563</v>
      </c>
      <c r="M429">
        <f t="shared" ca="1" si="452"/>
        <v>110.17785232151508</v>
      </c>
      <c r="N429">
        <f t="shared" ca="1" si="452"/>
        <v>111.92158733913028</v>
      </c>
      <c r="O429">
        <f t="shared" ca="1" si="452"/>
        <v>132.93882481116418</v>
      </c>
      <c r="P429">
        <f t="shared" ca="1" si="452"/>
        <v>127.47641861532382</v>
      </c>
      <c r="Q429">
        <f t="shared" ca="1" si="412"/>
        <v>108.01848215699657</v>
      </c>
      <c r="R429">
        <f t="shared" ca="1" si="413"/>
        <v>8.0184821569965692</v>
      </c>
      <c r="S429">
        <f t="shared" ca="1" si="414"/>
        <v>7.6274161675690904</v>
      </c>
    </row>
    <row r="430" spans="5:19" x14ac:dyDescent="0.75">
      <c r="E430">
        <v>425</v>
      </c>
      <c r="F430">
        <v>100</v>
      </c>
      <c r="G430">
        <f t="shared" ca="1" si="410"/>
        <v>101.31867742447037</v>
      </c>
      <c r="H430">
        <f t="shared" ca="1" si="410"/>
        <v>105.22011188502179</v>
      </c>
      <c r="I430">
        <f t="shared" ca="1" si="410"/>
        <v>107.2221311956079</v>
      </c>
      <c r="J430">
        <f t="shared" ca="1" si="410"/>
        <v>106.87610350631792</v>
      </c>
      <c r="K430">
        <f t="shared" ref="K430:P430" ca="1" si="453">J430*EXP(($C$4-0.5*$C$5^2)*$C$10+$C$5*SQRT($C$10)*NORMINV(RAND(),0,1))</f>
        <v>103.77074579101486</v>
      </c>
      <c r="L430">
        <f t="shared" ca="1" si="453"/>
        <v>103.2465963986984</v>
      </c>
      <c r="M430">
        <f t="shared" ca="1" si="453"/>
        <v>110.53081775935982</v>
      </c>
      <c r="N430">
        <f t="shared" ca="1" si="453"/>
        <v>110.81683070903365</v>
      </c>
      <c r="O430">
        <f t="shared" ca="1" si="453"/>
        <v>125.04644770616571</v>
      </c>
      <c r="P430">
        <f t="shared" ca="1" si="453"/>
        <v>133.05153387864937</v>
      </c>
      <c r="Q430">
        <f t="shared" ca="1" si="412"/>
        <v>109.73636329584906</v>
      </c>
      <c r="R430">
        <f t="shared" ca="1" si="413"/>
        <v>9.7363632958490598</v>
      </c>
      <c r="S430">
        <f t="shared" ca="1" si="414"/>
        <v>9.2615152546403756</v>
      </c>
    </row>
    <row r="431" spans="5:19" x14ac:dyDescent="0.75">
      <c r="E431">
        <v>426</v>
      </c>
      <c r="F431">
        <v>100</v>
      </c>
      <c r="G431">
        <f t="shared" ca="1" si="410"/>
        <v>96.5757366037016</v>
      </c>
      <c r="H431">
        <f t="shared" ca="1" si="410"/>
        <v>99.552158604776992</v>
      </c>
      <c r="I431">
        <f t="shared" ca="1" si="410"/>
        <v>111.91543015685004</v>
      </c>
      <c r="J431">
        <f t="shared" ca="1" si="410"/>
        <v>112.99742988364675</v>
      </c>
      <c r="K431">
        <f t="shared" ref="K431:P431" ca="1" si="454">J431*EXP(($C$4-0.5*$C$5^2)*$C$10+$C$5*SQRT($C$10)*NORMINV(RAND(),0,1))</f>
        <v>108.39064238386878</v>
      </c>
      <c r="L431">
        <f t="shared" ca="1" si="454"/>
        <v>117.22996603368442</v>
      </c>
      <c r="M431">
        <f t="shared" ca="1" si="454"/>
        <v>128.84731534133317</v>
      </c>
      <c r="N431">
        <f t="shared" ca="1" si="454"/>
        <v>110.79905706338215</v>
      </c>
      <c r="O431">
        <f t="shared" ca="1" si="454"/>
        <v>118.17127092755813</v>
      </c>
      <c r="P431">
        <f t="shared" ca="1" si="454"/>
        <v>113.47456911484613</v>
      </c>
      <c r="Q431">
        <f t="shared" ca="1" si="412"/>
        <v>110.72305237396803</v>
      </c>
      <c r="R431">
        <f t="shared" ca="1" si="413"/>
        <v>10.723052373968031</v>
      </c>
      <c r="S431">
        <f t="shared" ca="1" si="414"/>
        <v>10.200082938580625</v>
      </c>
    </row>
    <row r="432" spans="5:19" x14ac:dyDescent="0.75">
      <c r="E432">
        <v>427</v>
      </c>
      <c r="F432">
        <v>100</v>
      </c>
      <c r="G432">
        <f t="shared" ca="1" si="410"/>
        <v>108.75556969635069</v>
      </c>
      <c r="H432">
        <f t="shared" ca="1" si="410"/>
        <v>99.816194215508034</v>
      </c>
      <c r="I432">
        <f t="shared" ca="1" si="410"/>
        <v>104.64499495078337</v>
      </c>
      <c r="J432">
        <f t="shared" ca="1" si="410"/>
        <v>94.417882860357849</v>
      </c>
      <c r="K432">
        <f t="shared" ref="K432:P432" ca="1" si="455">J432*EXP(($C$4-0.5*$C$5^2)*$C$10+$C$5*SQRT($C$10)*NORMINV(RAND(),0,1))</f>
        <v>101.57198263188364</v>
      </c>
      <c r="L432">
        <f t="shared" ca="1" si="455"/>
        <v>104.30117527255396</v>
      </c>
      <c r="M432">
        <f t="shared" ca="1" si="455"/>
        <v>113.22766514161677</v>
      </c>
      <c r="N432">
        <f t="shared" ca="1" si="455"/>
        <v>115.2807926490965</v>
      </c>
      <c r="O432">
        <f t="shared" ca="1" si="455"/>
        <v>123.57473474972626</v>
      </c>
      <c r="P432">
        <f t="shared" ca="1" si="455"/>
        <v>133.61712481596874</v>
      </c>
      <c r="Q432">
        <f t="shared" ca="1" si="412"/>
        <v>109.01891972580417</v>
      </c>
      <c r="R432">
        <f t="shared" ca="1" si="413"/>
        <v>9.0189197258041673</v>
      </c>
      <c r="S432">
        <f t="shared" ca="1" si="414"/>
        <v>8.5790618203948359</v>
      </c>
    </row>
    <row r="433" spans="5:19" x14ac:dyDescent="0.75">
      <c r="E433">
        <v>428</v>
      </c>
      <c r="F433">
        <v>100</v>
      </c>
      <c r="G433">
        <f t="shared" ca="1" si="410"/>
        <v>110.41654285628728</v>
      </c>
      <c r="H433">
        <f t="shared" ca="1" si="410"/>
        <v>118.36835806129569</v>
      </c>
      <c r="I433">
        <f t="shared" ca="1" si="410"/>
        <v>112.60076168369044</v>
      </c>
      <c r="J433">
        <f t="shared" ca="1" si="410"/>
        <v>117.43684167547838</v>
      </c>
      <c r="K433">
        <f t="shared" ref="K433:P433" ca="1" si="456">J433*EXP(($C$4-0.5*$C$5^2)*$C$10+$C$5*SQRT($C$10)*NORMINV(RAND(),0,1))</f>
        <v>109.5119385863392</v>
      </c>
      <c r="L433">
        <f t="shared" ca="1" si="456"/>
        <v>108.11613778315539</v>
      </c>
      <c r="M433">
        <f t="shared" ca="1" si="456"/>
        <v>107.30157400033032</v>
      </c>
      <c r="N433">
        <f t="shared" ca="1" si="456"/>
        <v>114.62500925005234</v>
      </c>
      <c r="O433">
        <f t="shared" ca="1" si="456"/>
        <v>115.98169557098127</v>
      </c>
      <c r="P433">
        <f t="shared" ca="1" si="456"/>
        <v>115.32564171099666</v>
      </c>
      <c r="Q433">
        <f t="shared" ca="1" si="412"/>
        <v>111.78950010714608</v>
      </c>
      <c r="R433">
        <f t="shared" ca="1" si="413"/>
        <v>11.789500107146083</v>
      </c>
      <c r="S433">
        <f t="shared" ca="1" si="414"/>
        <v>11.214519402071675</v>
      </c>
    </row>
    <row r="434" spans="5:19" x14ac:dyDescent="0.75">
      <c r="E434">
        <v>429</v>
      </c>
      <c r="F434">
        <v>100</v>
      </c>
      <c r="G434">
        <f t="shared" ca="1" si="410"/>
        <v>95.860778383360739</v>
      </c>
      <c r="H434">
        <f t="shared" ca="1" si="410"/>
        <v>101.94115565717154</v>
      </c>
      <c r="I434">
        <f t="shared" ca="1" si="410"/>
        <v>103.19752970131594</v>
      </c>
      <c r="J434">
        <f t="shared" ca="1" si="410"/>
        <v>110.75911826326544</v>
      </c>
      <c r="K434">
        <f t="shared" ref="K434:P434" ca="1" si="457">J434*EXP(($C$4-0.5*$C$5^2)*$C$10+$C$5*SQRT($C$10)*NORMINV(RAND(),0,1))</f>
        <v>118.04024234346515</v>
      </c>
      <c r="L434">
        <f t="shared" ca="1" si="457"/>
        <v>120.58352739014082</v>
      </c>
      <c r="M434">
        <f t="shared" ca="1" si="457"/>
        <v>120.00822796524022</v>
      </c>
      <c r="N434">
        <f t="shared" ca="1" si="457"/>
        <v>110.61691147190234</v>
      </c>
      <c r="O434">
        <f t="shared" ca="1" si="457"/>
        <v>108.6452658269301</v>
      </c>
      <c r="P434">
        <f t="shared" ca="1" si="457"/>
        <v>118.93640045193277</v>
      </c>
      <c r="Q434">
        <f t="shared" ca="1" si="412"/>
        <v>109.87174158679319</v>
      </c>
      <c r="R434">
        <f t="shared" ca="1" si="413"/>
        <v>9.8717415867931919</v>
      </c>
      <c r="S434">
        <f t="shared" ca="1" si="414"/>
        <v>9.3902910684250536</v>
      </c>
    </row>
    <row r="435" spans="5:19" x14ac:dyDescent="0.75">
      <c r="E435">
        <v>430</v>
      </c>
      <c r="F435">
        <v>100</v>
      </c>
      <c r="G435">
        <f t="shared" ca="1" si="410"/>
        <v>104.56197888290062</v>
      </c>
      <c r="H435">
        <f t="shared" ca="1" si="410"/>
        <v>100.16561268598531</v>
      </c>
      <c r="I435">
        <f t="shared" ca="1" si="410"/>
        <v>89.750382009540886</v>
      </c>
      <c r="J435">
        <f t="shared" ca="1" si="410"/>
        <v>86.097873757329779</v>
      </c>
      <c r="K435">
        <f t="shared" ref="K435:P435" ca="1" si="458">J435*EXP(($C$4-0.5*$C$5^2)*$C$10+$C$5*SQRT($C$10)*NORMINV(RAND(),0,1))</f>
        <v>77.433948431014116</v>
      </c>
      <c r="L435">
        <f t="shared" ca="1" si="458"/>
        <v>75.207380268589944</v>
      </c>
      <c r="M435">
        <f t="shared" ca="1" si="458"/>
        <v>68.940985562744473</v>
      </c>
      <c r="N435">
        <f t="shared" ca="1" si="458"/>
        <v>72.059490154862772</v>
      </c>
      <c r="O435">
        <f t="shared" ca="1" si="458"/>
        <v>70.397908871540849</v>
      </c>
      <c r="P435">
        <f t="shared" ca="1" si="458"/>
        <v>67.228997297684302</v>
      </c>
      <c r="Q435">
        <f t="shared" ca="1" si="412"/>
        <v>82.89495981110845</v>
      </c>
      <c r="R435">
        <f t="shared" ca="1" si="413"/>
        <v>0</v>
      </c>
      <c r="S435">
        <f t="shared" ca="1" si="414"/>
        <v>0</v>
      </c>
    </row>
    <row r="436" spans="5:19" x14ac:dyDescent="0.75">
      <c r="E436">
        <v>431</v>
      </c>
      <c r="F436">
        <v>100</v>
      </c>
      <c r="G436">
        <f t="shared" ca="1" si="410"/>
        <v>100.74299249714862</v>
      </c>
      <c r="H436">
        <f t="shared" ca="1" si="410"/>
        <v>91.030796471851531</v>
      </c>
      <c r="I436">
        <f t="shared" ca="1" si="410"/>
        <v>86.667323709132447</v>
      </c>
      <c r="J436">
        <f t="shared" ca="1" si="410"/>
        <v>82.748482621627332</v>
      </c>
      <c r="K436">
        <f t="shared" ref="K436:P436" ca="1" si="459">J436*EXP(($C$4-0.5*$C$5^2)*$C$10+$C$5*SQRT($C$10)*NORMINV(RAND(),0,1))</f>
        <v>81.865959984020023</v>
      </c>
      <c r="L436">
        <f t="shared" ca="1" si="459"/>
        <v>77.810159867160948</v>
      </c>
      <c r="M436">
        <f t="shared" ca="1" si="459"/>
        <v>74.331754424083471</v>
      </c>
      <c r="N436">
        <f t="shared" ca="1" si="459"/>
        <v>74.308629646070699</v>
      </c>
      <c r="O436">
        <f t="shared" ca="1" si="459"/>
        <v>67.990691766039475</v>
      </c>
      <c r="P436">
        <f t="shared" ca="1" si="459"/>
        <v>68.979763606675235</v>
      </c>
      <c r="Q436">
        <f t="shared" ca="1" si="412"/>
        <v>82.406959508528161</v>
      </c>
      <c r="R436">
        <f t="shared" ca="1" si="413"/>
        <v>0</v>
      </c>
      <c r="S436">
        <f t="shared" ca="1" si="414"/>
        <v>0</v>
      </c>
    </row>
    <row r="437" spans="5:19" x14ac:dyDescent="0.75">
      <c r="E437">
        <v>432</v>
      </c>
      <c r="F437">
        <v>100</v>
      </c>
      <c r="G437">
        <f t="shared" ca="1" si="410"/>
        <v>107.22229462428136</v>
      </c>
      <c r="H437">
        <f t="shared" ca="1" si="410"/>
        <v>107.05900951801925</v>
      </c>
      <c r="I437">
        <f t="shared" ca="1" si="410"/>
        <v>112.47846417608692</v>
      </c>
      <c r="J437">
        <f t="shared" ca="1" si="410"/>
        <v>117.61975028866264</v>
      </c>
      <c r="K437">
        <f t="shared" ref="K437:P437" ca="1" si="460">J437*EXP(($C$4-0.5*$C$5^2)*$C$10+$C$5*SQRT($C$10)*NORMINV(RAND(),0,1))</f>
        <v>118.47051902834761</v>
      </c>
      <c r="L437">
        <f t="shared" ca="1" si="460"/>
        <v>130.17174903901031</v>
      </c>
      <c r="M437">
        <f t="shared" ca="1" si="460"/>
        <v>129.72439689222585</v>
      </c>
      <c r="N437">
        <f t="shared" ca="1" si="460"/>
        <v>117.60834259509942</v>
      </c>
      <c r="O437">
        <f t="shared" ca="1" si="460"/>
        <v>107.83807023594662</v>
      </c>
      <c r="P437">
        <f t="shared" ca="1" si="460"/>
        <v>100.57230341025505</v>
      </c>
      <c r="Q437">
        <f t="shared" ca="1" si="412"/>
        <v>113.52408180072135</v>
      </c>
      <c r="R437">
        <f t="shared" ca="1" si="413"/>
        <v>13.524081800721348</v>
      </c>
      <c r="S437">
        <f t="shared" ca="1" si="414"/>
        <v>12.864504548200747</v>
      </c>
    </row>
    <row r="438" spans="5:19" x14ac:dyDescent="0.75">
      <c r="E438">
        <v>433</v>
      </c>
      <c r="F438">
        <v>100</v>
      </c>
      <c r="G438">
        <f t="shared" ca="1" si="410"/>
        <v>99.496057458629352</v>
      </c>
      <c r="H438">
        <f t="shared" ca="1" si="410"/>
        <v>108.73365697754707</v>
      </c>
      <c r="I438">
        <f t="shared" ca="1" si="410"/>
        <v>112.77128532948181</v>
      </c>
      <c r="J438">
        <f t="shared" ca="1" si="410"/>
        <v>128.24381770334779</v>
      </c>
      <c r="K438">
        <f t="shared" ref="K438:P438" ca="1" si="461">J438*EXP(($C$4-0.5*$C$5^2)*$C$10+$C$5*SQRT($C$10)*NORMINV(RAND(),0,1))</f>
        <v>123.28230654354785</v>
      </c>
      <c r="L438">
        <f t="shared" ca="1" si="461"/>
        <v>128.77085022178969</v>
      </c>
      <c r="M438">
        <f t="shared" ca="1" si="461"/>
        <v>128.94438906382226</v>
      </c>
      <c r="N438">
        <f t="shared" ca="1" si="461"/>
        <v>131.67725394451864</v>
      </c>
      <c r="O438">
        <f t="shared" ca="1" si="461"/>
        <v>125.90512357452363</v>
      </c>
      <c r="P438">
        <f t="shared" ca="1" si="461"/>
        <v>119.90789321416241</v>
      </c>
      <c r="Q438">
        <f t="shared" ca="1" si="412"/>
        <v>118.88478491194279</v>
      </c>
      <c r="R438">
        <f t="shared" ca="1" si="413"/>
        <v>18.884784911942788</v>
      </c>
      <c r="S438">
        <f t="shared" ca="1" si="414"/>
        <v>17.963763083607105</v>
      </c>
    </row>
    <row r="439" spans="5:19" x14ac:dyDescent="0.75">
      <c r="E439">
        <v>434</v>
      </c>
      <c r="F439">
        <v>100</v>
      </c>
      <c r="G439">
        <f t="shared" ca="1" si="410"/>
        <v>95.639332671562272</v>
      </c>
      <c r="H439">
        <f t="shared" ca="1" si="410"/>
        <v>96.286551464825621</v>
      </c>
      <c r="I439">
        <f t="shared" ca="1" si="410"/>
        <v>87.752346164744054</v>
      </c>
      <c r="J439">
        <f t="shared" ca="1" si="410"/>
        <v>89.163392303204304</v>
      </c>
      <c r="K439">
        <f t="shared" ref="K439:P439" ca="1" si="462">J439*EXP(($C$4-0.5*$C$5^2)*$C$10+$C$5*SQRT($C$10)*NORMINV(RAND(),0,1))</f>
        <v>82.894736821207033</v>
      </c>
      <c r="L439">
        <f t="shared" ca="1" si="462"/>
        <v>89.177443010298575</v>
      </c>
      <c r="M439">
        <f t="shared" ca="1" si="462"/>
        <v>93.485558121518622</v>
      </c>
      <c r="N439">
        <f t="shared" ca="1" si="462"/>
        <v>89.451724753935252</v>
      </c>
      <c r="O439">
        <f t="shared" ca="1" si="462"/>
        <v>95.926871716854848</v>
      </c>
      <c r="P439">
        <f t="shared" ca="1" si="462"/>
        <v>81.226231440103959</v>
      </c>
      <c r="Q439">
        <f t="shared" ca="1" si="412"/>
        <v>91.000380769841328</v>
      </c>
      <c r="R439">
        <f t="shared" ca="1" si="413"/>
        <v>0</v>
      </c>
      <c r="S439">
        <f t="shared" ca="1" si="414"/>
        <v>0</v>
      </c>
    </row>
    <row r="440" spans="5:19" x14ac:dyDescent="0.75">
      <c r="E440">
        <v>435</v>
      </c>
      <c r="F440">
        <v>100</v>
      </c>
      <c r="G440">
        <f t="shared" ca="1" si="410"/>
        <v>93.234600985606619</v>
      </c>
      <c r="H440">
        <f t="shared" ca="1" si="410"/>
        <v>93.510777348136884</v>
      </c>
      <c r="I440">
        <f t="shared" ca="1" si="410"/>
        <v>95.705815761365201</v>
      </c>
      <c r="J440">
        <f t="shared" ca="1" si="410"/>
        <v>87.321544169764095</v>
      </c>
      <c r="K440">
        <f t="shared" ref="K440:P440" ca="1" si="463">J440*EXP(($C$4-0.5*$C$5^2)*$C$10+$C$5*SQRT($C$10)*NORMINV(RAND(),0,1))</f>
        <v>91.015936274789453</v>
      </c>
      <c r="L440">
        <f t="shared" ca="1" si="463"/>
        <v>84.31813017927</v>
      </c>
      <c r="M440">
        <f t="shared" ca="1" si="463"/>
        <v>82.235267243845385</v>
      </c>
      <c r="N440">
        <f t="shared" ca="1" si="463"/>
        <v>77.533061327964504</v>
      </c>
      <c r="O440">
        <f t="shared" ca="1" si="463"/>
        <v>77.721770134635321</v>
      </c>
      <c r="P440">
        <f t="shared" ca="1" si="463"/>
        <v>78.222892694450721</v>
      </c>
      <c r="Q440">
        <f t="shared" ca="1" si="412"/>
        <v>87.347254192711659</v>
      </c>
      <c r="R440">
        <f t="shared" ca="1" si="413"/>
        <v>0</v>
      </c>
      <c r="S440">
        <f t="shared" ca="1" si="414"/>
        <v>0</v>
      </c>
    </row>
    <row r="441" spans="5:19" x14ac:dyDescent="0.75">
      <c r="E441">
        <v>436</v>
      </c>
      <c r="F441">
        <v>100</v>
      </c>
      <c r="G441">
        <f t="shared" ca="1" si="410"/>
        <v>97.281553054295472</v>
      </c>
      <c r="H441">
        <f t="shared" ca="1" si="410"/>
        <v>101.50102387609581</v>
      </c>
      <c r="I441">
        <f t="shared" ca="1" si="410"/>
        <v>113.34225345699211</v>
      </c>
      <c r="J441">
        <f t="shared" ca="1" si="410"/>
        <v>108.91629416456725</v>
      </c>
      <c r="K441">
        <f t="shared" ref="K441:P441" ca="1" si="464">J441*EXP(($C$4-0.5*$C$5^2)*$C$10+$C$5*SQRT($C$10)*NORMINV(RAND(),0,1))</f>
        <v>119.00906220386616</v>
      </c>
      <c r="L441">
        <f t="shared" ca="1" si="464"/>
        <v>133.89861565622968</v>
      </c>
      <c r="M441">
        <f t="shared" ca="1" si="464"/>
        <v>131.70420304382088</v>
      </c>
      <c r="N441">
        <f t="shared" ca="1" si="464"/>
        <v>128.39554583383131</v>
      </c>
      <c r="O441">
        <f t="shared" ca="1" si="464"/>
        <v>123.22267222568186</v>
      </c>
      <c r="P441">
        <f t="shared" ca="1" si="464"/>
        <v>136.56831123979211</v>
      </c>
      <c r="Q441">
        <f t="shared" ca="1" si="412"/>
        <v>117.6217758868339</v>
      </c>
      <c r="R441">
        <f t="shared" ca="1" si="413"/>
        <v>17.621775886833902</v>
      </c>
      <c r="S441">
        <f t="shared" ca="1" si="414"/>
        <v>16.762351735513572</v>
      </c>
    </row>
    <row r="442" spans="5:19" x14ac:dyDescent="0.75">
      <c r="E442">
        <v>437</v>
      </c>
      <c r="F442">
        <v>100</v>
      </c>
      <c r="G442">
        <f t="shared" ca="1" si="410"/>
        <v>96.851459153609568</v>
      </c>
      <c r="H442">
        <f t="shared" ca="1" si="410"/>
        <v>101.44895335053246</v>
      </c>
      <c r="I442">
        <f t="shared" ca="1" si="410"/>
        <v>103.67263638284491</v>
      </c>
      <c r="J442">
        <f t="shared" ca="1" si="410"/>
        <v>107.27503989150523</v>
      </c>
      <c r="K442">
        <f t="shared" ref="K442:P442" ca="1" si="465">J442*EXP(($C$4-0.5*$C$5^2)*$C$10+$C$5*SQRT($C$10)*NORMINV(RAND(),0,1))</f>
        <v>103.85349673342971</v>
      </c>
      <c r="L442">
        <f t="shared" ca="1" si="465"/>
        <v>100.55313274153677</v>
      </c>
      <c r="M442">
        <f t="shared" ca="1" si="465"/>
        <v>102.32024641495144</v>
      </c>
      <c r="N442">
        <f t="shared" ca="1" si="465"/>
        <v>94.052115393068689</v>
      </c>
      <c r="O442">
        <f t="shared" ca="1" si="465"/>
        <v>89.208318974812201</v>
      </c>
      <c r="P442">
        <f t="shared" ca="1" si="465"/>
        <v>85.416223010111139</v>
      </c>
      <c r="Q442">
        <f t="shared" ca="1" si="412"/>
        <v>98.604692913309293</v>
      </c>
      <c r="R442">
        <f t="shared" ca="1" si="413"/>
        <v>0</v>
      </c>
      <c r="S442">
        <f t="shared" ca="1" si="414"/>
        <v>0</v>
      </c>
    </row>
    <row r="443" spans="5:19" x14ac:dyDescent="0.75">
      <c r="E443">
        <v>438</v>
      </c>
      <c r="F443">
        <v>100</v>
      </c>
      <c r="G443">
        <f t="shared" ca="1" si="410"/>
        <v>94.074428888038497</v>
      </c>
      <c r="H443">
        <f t="shared" ca="1" si="410"/>
        <v>95.139757676273064</v>
      </c>
      <c r="I443">
        <f t="shared" ca="1" si="410"/>
        <v>104.76635665068092</v>
      </c>
      <c r="J443">
        <f t="shared" ca="1" si="410"/>
        <v>109.06109888689289</v>
      </c>
      <c r="K443">
        <f t="shared" ref="K443:P443" ca="1" si="466">J443*EXP(($C$4-0.5*$C$5^2)*$C$10+$C$5*SQRT($C$10)*NORMINV(RAND(),0,1))</f>
        <v>106.54631696898387</v>
      </c>
      <c r="L443">
        <f t="shared" ca="1" si="466"/>
        <v>112.05313131055084</v>
      </c>
      <c r="M443">
        <f t="shared" ca="1" si="466"/>
        <v>117.31995687340918</v>
      </c>
      <c r="N443">
        <f t="shared" ca="1" si="466"/>
        <v>117.83943983892787</v>
      </c>
      <c r="O443">
        <f t="shared" ca="1" si="466"/>
        <v>116.02171192159143</v>
      </c>
      <c r="P443">
        <f t="shared" ca="1" si="466"/>
        <v>113.25452977978196</v>
      </c>
      <c r="Q443">
        <f t="shared" ca="1" si="412"/>
        <v>107.82515716319368</v>
      </c>
      <c r="R443">
        <f t="shared" ca="1" si="413"/>
        <v>7.8251571631936798</v>
      </c>
      <c r="S443">
        <f t="shared" ca="1" si="414"/>
        <v>7.443519744972364</v>
      </c>
    </row>
    <row r="444" spans="5:19" x14ac:dyDescent="0.75">
      <c r="E444">
        <v>439</v>
      </c>
      <c r="F444">
        <v>100</v>
      </c>
      <c r="G444">
        <f t="shared" ca="1" si="410"/>
        <v>89.352871541021642</v>
      </c>
      <c r="H444">
        <f t="shared" ca="1" si="410"/>
        <v>95.274152155851169</v>
      </c>
      <c r="I444">
        <f t="shared" ca="1" si="410"/>
        <v>96.582010344784194</v>
      </c>
      <c r="J444">
        <f t="shared" ca="1" si="410"/>
        <v>92.906871254868264</v>
      </c>
      <c r="K444">
        <f t="shared" ref="K444:P444" ca="1" si="467">J444*EXP(($C$4-0.5*$C$5^2)*$C$10+$C$5*SQRT($C$10)*NORMINV(RAND(),0,1))</f>
        <v>85.505117109732836</v>
      </c>
      <c r="L444">
        <f t="shared" ca="1" si="467"/>
        <v>81.804653707943487</v>
      </c>
      <c r="M444">
        <f t="shared" ca="1" si="467"/>
        <v>90.777667089767178</v>
      </c>
      <c r="N444">
        <f t="shared" ca="1" si="467"/>
        <v>87.360283413086435</v>
      </c>
      <c r="O444">
        <f t="shared" ca="1" si="467"/>
        <v>85.557974271395182</v>
      </c>
      <c r="P444">
        <f t="shared" ca="1" si="467"/>
        <v>80.176376626625668</v>
      </c>
      <c r="Q444">
        <f t="shared" ca="1" si="412"/>
        <v>89.572543410461478</v>
      </c>
      <c r="R444">
        <f t="shared" ca="1" si="413"/>
        <v>0</v>
      </c>
      <c r="S444">
        <f t="shared" ca="1" si="414"/>
        <v>0</v>
      </c>
    </row>
    <row r="445" spans="5:19" x14ac:dyDescent="0.75">
      <c r="E445">
        <v>440</v>
      </c>
      <c r="F445">
        <v>100</v>
      </c>
      <c r="G445">
        <f t="shared" ca="1" si="410"/>
        <v>108.16753415787304</v>
      </c>
      <c r="H445">
        <f t="shared" ca="1" si="410"/>
        <v>105.9879986854143</v>
      </c>
      <c r="I445">
        <f t="shared" ca="1" si="410"/>
        <v>108.79240342470543</v>
      </c>
      <c r="J445">
        <f t="shared" ca="1" si="410"/>
        <v>123.32123473534089</v>
      </c>
      <c r="K445">
        <f t="shared" ref="K445:P445" ca="1" si="468">J445*EXP(($C$4-0.5*$C$5^2)*$C$10+$C$5*SQRT($C$10)*NORMINV(RAND(),0,1))</f>
        <v>126.98100226887881</v>
      </c>
      <c r="L445">
        <f t="shared" ca="1" si="468"/>
        <v>126.9713578080228</v>
      </c>
      <c r="M445">
        <f t="shared" ca="1" si="468"/>
        <v>121.68986417034924</v>
      </c>
      <c r="N445">
        <f t="shared" ca="1" si="468"/>
        <v>135.0060443304294</v>
      </c>
      <c r="O445">
        <f t="shared" ca="1" si="468"/>
        <v>143.44450029396089</v>
      </c>
      <c r="P445">
        <f t="shared" ca="1" si="468"/>
        <v>147.73529487130932</v>
      </c>
      <c r="Q445">
        <f t="shared" ca="1" si="412"/>
        <v>122.55429406784401</v>
      </c>
      <c r="R445">
        <f t="shared" ca="1" si="413"/>
        <v>22.554294067844012</v>
      </c>
      <c r="S445">
        <f t="shared" ca="1" si="414"/>
        <v>21.454308166175128</v>
      </c>
    </row>
    <row r="446" spans="5:19" x14ac:dyDescent="0.75">
      <c r="E446">
        <v>441</v>
      </c>
      <c r="F446">
        <v>100</v>
      </c>
      <c r="G446">
        <f t="shared" ca="1" si="410"/>
        <v>105.61220479549817</v>
      </c>
      <c r="H446">
        <f t="shared" ca="1" si="410"/>
        <v>113.69490453942274</v>
      </c>
      <c r="I446">
        <f t="shared" ca="1" si="410"/>
        <v>102.85282825690017</v>
      </c>
      <c r="J446">
        <f t="shared" ca="1" si="410"/>
        <v>112.67047254129554</v>
      </c>
      <c r="K446">
        <f t="shared" ref="K446:P446" ca="1" si="469">J446*EXP(($C$4-0.5*$C$5^2)*$C$10+$C$5*SQRT($C$10)*NORMINV(RAND(),0,1))</f>
        <v>107.2115208962625</v>
      </c>
      <c r="L446">
        <f t="shared" ca="1" si="469"/>
        <v>113.44099397983686</v>
      </c>
      <c r="M446">
        <f t="shared" ca="1" si="469"/>
        <v>103.39343875723391</v>
      </c>
      <c r="N446">
        <f t="shared" ca="1" si="469"/>
        <v>106.00421361360496</v>
      </c>
      <c r="O446">
        <f t="shared" ca="1" si="469"/>
        <v>101.19693672625661</v>
      </c>
      <c r="P446">
        <f t="shared" ca="1" si="469"/>
        <v>95.969501566343467</v>
      </c>
      <c r="Q446">
        <f t="shared" ca="1" si="412"/>
        <v>105.64063778842319</v>
      </c>
      <c r="R446">
        <f t="shared" ca="1" si="413"/>
        <v>5.6406377884231915</v>
      </c>
      <c r="S446">
        <f t="shared" ca="1" si="414"/>
        <v>5.3655406372987731</v>
      </c>
    </row>
    <row r="447" spans="5:19" x14ac:dyDescent="0.75">
      <c r="E447">
        <v>442</v>
      </c>
      <c r="F447">
        <v>100</v>
      </c>
      <c r="G447">
        <f t="shared" ca="1" si="410"/>
        <v>98.439357228609808</v>
      </c>
      <c r="H447">
        <f t="shared" ca="1" si="410"/>
        <v>109.01247132644784</v>
      </c>
      <c r="I447">
        <f t="shared" ca="1" si="410"/>
        <v>114.06636258454834</v>
      </c>
      <c r="J447">
        <f t="shared" ca="1" si="410"/>
        <v>109.2648208233647</v>
      </c>
      <c r="K447">
        <f t="shared" ref="K447:P447" ca="1" si="470">J447*EXP(($C$4-0.5*$C$5^2)*$C$10+$C$5*SQRT($C$10)*NORMINV(RAND(),0,1))</f>
        <v>100.14617591869956</v>
      </c>
      <c r="L447">
        <f t="shared" ca="1" si="470"/>
        <v>104.48445660470034</v>
      </c>
      <c r="M447">
        <f t="shared" ca="1" si="470"/>
        <v>100.37041068454066</v>
      </c>
      <c r="N447">
        <f t="shared" ca="1" si="470"/>
        <v>104.55077972751202</v>
      </c>
      <c r="O447">
        <f t="shared" ca="1" si="470"/>
        <v>113.98476585014804</v>
      </c>
      <c r="P447">
        <f t="shared" ca="1" si="470"/>
        <v>111.56492862031605</v>
      </c>
      <c r="Q447">
        <f t="shared" ca="1" si="412"/>
        <v>105.98950266989885</v>
      </c>
      <c r="R447">
        <f t="shared" ca="1" si="413"/>
        <v>5.9895026698988545</v>
      </c>
      <c r="S447">
        <f t="shared" ca="1" si="414"/>
        <v>5.697391177733377</v>
      </c>
    </row>
    <row r="448" spans="5:19" x14ac:dyDescent="0.75">
      <c r="E448">
        <v>443</v>
      </c>
      <c r="F448">
        <v>100</v>
      </c>
      <c r="G448">
        <f t="shared" ca="1" si="410"/>
        <v>104.74286964079174</v>
      </c>
      <c r="H448">
        <f t="shared" ca="1" si="410"/>
        <v>99.2143730230367</v>
      </c>
      <c r="I448">
        <f t="shared" ca="1" si="410"/>
        <v>98.334936518041516</v>
      </c>
      <c r="J448">
        <f t="shared" ca="1" si="410"/>
        <v>91.659268205244757</v>
      </c>
      <c r="K448">
        <f t="shared" ref="K448:P448" ca="1" si="471">J448*EXP(($C$4-0.5*$C$5^2)*$C$10+$C$5*SQRT($C$10)*NORMINV(RAND(),0,1))</f>
        <v>88.517441892680139</v>
      </c>
      <c r="L448">
        <f t="shared" ca="1" si="471"/>
        <v>83.078109286528189</v>
      </c>
      <c r="M448">
        <f t="shared" ca="1" si="471"/>
        <v>86.556717078049914</v>
      </c>
      <c r="N448">
        <f t="shared" ca="1" si="471"/>
        <v>91.629698014321292</v>
      </c>
      <c r="O448">
        <f t="shared" ca="1" si="471"/>
        <v>94.652848346343504</v>
      </c>
      <c r="P448">
        <f t="shared" ca="1" si="471"/>
        <v>95.155094840186536</v>
      </c>
      <c r="Q448">
        <f t="shared" ca="1" si="412"/>
        <v>93.958305167747667</v>
      </c>
      <c r="R448">
        <f t="shared" ca="1" si="413"/>
        <v>0</v>
      </c>
      <c r="S448">
        <f t="shared" ca="1" si="414"/>
        <v>0</v>
      </c>
    </row>
    <row r="449" spans="5:19" x14ac:dyDescent="0.75">
      <c r="E449">
        <v>444</v>
      </c>
      <c r="F449">
        <v>100</v>
      </c>
      <c r="G449">
        <f t="shared" ca="1" si="410"/>
        <v>104.1659465501936</v>
      </c>
      <c r="H449">
        <f t="shared" ca="1" si="410"/>
        <v>116.19744134148583</v>
      </c>
      <c r="I449">
        <f t="shared" ca="1" si="410"/>
        <v>116.43221601178811</v>
      </c>
      <c r="J449">
        <f t="shared" ca="1" si="410"/>
        <v>108.97144562172464</v>
      </c>
      <c r="K449">
        <f t="shared" ref="K449:P449" ca="1" si="472">J449*EXP(($C$4-0.5*$C$5^2)*$C$10+$C$5*SQRT($C$10)*NORMINV(RAND(),0,1))</f>
        <v>100.00203666566162</v>
      </c>
      <c r="L449">
        <f t="shared" ca="1" si="472"/>
        <v>94.059319060351726</v>
      </c>
      <c r="M449">
        <f t="shared" ca="1" si="472"/>
        <v>97.830612716497455</v>
      </c>
      <c r="N449">
        <f t="shared" ca="1" si="472"/>
        <v>105.33283507325591</v>
      </c>
      <c r="O449">
        <f t="shared" ca="1" si="472"/>
        <v>93.634421441349431</v>
      </c>
      <c r="P449">
        <f t="shared" ca="1" si="472"/>
        <v>96.735285438116478</v>
      </c>
      <c r="Q449">
        <f t="shared" ca="1" si="412"/>
        <v>103.03286908367498</v>
      </c>
      <c r="R449">
        <f t="shared" ca="1" si="413"/>
        <v>3.0328690836749814</v>
      </c>
      <c r="S449">
        <f t="shared" ca="1" si="414"/>
        <v>2.8849543130501605</v>
      </c>
    </row>
    <row r="450" spans="5:19" x14ac:dyDescent="0.75">
      <c r="E450">
        <v>445</v>
      </c>
      <c r="F450">
        <v>100</v>
      </c>
      <c r="G450">
        <f t="shared" ca="1" si="410"/>
        <v>98.832712962096807</v>
      </c>
      <c r="H450">
        <f t="shared" ca="1" si="410"/>
        <v>100.09455142171551</v>
      </c>
      <c r="I450">
        <f t="shared" ca="1" si="410"/>
        <v>107.78089283268697</v>
      </c>
      <c r="J450">
        <f t="shared" ca="1" si="410"/>
        <v>103.59696222459247</v>
      </c>
      <c r="K450">
        <f t="shared" ref="K450:P450" ca="1" si="473">J450*EXP(($C$4-0.5*$C$5^2)*$C$10+$C$5*SQRT($C$10)*NORMINV(RAND(),0,1))</f>
        <v>104.50861663004223</v>
      </c>
      <c r="L450">
        <f t="shared" ca="1" si="473"/>
        <v>103.09106440007986</v>
      </c>
      <c r="M450">
        <f t="shared" ca="1" si="473"/>
        <v>95.267944723353565</v>
      </c>
      <c r="N450">
        <f t="shared" ca="1" si="473"/>
        <v>85.629948273317794</v>
      </c>
      <c r="O450">
        <f t="shared" ca="1" si="473"/>
        <v>79.8263735798525</v>
      </c>
      <c r="P450">
        <f t="shared" ca="1" si="473"/>
        <v>73.933164589199791</v>
      </c>
      <c r="Q450">
        <f t="shared" ca="1" si="412"/>
        <v>95.687475603357953</v>
      </c>
      <c r="R450">
        <f t="shared" ca="1" si="413"/>
        <v>0</v>
      </c>
      <c r="S450">
        <f t="shared" ca="1" si="414"/>
        <v>0</v>
      </c>
    </row>
    <row r="451" spans="5:19" x14ac:dyDescent="0.75">
      <c r="E451">
        <v>446</v>
      </c>
      <c r="F451">
        <v>100</v>
      </c>
      <c r="G451">
        <f t="shared" ca="1" si="410"/>
        <v>97.221718732124032</v>
      </c>
      <c r="H451">
        <f t="shared" ca="1" si="410"/>
        <v>97.618757432473089</v>
      </c>
      <c r="I451">
        <f t="shared" ca="1" si="410"/>
        <v>99.672946080317473</v>
      </c>
      <c r="J451">
        <f t="shared" ca="1" si="410"/>
        <v>91.479134762933924</v>
      </c>
      <c r="K451">
        <f t="shared" ref="K451:P451" ca="1" si="474">J451*EXP(($C$4-0.5*$C$5^2)*$C$10+$C$5*SQRT($C$10)*NORMINV(RAND(),0,1))</f>
        <v>93.283279595937557</v>
      </c>
      <c r="L451">
        <f t="shared" ca="1" si="474"/>
        <v>94.146910181230538</v>
      </c>
      <c r="M451">
        <f t="shared" ca="1" si="474"/>
        <v>98.722535524499349</v>
      </c>
      <c r="N451">
        <f t="shared" ca="1" si="474"/>
        <v>94.901616279538956</v>
      </c>
      <c r="O451">
        <f t="shared" ca="1" si="474"/>
        <v>106.29278446712979</v>
      </c>
      <c r="P451">
        <f t="shared" ca="1" si="474"/>
        <v>113.21494070590745</v>
      </c>
      <c r="Q451">
        <f t="shared" ca="1" si="412"/>
        <v>98.777693069281113</v>
      </c>
      <c r="R451">
        <f t="shared" ca="1" si="413"/>
        <v>0</v>
      </c>
      <c r="S451">
        <f t="shared" ca="1" si="414"/>
        <v>0</v>
      </c>
    </row>
    <row r="452" spans="5:19" x14ac:dyDescent="0.75">
      <c r="E452">
        <v>447</v>
      </c>
      <c r="F452">
        <v>100</v>
      </c>
      <c r="G452">
        <f t="shared" ca="1" si="410"/>
        <v>97.539523063016858</v>
      </c>
      <c r="H452">
        <f t="shared" ca="1" si="410"/>
        <v>93.775312840835383</v>
      </c>
      <c r="I452">
        <f t="shared" ca="1" si="410"/>
        <v>96.721835151209078</v>
      </c>
      <c r="J452">
        <f t="shared" ca="1" si="410"/>
        <v>93.900284587445725</v>
      </c>
      <c r="K452">
        <f t="shared" ref="K452:P452" ca="1" si="475">J452*EXP(($C$4-0.5*$C$5^2)*$C$10+$C$5*SQRT($C$10)*NORMINV(RAND(),0,1))</f>
        <v>102.78386830487935</v>
      </c>
      <c r="L452">
        <f t="shared" ca="1" si="475"/>
        <v>104.36991855683443</v>
      </c>
      <c r="M452">
        <f t="shared" ca="1" si="475"/>
        <v>113.40131208534092</v>
      </c>
      <c r="N452">
        <f t="shared" ca="1" si="475"/>
        <v>118.31804745584219</v>
      </c>
      <c r="O452">
        <f t="shared" ca="1" si="475"/>
        <v>111.67196761838046</v>
      </c>
      <c r="P452">
        <f t="shared" ca="1" si="475"/>
        <v>106.29737347338988</v>
      </c>
      <c r="Q452">
        <f t="shared" ca="1" si="412"/>
        <v>103.52540392156129</v>
      </c>
      <c r="R452">
        <f t="shared" ca="1" si="413"/>
        <v>3.525403921561292</v>
      </c>
      <c r="S452">
        <f t="shared" ca="1" si="414"/>
        <v>3.3534679434393082</v>
      </c>
    </row>
    <row r="453" spans="5:19" x14ac:dyDescent="0.75">
      <c r="E453">
        <v>448</v>
      </c>
      <c r="F453">
        <v>100</v>
      </c>
      <c r="G453">
        <f t="shared" ca="1" si="410"/>
        <v>100.74182319972887</v>
      </c>
      <c r="H453">
        <f t="shared" ca="1" si="410"/>
        <v>109.32986914836198</v>
      </c>
      <c r="I453">
        <f t="shared" ca="1" si="410"/>
        <v>111.76720431331019</v>
      </c>
      <c r="J453">
        <f t="shared" ca="1" si="410"/>
        <v>109.86628009854452</v>
      </c>
      <c r="K453">
        <f t="shared" ref="K453:P453" ca="1" si="476">J453*EXP(($C$4-0.5*$C$5^2)*$C$10+$C$5*SQRT($C$10)*NORMINV(RAND(),0,1))</f>
        <v>109.18358170413713</v>
      </c>
      <c r="L453">
        <f t="shared" ca="1" si="476"/>
        <v>102.59004602587817</v>
      </c>
      <c r="M453">
        <f t="shared" ca="1" si="476"/>
        <v>108.85186664077067</v>
      </c>
      <c r="N453">
        <f t="shared" ca="1" si="476"/>
        <v>108.41296801669179</v>
      </c>
      <c r="O453">
        <f t="shared" ca="1" si="476"/>
        <v>119.18520519752735</v>
      </c>
      <c r="P453">
        <f t="shared" ca="1" si="476"/>
        <v>114.42532334366879</v>
      </c>
      <c r="Q453">
        <f t="shared" ca="1" si="412"/>
        <v>108.57765160805633</v>
      </c>
      <c r="R453">
        <f t="shared" ca="1" si="413"/>
        <v>8.5776516080563283</v>
      </c>
      <c r="S453">
        <f t="shared" ca="1" si="414"/>
        <v>8.1593146026990446</v>
      </c>
    </row>
    <row r="454" spans="5:19" x14ac:dyDescent="0.75">
      <c r="E454">
        <v>449</v>
      </c>
      <c r="F454">
        <v>100</v>
      </c>
      <c r="G454">
        <f t="shared" ca="1" si="410"/>
        <v>101.28082855481171</v>
      </c>
      <c r="H454">
        <f t="shared" ca="1" si="410"/>
        <v>104.97825332928339</v>
      </c>
      <c r="I454">
        <f t="shared" ca="1" si="410"/>
        <v>115.88793010402264</v>
      </c>
      <c r="J454">
        <f t="shared" ref="J454:P454" ca="1" si="477">I454*EXP(($C$4-0.5*$C$5^2)*$C$10+$C$5*SQRT($C$10)*NORMINV(RAND(),0,1))</f>
        <v>109.99263230303144</v>
      </c>
      <c r="K454">
        <f t="shared" ca="1" si="477"/>
        <v>107.19718449915263</v>
      </c>
      <c r="L454">
        <f t="shared" ca="1" si="477"/>
        <v>102.80273798748112</v>
      </c>
      <c r="M454">
        <f t="shared" ca="1" si="477"/>
        <v>106.54236742890851</v>
      </c>
      <c r="N454">
        <f t="shared" ca="1" si="477"/>
        <v>112.40011671667499</v>
      </c>
      <c r="O454">
        <f t="shared" ca="1" si="477"/>
        <v>114.11430722125348</v>
      </c>
      <c r="P454">
        <f t="shared" ca="1" si="477"/>
        <v>110.48580702326906</v>
      </c>
      <c r="Q454">
        <f t="shared" ca="1" si="412"/>
        <v>107.78928774253536</v>
      </c>
      <c r="R454">
        <f t="shared" ca="1" si="413"/>
        <v>7.7892877425353646</v>
      </c>
      <c r="S454">
        <f t="shared" ca="1" si="414"/>
        <v>7.4093996966023807</v>
      </c>
    </row>
    <row r="455" spans="5:19" x14ac:dyDescent="0.75">
      <c r="E455">
        <v>450</v>
      </c>
      <c r="F455">
        <v>100</v>
      </c>
      <c r="G455">
        <f t="shared" ref="G455:J518" ca="1" si="478">F455*EXP(($C$4-0.5*$C$5^2)*$C$10+$C$5*SQRT($C$10)*NORMINV(RAND(),0,1))</f>
        <v>98.690469342295685</v>
      </c>
      <c r="H455">
        <f t="shared" ca="1" si="478"/>
        <v>92.992916282777486</v>
      </c>
      <c r="I455">
        <f t="shared" ca="1" si="478"/>
        <v>96.578409863980283</v>
      </c>
      <c r="J455">
        <f t="shared" ca="1" si="478"/>
        <v>103.27484239537004</v>
      </c>
      <c r="K455">
        <f t="shared" ref="K455:P455" ca="1" si="479">J455*EXP(($C$4-0.5*$C$5^2)*$C$10+$C$5*SQRT($C$10)*NORMINV(RAND(),0,1))</f>
        <v>95.533376156196752</v>
      </c>
      <c r="L455">
        <f t="shared" ca="1" si="479"/>
        <v>99.157576241520886</v>
      </c>
      <c r="M455">
        <f t="shared" ca="1" si="479"/>
        <v>103.99478887043263</v>
      </c>
      <c r="N455">
        <f t="shared" ca="1" si="479"/>
        <v>92.252714851789264</v>
      </c>
      <c r="O455">
        <f t="shared" ca="1" si="479"/>
        <v>86.024006839304661</v>
      </c>
      <c r="P455">
        <f t="shared" ca="1" si="479"/>
        <v>85.082174712850119</v>
      </c>
      <c r="Q455">
        <f t="shared" ref="Q455:Q518" ca="1" si="480">AVERAGE(F455:P455)</f>
        <v>95.780115959683428</v>
      </c>
      <c r="R455">
        <f t="shared" ref="R455:R518" ca="1" si="481">MAX(Q455-$C$7,0)</f>
        <v>0</v>
      </c>
      <c r="S455">
        <f t="shared" ref="S455:S518" ca="1" si="482">EXP(-$C$4*$C$6)*R455</f>
        <v>0</v>
      </c>
    </row>
    <row r="456" spans="5:19" x14ac:dyDescent="0.75">
      <c r="E456">
        <v>451</v>
      </c>
      <c r="F456">
        <v>100</v>
      </c>
      <c r="G456">
        <f t="shared" ca="1" si="478"/>
        <v>106.75905464666739</v>
      </c>
      <c r="H456">
        <f t="shared" ca="1" si="478"/>
        <v>116.73590898141011</v>
      </c>
      <c r="I456">
        <f t="shared" ca="1" si="478"/>
        <v>121.01486837319059</v>
      </c>
      <c r="J456">
        <f t="shared" ca="1" si="478"/>
        <v>124.18311153568824</v>
      </c>
      <c r="K456">
        <f t="shared" ref="K456:P456" ca="1" si="483">J456*EXP(($C$4-0.5*$C$5^2)*$C$10+$C$5*SQRT($C$10)*NORMINV(RAND(),0,1))</f>
        <v>138.1746346231659</v>
      </c>
      <c r="L456">
        <f t="shared" ca="1" si="483"/>
        <v>132.21231587621659</v>
      </c>
      <c r="M456">
        <f t="shared" ca="1" si="483"/>
        <v>132.45847535985499</v>
      </c>
      <c r="N456">
        <f t="shared" ca="1" si="483"/>
        <v>140.05670687287733</v>
      </c>
      <c r="O456">
        <f t="shared" ca="1" si="483"/>
        <v>144.05642773006142</v>
      </c>
      <c r="P456">
        <f t="shared" ca="1" si="483"/>
        <v>134.43999068353725</v>
      </c>
      <c r="Q456">
        <f t="shared" ca="1" si="480"/>
        <v>126.37195406206091</v>
      </c>
      <c r="R456">
        <f t="shared" ca="1" si="481"/>
        <v>26.371954062060908</v>
      </c>
      <c r="S456">
        <f t="shared" ca="1" si="482"/>
        <v>25.085778685413466</v>
      </c>
    </row>
    <row r="457" spans="5:19" x14ac:dyDescent="0.75">
      <c r="E457">
        <v>452</v>
      </c>
      <c r="F457">
        <v>100</v>
      </c>
      <c r="G457">
        <f t="shared" ca="1" si="478"/>
        <v>101.71239174967543</v>
      </c>
      <c r="H457">
        <f t="shared" ca="1" si="478"/>
        <v>92.800041157758372</v>
      </c>
      <c r="I457">
        <f t="shared" ca="1" si="478"/>
        <v>107.53799563350526</v>
      </c>
      <c r="J457">
        <f t="shared" ca="1" si="478"/>
        <v>106.93140026086424</v>
      </c>
      <c r="K457">
        <f t="shared" ref="K457:P457" ca="1" si="484">J457*EXP(($C$4-0.5*$C$5^2)*$C$10+$C$5*SQRT($C$10)*NORMINV(RAND(),0,1))</f>
        <v>108.4067258323461</v>
      </c>
      <c r="L457">
        <f t="shared" ca="1" si="484"/>
        <v>113.15890180109037</v>
      </c>
      <c r="M457">
        <f t="shared" ca="1" si="484"/>
        <v>108.43377825439728</v>
      </c>
      <c r="N457">
        <f t="shared" ca="1" si="484"/>
        <v>91.322081225634449</v>
      </c>
      <c r="O457">
        <f t="shared" ca="1" si="484"/>
        <v>104.86680249498856</v>
      </c>
      <c r="P457">
        <f t="shared" ca="1" si="484"/>
        <v>114.58473278935405</v>
      </c>
      <c r="Q457">
        <f t="shared" ca="1" si="480"/>
        <v>104.523168290874</v>
      </c>
      <c r="R457">
        <f t="shared" ca="1" si="481"/>
        <v>4.523168290873997</v>
      </c>
      <c r="S457">
        <f t="shared" ca="1" si="482"/>
        <v>4.3025707702479501</v>
      </c>
    </row>
    <row r="458" spans="5:19" x14ac:dyDescent="0.75">
      <c r="E458">
        <v>453</v>
      </c>
      <c r="F458">
        <v>100</v>
      </c>
      <c r="G458">
        <f t="shared" ca="1" si="478"/>
        <v>94.797428032377169</v>
      </c>
      <c r="H458">
        <f t="shared" ca="1" si="478"/>
        <v>105.1103700099932</v>
      </c>
      <c r="I458">
        <f t="shared" ca="1" si="478"/>
        <v>109.27923127645099</v>
      </c>
      <c r="J458">
        <f t="shared" ca="1" si="478"/>
        <v>111.46267974033361</v>
      </c>
      <c r="K458">
        <f t="shared" ref="K458:P458" ca="1" si="485">J458*EXP(($C$4-0.5*$C$5^2)*$C$10+$C$5*SQRT($C$10)*NORMINV(RAND(),0,1))</f>
        <v>115.31829852422595</v>
      </c>
      <c r="L458">
        <f t="shared" ca="1" si="485"/>
        <v>108.65032977734987</v>
      </c>
      <c r="M458">
        <f t="shared" ca="1" si="485"/>
        <v>103.66225478709882</v>
      </c>
      <c r="N458">
        <f t="shared" ca="1" si="485"/>
        <v>100.91852888159218</v>
      </c>
      <c r="O458">
        <f t="shared" ca="1" si="485"/>
        <v>99.592811352991006</v>
      </c>
      <c r="P458">
        <f t="shared" ca="1" si="485"/>
        <v>92.524517378582857</v>
      </c>
      <c r="Q458">
        <f t="shared" ca="1" si="480"/>
        <v>103.75604088736326</v>
      </c>
      <c r="R458">
        <f t="shared" ca="1" si="481"/>
        <v>3.7560408873632554</v>
      </c>
      <c r="S458">
        <f t="shared" ca="1" si="482"/>
        <v>3.5728566116877007</v>
      </c>
    </row>
    <row r="459" spans="5:19" x14ac:dyDescent="0.75">
      <c r="E459">
        <v>454</v>
      </c>
      <c r="F459">
        <v>100</v>
      </c>
      <c r="G459">
        <f t="shared" ca="1" si="478"/>
        <v>106.71901970526065</v>
      </c>
      <c r="H459">
        <f t="shared" ca="1" si="478"/>
        <v>105.26187349843934</v>
      </c>
      <c r="I459">
        <f t="shared" ca="1" si="478"/>
        <v>106.1911945582396</v>
      </c>
      <c r="J459">
        <f t="shared" ca="1" si="478"/>
        <v>102.58131813797792</v>
      </c>
      <c r="K459">
        <f t="shared" ref="K459:P459" ca="1" si="486">J459*EXP(($C$4-0.5*$C$5^2)*$C$10+$C$5*SQRT($C$10)*NORMINV(RAND(),0,1))</f>
        <v>97.119093262089862</v>
      </c>
      <c r="L459">
        <f t="shared" ca="1" si="486"/>
        <v>96.603444726680607</v>
      </c>
      <c r="M459">
        <f t="shared" ca="1" si="486"/>
        <v>95.679676687919027</v>
      </c>
      <c r="N459">
        <f t="shared" ca="1" si="486"/>
        <v>81.806246819599352</v>
      </c>
      <c r="O459">
        <f t="shared" ca="1" si="486"/>
        <v>82.939048689147015</v>
      </c>
      <c r="P459">
        <f t="shared" ca="1" si="486"/>
        <v>86.798297500364313</v>
      </c>
      <c r="Q459">
        <f t="shared" ca="1" si="480"/>
        <v>96.518110325974348</v>
      </c>
      <c r="R459">
        <f t="shared" ca="1" si="481"/>
        <v>0</v>
      </c>
      <c r="S459">
        <f t="shared" ca="1" si="482"/>
        <v>0</v>
      </c>
    </row>
    <row r="460" spans="5:19" x14ac:dyDescent="0.75">
      <c r="E460">
        <v>455</v>
      </c>
      <c r="F460">
        <v>100</v>
      </c>
      <c r="G460">
        <f t="shared" ca="1" si="478"/>
        <v>112.31214502910105</v>
      </c>
      <c r="H460">
        <f t="shared" ca="1" si="478"/>
        <v>112.3816357461818</v>
      </c>
      <c r="I460">
        <f t="shared" ca="1" si="478"/>
        <v>119.69140473213243</v>
      </c>
      <c r="J460">
        <f t="shared" ca="1" si="478"/>
        <v>109.69044348027637</v>
      </c>
      <c r="K460">
        <f t="shared" ref="K460:P460" ca="1" si="487">J460*EXP(($C$4-0.5*$C$5^2)*$C$10+$C$5*SQRT($C$10)*NORMINV(RAND(),0,1))</f>
        <v>94.106281117367502</v>
      </c>
      <c r="L460">
        <f t="shared" ca="1" si="487"/>
        <v>95.418386887604385</v>
      </c>
      <c r="M460">
        <f t="shared" ca="1" si="487"/>
        <v>95.410314089253077</v>
      </c>
      <c r="N460">
        <f t="shared" ca="1" si="487"/>
        <v>103.04224957542661</v>
      </c>
      <c r="O460">
        <f t="shared" ca="1" si="487"/>
        <v>117.91065953548039</v>
      </c>
      <c r="P460">
        <f t="shared" ca="1" si="487"/>
        <v>122.55899105194372</v>
      </c>
      <c r="Q460">
        <f t="shared" ca="1" si="480"/>
        <v>107.50204647679702</v>
      </c>
      <c r="R460">
        <f t="shared" ca="1" si="481"/>
        <v>7.5020464767970196</v>
      </c>
      <c r="S460">
        <f t="shared" ca="1" si="482"/>
        <v>7.1361673527012384</v>
      </c>
    </row>
    <row r="461" spans="5:19" x14ac:dyDescent="0.75">
      <c r="E461">
        <v>456</v>
      </c>
      <c r="F461">
        <v>100</v>
      </c>
      <c r="G461">
        <f t="shared" ca="1" si="478"/>
        <v>90.664538387034455</v>
      </c>
      <c r="H461">
        <f t="shared" ca="1" si="478"/>
        <v>91.306856198187361</v>
      </c>
      <c r="I461">
        <f t="shared" ca="1" si="478"/>
        <v>96.612269730355834</v>
      </c>
      <c r="J461">
        <f t="shared" ca="1" si="478"/>
        <v>95.901559891947727</v>
      </c>
      <c r="K461">
        <f t="shared" ref="K461:P461" ca="1" si="488">J461*EXP(($C$4-0.5*$C$5^2)*$C$10+$C$5*SQRT($C$10)*NORMINV(RAND(),0,1))</f>
        <v>103.42978329750638</v>
      </c>
      <c r="L461">
        <f t="shared" ca="1" si="488"/>
        <v>98.0117213328395</v>
      </c>
      <c r="M461">
        <f t="shared" ca="1" si="488"/>
        <v>107.84493552969893</v>
      </c>
      <c r="N461">
        <f t="shared" ca="1" si="488"/>
        <v>110.78243199133702</v>
      </c>
      <c r="O461">
        <f t="shared" ca="1" si="488"/>
        <v>115.14825922435732</v>
      </c>
      <c r="P461">
        <f t="shared" ca="1" si="488"/>
        <v>119.06697160736644</v>
      </c>
      <c r="Q461">
        <f t="shared" ca="1" si="480"/>
        <v>102.61539338096645</v>
      </c>
      <c r="R461">
        <f t="shared" ca="1" si="481"/>
        <v>2.6153933809664522</v>
      </c>
      <c r="S461">
        <f t="shared" ca="1" si="482"/>
        <v>2.4878391406196951</v>
      </c>
    </row>
    <row r="462" spans="5:19" x14ac:dyDescent="0.75">
      <c r="E462">
        <v>457</v>
      </c>
      <c r="F462">
        <v>100</v>
      </c>
      <c r="G462">
        <f t="shared" ca="1" si="478"/>
        <v>101.36747503694534</v>
      </c>
      <c r="H462">
        <f t="shared" ca="1" si="478"/>
        <v>102.12032402958467</v>
      </c>
      <c r="I462">
        <f t="shared" ca="1" si="478"/>
        <v>99.436870304299873</v>
      </c>
      <c r="J462">
        <f t="shared" ca="1" si="478"/>
        <v>109.0723746283297</v>
      </c>
      <c r="K462">
        <f t="shared" ref="K462:P462" ca="1" si="489">J462*EXP(($C$4-0.5*$C$5^2)*$C$10+$C$5*SQRT($C$10)*NORMINV(RAND(),0,1))</f>
        <v>113.63225405018007</v>
      </c>
      <c r="L462">
        <f t="shared" ca="1" si="489"/>
        <v>117.21134955967635</v>
      </c>
      <c r="M462">
        <f t="shared" ca="1" si="489"/>
        <v>114.68940739107087</v>
      </c>
      <c r="N462">
        <f t="shared" ca="1" si="489"/>
        <v>102.63071770569086</v>
      </c>
      <c r="O462">
        <f t="shared" ca="1" si="489"/>
        <v>110.21167074979491</v>
      </c>
      <c r="P462">
        <f t="shared" ca="1" si="489"/>
        <v>105.29441294261711</v>
      </c>
      <c r="Q462">
        <f t="shared" ca="1" si="480"/>
        <v>106.87880512710817</v>
      </c>
      <c r="R462">
        <f t="shared" ca="1" si="481"/>
        <v>6.8788051271081656</v>
      </c>
      <c r="S462">
        <f t="shared" ca="1" si="482"/>
        <v>6.543321842311661</v>
      </c>
    </row>
    <row r="463" spans="5:19" x14ac:dyDescent="0.75">
      <c r="E463">
        <v>458</v>
      </c>
      <c r="F463">
        <v>100</v>
      </c>
      <c r="G463">
        <f t="shared" ca="1" si="478"/>
        <v>104.93137603869226</v>
      </c>
      <c r="H463">
        <f t="shared" ca="1" si="478"/>
        <v>99.373273683167724</v>
      </c>
      <c r="I463">
        <f t="shared" ca="1" si="478"/>
        <v>104.28208262279604</v>
      </c>
      <c r="J463">
        <f t="shared" ca="1" si="478"/>
        <v>106.42876649176152</v>
      </c>
      <c r="K463">
        <f t="shared" ref="K463:P463" ca="1" si="490">J463*EXP(($C$4-0.5*$C$5^2)*$C$10+$C$5*SQRT($C$10)*NORMINV(RAND(),0,1))</f>
        <v>105.07462464849212</v>
      </c>
      <c r="L463">
        <f t="shared" ca="1" si="490"/>
        <v>112.5710569887103</v>
      </c>
      <c r="M463">
        <f t="shared" ca="1" si="490"/>
        <v>120.48133180912674</v>
      </c>
      <c r="N463">
        <f t="shared" ca="1" si="490"/>
        <v>130.8068895818993</v>
      </c>
      <c r="O463">
        <f t="shared" ca="1" si="490"/>
        <v>141.25566296924251</v>
      </c>
      <c r="P463">
        <f t="shared" ca="1" si="490"/>
        <v>133.98913115048143</v>
      </c>
      <c r="Q463">
        <f t="shared" ca="1" si="480"/>
        <v>114.47219963494273</v>
      </c>
      <c r="R463">
        <f t="shared" ca="1" si="481"/>
        <v>14.472199634942726</v>
      </c>
      <c r="S463">
        <f t="shared" ca="1" si="482"/>
        <v>13.766382130006013</v>
      </c>
    </row>
    <row r="464" spans="5:19" x14ac:dyDescent="0.75">
      <c r="E464">
        <v>459</v>
      </c>
      <c r="F464">
        <v>100</v>
      </c>
      <c r="G464">
        <f t="shared" ca="1" si="478"/>
        <v>102.70875033303963</v>
      </c>
      <c r="H464">
        <f t="shared" ca="1" si="478"/>
        <v>103.28214916147972</v>
      </c>
      <c r="I464">
        <f t="shared" ca="1" si="478"/>
        <v>102.22184483869293</v>
      </c>
      <c r="J464">
        <f t="shared" ca="1" si="478"/>
        <v>104.18066521108342</v>
      </c>
      <c r="K464">
        <f t="shared" ref="K464:P464" ca="1" si="491">J464*EXP(($C$4-0.5*$C$5^2)*$C$10+$C$5*SQRT($C$10)*NORMINV(RAND(),0,1))</f>
        <v>107.4986915321728</v>
      </c>
      <c r="L464">
        <f t="shared" ca="1" si="491"/>
        <v>98.738586918150048</v>
      </c>
      <c r="M464">
        <f t="shared" ca="1" si="491"/>
        <v>104.61199252149925</v>
      </c>
      <c r="N464">
        <f t="shared" ca="1" si="491"/>
        <v>110.85124016786534</v>
      </c>
      <c r="O464">
        <f t="shared" ca="1" si="491"/>
        <v>105.7563041475774</v>
      </c>
      <c r="P464">
        <f t="shared" ca="1" si="491"/>
        <v>106.46778510597542</v>
      </c>
      <c r="Q464">
        <f t="shared" ca="1" si="480"/>
        <v>104.21072817613964</v>
      </c>
      <c r="R464">
        <f t="shared" ca="1" si="481"/>
        <v>4.2107281761396393</v>
      </c>
      <c r="S464">
        <f t="shared" ca="1" si="482"/>
        <v>4.0053685397182504</v>
      </c>
    </row>
    <row r="465" spans="5:19" x14ac:dyDescent="0.75">
      <c r="E465">
        <v>460</v>
      </c>
      <c r="F465">
        <v>100</v>
      </c>
      <c r="G465">
        <f t="shared" ca="1" si="478"/>
        <v>106.52482507719286</v>
      </c>
      <c r="H465">
        <f t="shared" ca="1" si="478"/>
        <v>112.06933955972465</v>
      </c>
      <c r="I465">
        <f t="shared" ca="1" si="478"/>
        <v>110.04412724837201</v>
      </c>
      <c r="J465">
        <f t="shared" ca="1" si="478"/>
        <v>105.2519147415907</v>
      </c>
      <c r="K465">
        <f t="shared" ref="K465:P465" ca="1" si="492">J465*EXP(($C$4-0.5*$C$5^2)*$C$10+$C$5*SQRT($C$10)*NORMINV(RAND(),0,1))</f>
        <v>115.07987365213606</v>
      </c>
      <c r="L465">
        <f t="shared" ca="1" si="492"/>
        <v>110.45153514545066</v>
      </c>
      <c r="M465">
        <f t="shared" ca="1" si="492"/>
        <v>117.47536582849065</v>
      </c>
      <c r="N465">
        <f t="shared" ca="1" si="492"/>
        <v>112.6474601272289</v>
      </c>
      <c r="O465">
        <f t="shared" ca="1" si="492"/>
        <v>109.33998783833658</v>
      </c>
      <c r="P465">
        <f t="shared" ca="1" si="492"/>
        <v>114.05392873759131</v>
      </c>
      <c r="Q465">
        <f t="shared" ca="1" si="480"/>
        <v>110.26712345055586</v>
      </c>
      <c r="R465">
        <f t="shared" ca="1" si="481"/>
        <v>10.267123450555857</v>
      </c>
      <c r="S465">
        <f t="shared" ca="1" si="482"/>
        <v>9.7663899311500337</v>
      </c>
    </row>
    <row r="466" spans="5:19" x14ac:dyDescent="0.75">
      <c r="E466">
        <v>461</v>
      </c>
      <c r="F466">
        <v>100</v>
      </c>
      <c r="G466">
        <f t="shared" ca="1" si="478"/>
        <v>100.17062298710427</v>
      </c>
      <c r="H466">
        <f t="shared" ca="1" si="478"/>
        <v>107.10120578633996</v>
      </c>
      <c r="I466">
        <f t="shared" ca="1" si="478"/>
        <v>112.29429788316493</v>
      </c>
      <c r="J466">
        <f t="shared" ca="1" si="478"/>
        <v>128.26738076549438</v>
      </c>
      <c r="K466">
        <f t="shared" ref="K466:P466" ca="1" si="493">J466*EXP(($C$4-0.5*$C$5^2)*$C$10+$C$5*SQRT($C$10)*NORMINV(RAND(),0,1))</f>
        <v>139.19621782695015</v>
      </c>
      <c r="L466">
        <f t="shared" ca="1" si="493"/>
        <v>146.14274563540897</v>
      </c>
      <c r="M466">
        <f t="shared" ca="1" si="493"/>
        <v>141.36496686579093</v>
      </c>
      <c r="N466">
        <f t="shared" ca="1" si="493"/>
        <v>148.86944193421382</v>
      </c>
      <c r="O466">
        <f t="shared" ca="1" si="493"/>
        <v>128.15714470057964</v>
      </c>
      <c r="P466">
        <f t="shared" ca="1" si="493"/>
        <v>128.4731586499565</v>
      </c>
      <c r="Q466">
        <f t="shared" ca="1" si="480"/>
        <v>125.45792573045487</v>
      </c>
      <c r="R466">
        <f t="shared" ca="1" si="481"/>
        <v>25.457925730454875</v>
      </c>
      <c r="S466">
        <f t="shared" ca="1" si="482"/>
        <v>24.216328041562509</v>
      </c>
    </row>
    <row r="467" spans="5:19" x14ac:dyDescent="0.75">
      <c r="E467">
        <v>462</v>
      </c>
      <c r="F467">
        <v>100</v>
      </c>
      <c r="G467">
        <f t="shared" ca="1" si="478"/>
        <v>105.96995311542624</v>
      </c>
      <c r="H467">
        <f t="shared" ca="1" si="478"/>
        <v>105.39072220068647</v>
      </c>
      <c r="I467">
        <f t="shared" ca="1" si="478"/>
        <v>102.36335738422035</v>
      </c>
      <c r="J467">
        <f t="shared" ca="1" si="478"/>
        <v>102.5384694339521</v>
      </c>
      <c r="K467">
        <f t="shared" ref="K467:P467" ca="1" si="494">J467*EXP(($C$4-0.5*$C$5^2)*$C$10+$C$5*SQRT($C$10)*NORMINV(RAND(),0,1))</f>
        <v>97.669618154445232</v>
      </c>
      <c r="L467">
        <f t="shared" ca="1" si="494"/>
        <v>94.099337337502078</v>
      </c>
      <c r="M467">
        <f t="shared" ca="1" si="494"/>
        <v>89.463000814593642</v>
      </c>
      <c r="N467">
        <f t="shared" ca="1" si="494"/>
        <v>86.970364756037128</v>
      </c>
      <c r="O467">
        <f t="shared" ca="1" si="494"/>
        <v>89.170146245880858</v>
      </c>
      <c r="P467">
        <f t="shared" ca="1" si="494"/>
        <v>92.373272114036467</v>
      </c>
      <c r="Q467">
        <f t="shared" ca="1" si="480"/>
        <v>96.909840141525535</v>
      </c>
      <c r="R467">
        <f t="shared" ca="1" si="481"/>
        <v>0</v>
      </c>
      <c r="S467">
        <f t="shared" ca="1" si="482"/>
        <v>0</v>
      </c>
    </row>
    <row r="468" spans="5:19" x14ac:dyDescent="0.75">
      <c r="E468">
        <v>463</v>
      </c>
      <c r="F468">
        <v>100</v>
      </c>
      <c r="G468">
        <f t="shared" ca="1" si="478"/>
        <v>95.581042672275174</v>
      </c>
      <c r="H468">
        <f t="shared" ca="1" si="478"/>
        <v>96.351628526086628</v>
      </c>
      <c r="I468">
        <f t="shared" ca="1" si="478"/>
        <v>95.076415756547533</v>
      </c>
      <c r="J468">
        <f t="shared" ca="1" si="478"/>
        <v>101.57341128847456</v>
      </c>
      <c r="K468">
        <f t="shared" ref="K468:P468" ca="1" si="495">J468*EXP(($C$4-0.5*$C$5^2)*$C$10+$C$5*SQRT($C$10)*NORMINV(RAND(),0,1))</f>
        <v>100.0952326891786</v>
      </c>
      <c r="L468">
        <f t="shared" ca="1" si="495"/>
        <v>112.66302314284501</v>
      </c>
      <c r="M468">
        <f t="shared" ca="1" si="495"/>
        <v>113.08831355342645</v>
      </c>
      <c r="N468">
        <f t="shared" ca="1" si="495"/>
        <v>126.3448175198605</v>
      </c>
      <c r="O468">
        <f t="shared" ca="1" si="495"/>
        <v>120.89423042413337</v>
      </c>
      <c r="P468">
        <f t="shared" ca="1" si="495"/>
        <v>117.98088496606788</v>
      </c>
      <c r="Q468">
        <f t="shared" ca="1" si="480"/>
        <v>107.2408182308087</v>
      </c>
      <c r="R468">
        <f t="shared" ca="1" si="481"/>
        <v>7.2408182308086992</v>
      </c>
      <c r="S468">
        <f t="shared" ca="1" si="482"/>
        <v>6.8876793586064373</v>
      </c>
    </row>
    <row r="469" spans="5:19" x14ac:dyDescent="0.75">
      <c r="E469">
        <v>464</v>
      </c>
      <c r="F469">
        <v>100</v>
      </c>
      <c r="G469">
        <f t="shared" ca="1" si="478"/>
        <v>93.324460342993589</v>
      </c>
      <c r="H469">
        <f t="shared" ca="1" si="478"/>
        <v>89.918448082563813</v>
      </c>
      <c r="I469">
        <f t="shared" ca="1" si="478"/>
        <v>99.359936467105712</v>
      </c>
      <c r="J469">
        <f t="shared" ca="1" si="478"/>
        <v>101.42888245021173</v>
      </c>
      <c r="K469">
        <f t="shared" ref="K469:P469" ca="1" si="496">J469*EXP(($C$4-0.5*$C$5^2)*$C$10+$C$5*SQRT($C$10)*NORMINV(RAND(),0,1))</f>
        <v>103.83644679656064</v>
      </c>
      <c r="L469">
        <f t="shared" ca="1" si="496"/>
        <v>110.68642739359366</v>
      </c>
      <c r="M469">
        <f t="shared" ca="1" si="496"/>
        <v>115.1987905772837</v>
      </c>
      <c r="N469">
        <f t="shared" ca="1" si="496"/>
        <v>121.08005094991535</v>
      </c>
      <c r="O469">
        <f t="shared" ca="1" si="496"/>
        <v>145.18807805017744</v>
      </c>
      <c r="P469">
        <f t="shared" ca="1" si="496"/>
        <v>147.53478477828241</v>
      </c>
      <c r="Q469">
        <f t="shared" ca="1" si="480"/>
        <v>111.59602780806257</v>
      </c>
      <c r="R469">
        <f t="shared" ca="1" si="481"/>
        <v>11.596027808062573</v>
      </c>
      <c r="S469">
        <f t="shared" ca="1" si="482"/>
        <v>11.030482858357637</v>
      </c>
    </row>
    <row r="470" spans="5:19" x14ac:dyDescent="0.75">
      <c r="E470">
        <v>465</v>
      </c>
      <c r="F470">
        <v>100</v>
      </c>
      <c r="G470">
        <f t="shared" ca="1" si="478"/>
        <v>104.95534182668234</v>
      </c>
      <c r="H470">
        <f t="shared" ca="1" si="478"/>
        <v>116.3146316471495</v>
      </c>
      <c r="I470">
        <f t="shared" ca="1" si="478"/>
        <v>107.03480523624449</v>
      </c>
      <c r="J470">
        <f t="shared" ca="1" si="478"/>
        <v>111.53361169813766</v>
      </c>
      <c r="K470">
        <f t="shared" ref="K470:P470" ca="1" si="497">J470*EXP(($C$4-0.5*$C$5^2)*$C$10+$C$5*SQRT($C$10)*NORMINV(RAND(),0,1))</f>
        <v>111.52062046929854</v>
      </c>
      <c r="L470">
        <f t="shared" ca="1" si="497"/>
        <v>101.98224622451684</v>
      </c>
      <c r="M470">
        <f t="shared" ca="1" si="497"/>
        <v>102.33770049170107</v>
      </c>
      <c r="N470">
        <f t="shared" ca="1" si="497"/>
        <v>111.8518037627905</v>
      </c>
      <c r="O470">
        <f t="shared" ca="1" si="497"/>
        <v>107.36921551126494</v>
      </c>
      <c r="P470">
        <f t="shared" ca="1" si="497"/>
        <v>95.736600736945704</v>
      </c>
      <c r="Q470">
        <f t="shared" ca="1" si="480"/>
        <v>106.42150705497561</v>
      </c>
      <c r="R470">
        <f t="shared" ca="1" si="481"/>
        <v>6.4215070549756064</v>
      </c>
      <c r="S470">
        <f t="shared" ca="1" si="482"/>
        <v>6.1083264603317211</v>
      </c>
    </row>
    <row r="471" spans="5:19" x14ac:dyDescent="0.75">
      <c r="E471">
        <v>466</v>
      </c>
      <c r="F471">
        <v>100</v>
      </c>
      <c r="G471">
        <f t="shared" ca="1" si="478"/>
        <v>110.34316938902997</v>
      </c>
      <c r="H471">
        <f t="shared" ca="1" si="478"/>
        <v>100.17996842949974</v>
      </c>
      <c r="I471">
        <f t="shared" ca="1" si="478"/>
        <v>104.28637397457912</v>
      </c>
      <c r="J471">
        <f t="shared" ca="1" si="478"/>
        <v>98.629661177375027</v>
      </c>
      <c r="K471">
        <f t="shared" ref="K471:P471" ca="1" si="498">J471*EXP(($C$4-0.5*$C$5^2)*$C$10+$C$5*SQRT($C$10)*NORMINV(RAND(),0,1))</f>
        <v>91.448469049494889</v>
      </c>
      <c r="L471">
        <f t="shared" ca="1" si="498"/>
        <v>86.484968926919166</v>
      </c>
      <c r="M471">
        <f t="shared" ca="1" si="498"/>
        <v>86.434915498567747</v>
      </c>
      <c r="N471">
        <f t="shared" ca="1" si="498"/>
        <v>85.898794229032404</v>
      </c>
      <c r="O471">
        <f t="shared" ca="1" si="498"/>
        <v>89.356261606164054</v>
      </c>
      <c r="P471">
        <f t="shared" ca="1" si="498"/>
        <v>85.276143274423916</v>
      </c>
      <c r="Q471">
        <f t="shared" ca="1" si="480"/>
        <v>94.394429595916918</v>
      </c>
      <c r="R471">
        <f t="shared" ca="1" si="481"/>
        <v>0</v>
      </c>
      <c r="S471">
        <f t="shared" ca="1" si="482"/>
        <v>0</v>
      </c>
    </row>
    <row r="472" spans="5:19" x14ac:dyDescent="0.75">
      <c r="E472">
        <v>467</v>
      </c>
      <c r="F472">
        <v>100</v>
      </c>
      <c r="G472">
        <f t="shared" ca="1" si="478"/>
        <v>97.722905659682752</v>
      </c>
      <c r="H472">
        <f t="shared" ca="1" si="478"/>
        <v>113.5710010588616</v>
      </c>
      <c r="I472">
        <f t="shared" ca="1" si="478"/>
        <v>122.39239253023177</v>
      </c>
      <c r="J472">
        <f t="shared" ca="1" si="478"/>
        <v>112.52376589198454</v>
      </c>
      <c r="K472">
        <f t="shared" ref="K472:P472" ca="1" si="499">J472*EXP(($C$4-0.5*$C$5^2)*$C$10+$C$5*SQRT($C$10)*NORMINV(RAND(),0,1))</f>
        <v>110.30385407104015</v>
      </c>
      <c r="L472">
        <f t="shared" ca="1" si="499"/>
        <v>109.19491018104843</v>
      </c>
      <c r="M472">
        <f t="shared" ca="1" si="499"/>
        <v>99.606878558400311</v>
      </c>
      <c r="N472">
        <f t="shared" ca="1" si="499"/>
        <v>108.53843751729448</v>
      </c>
      <c r="O472">
        <f t="shared" ca="1" si="499"/>
        <v>104.16260801679566</v>
      </c>
      <c r="P472">
        <f t="shared" ca="1" si="499"/>
        <v>98.400175390855736</v>
      </c>
      <c r="Q472">
        <f t="shared" ca="1" si="480"/>
        <v>106.94699353419959</v>
      </c>
      <c r="R472">
        <f t="shared" ca="1" si="481"/>
        <v>6.9469935341995921</v>
      </c>
      <c r="S472">
        <f t="shared" ca="1" si="482"/>
        <v>6.6081846615468596</v>
      </c>
    </row>
    <row r="473" spans="5:19" x14ac:dyDescent="0.75">
      <c r="E473">
        <v>468</v>
      </c>
      <c r="F473">
        <v>100</v>
      </c>
      <c r="G473">
        <f t="shared" ca="1" si="478"/>
        <v>92.983087411204622</v>
      </c>
      <c r="H473">
        <f t="shared" ca="1" si="478"/>
        <v>86.75507018143243</v>
      </c>
      <c r="I473">
        <f t="shared" ca="1" si="478"/>
        <v>93.082067833047503</v>
      </c>
      <c r="J473">
        <f t="shared" ca="1" si="478"/>
        <v>98.6609339975426</v>
      </c>
      <c r="K473">
        <f t="shared" ref="K473:P473" ca="1" si="500">J473*EXP(($C$4-0.5*$C$5^2)*$C$10+$C$5*SQRT($C$10)*NORMINV(RAND(),0,1))</f>
        <v>115.74589352886764</v>
      </c>
      <c r="L473">
        <f t="shared" ca="1" si="500"/>
        <v>113.42418632850944</v>
      </c>
      <c r="M473">
        <f t="shared" ca="1" si="500"/>
        <v>114.1299727446104</v>
      </c>
      <c r="N473">
        <f t="shared" ca="1" si="500"/>
        <v>113.6046866234138</v>
      </c>
      <c r="O473">
        <f t="shared" ca="1" si="500"/>
        <v>104.31120468630117</v>
      </c>
      <c r="P473">
        <f t="shared" ca="1" si="500"/>
        <v>100.41073481266666</v>
      </c>
      <c r="Q473">
        <f t="shared" ca="1" si="480"/>
        <v>103.00980346796332</v>
      </c>
      <c r="R473">
        <f t="shared" ca="1" si="481"/>
        <v>3.009803467963323</v>
      </c>
      <c r="S473">
        <f t="shared" ca="1" si="482"/>
        <v>2.8630136206910048</v>
      </c>
    </row>
    <row r="474" spans="5:19" x14ac:dyDescent="0.75">
      <c r="E474">
        <v>469</v>
      </c>
      <c r="F474">
        <v>100</v>
      </c>
      <c r="G474">
        <f t="shared" ca="1" si="478"/>
        <v>99.983384017582466</v>
      </c>
      <c r="H474">
        <f t="shared" ca="1" si="478"/>
        <v>95.133975806567634</v>
      </c>
      <c r="I474">
        <f t="shared" ca="1" si="478"/>
        <v>97.841611367425614</v>
      </c>
      <c r="J474">
        <f t="shared" ca="1" si="478"/>
        <v>98.892742210899499</v>
      </c>
      <c r="K474">
        <f t="shared" ref="K474:P474" ca="1" si="501">J474*EXP(($C$4-0.5*$C$5^2)*$C$10+$C$5*SQRT($C$10)*NORMINV(RAND(),0,1))</f>
        <v>87.263160392643996</v>
      </c>
      <c r="L474">
        <f t="shared" ca="1" si="501"/>
        <v>93.555151467108516</v>
      </c>
      <c r="M474">
        <f t="shared" ca="1" si="501"/>
        <v>102.85613233915575</v>
      </c>
      <c r="N474">
        <f t="shared" ca="1" si="501"/>
        <v>102.02345354799174</v>
      </c>
      <c r="O474">
        <f t="shared" ca="1" si="501"/>
        <v>106.45844279557114</v>
      </c>
      <c r="P474">
        <f t="shared" ca="1" si="501"/>
        <v>112.54903518518785</v>
      </c>
      <c r="Q474">
        <f t="shared" ca="1" si="480"/>
        <v>99.687008102739455</v>
      </c>
      <c r="R474">
        <f t="shared" ca="1" si="481"/>
        <v>0</v>
      </c>
      <c r="S474">
        <f t="shared" ca="1" si="482"/>
        <v>0</v>
      </c>
    </row>
    <row r="475" spans="5:19" x14ac:dyDescent="0.75">
      <c r="E475">
        <v>470</v>
      </c>
      <c r="F475">
        <v>100</v>
      </c>
      <c r="G475">
        <f t="shared" ca="1" si="478"/>
        <v>100.10704460475839</v>
      </c>
      <c r="H475">
        <f t="shared" ca="1" si="478"/>
        <v>100.57645723313691</v>
      </c>
      <c r="I475">
        <f t="shared" ca="1" si="478"/>
        <v>92.460674711624009</v>
      </c>
      <c r="J475">
        <f t="shared" ca="1" si="478"/>
        <v>88.478455445903407</v>
      </c>
      <c r="K475">
        <f t="shared" ref="K475:P475" ca="1" si="502">J475*EXP(($C$4-0.5*$C$5^2)*$C$10+$C$5*SQRT($C$10)*NORMINV(RAND(),0,1))</f>
        <v>88.511528687313458</v>
      </c>
      <c r="L475">
        <f t="shared" ca="1" si="502"/>
        <v>90.179646557223094</v>
      </c>
      <c r="M475">
        <f t="shared" ca="1" si="502"/>
        <v>88.46536092861426</v>
      </c>
      <c r="N475">
        <f t="shared" ca="1" si="502"/>
        <v>90.481162315010181</v>
      </c>
      <c r="O475">
        <f t="shared" ca="1" si="502"/>
        <v>95.756511827790675</v>
      </c>
      <c r="P475">
        <f t="shared" ca="1" si="502"/>
        <v>101.18754932518786</v>
      </c>
      <c r="Q475">
        <f t="shared" ca="1" si="480"/>
        <v>94.200399239687471</v>
      </c>
      <c r="R475">
        <f t="shared" ca="1" si="481"/>
        <v>0</v>
      </c>
      <c r="S475">
        <f t="shared" ca="1" si="482"/>
        <v>0</v>
      </c>
    </row>
    <row r="476" spans="5:19" x14ac:dyDescent="0.75">
      <c r="E476">
        <v>471</v>
      </c>
      <c r="F476">
        <v>100</v>
      </c>
      <c r="G476">
        <f t="shared" ca="1" si="478"/>
        <v>103.85479774618349</v>
      </c>
      <c r="H476">
        <f t="shared" ca="1" si="478"/>
        <v>109.65050301401071</v>
      </c>
      <c r="I476">
        <f t="shared" ca="1" si="478"/>
        <v>114.56276407870605</v>
      </c>
      <c r="J476">
        <f t="shared" ca="1" si="478"/>
        <v>110.52497117921715</v>
      </c>
      <c r="K476">
        <f t="shared" ref="K476:P476" ca="1" si="503">J476*EXP(($C$4-0.5*$C$5^2)*$C$10+$C$5*SQRT($C$10)*NORMINV(RAND(),0,1))</f>
        <v>121.6567161425978</v>
      </c>
      <c r="L476">
        <f t="shared" ca="1" si="503"/>
        <v>101.9762443842851</v>
      </c>
      <c r="M476">
        <f t="shared" ca="1" si="503"/>
        <v>99.756554255429648</v>
      </c>
      <c r="N476">
        <f t="shared" ca="1" si="503"/>
        <v>103.92977252204324</v>
      </c>
      <c r="O476">
        <f t="shared" ca="1" si="503"/>
        <v>105.47538188784546</v>
      </c>
      <c r="P476">
        <f t="shared" ca="1" si="503"/>
        <v>98.117469035430148</v>
      </c>
      <c r="Q476">
        <f t="shared" ca="1" si="480"/>
        <v>106.31865220415897</v>
      </c>
      <c r="R476">
        <f t="shared" ca="1" si="481"/>
        <v>6.3186522041589654</v>
      </c>
      <c r="S476">
        <f t="shared" ca="1" si="482"/>
        <v>6.0104878997823006</v>
      </c>
    </row>
    <row r="477" spans="5:19" x14ac:dyDescent="0.75">
      <c r="E477">
        <v>472</v>
      </c>
      <c r="F477">
        <v>100</v>
      </c>
      <c r="G477">
        <f t="shared" ca="1" si="478"/>
        <v>103.43460882155352</v>
      </c>
      <c r="H477">
        <f t="shared" ca="1" si="478"/>
        <v>101.5003079813312</v>
      </c>
      <c r="I477">
        <f t="shared" ca="1" si="478"/>
        <v>100.23688316048668</v>
      </c>
      <c r="J477">
        <f t="shared" ca="1" si="478"/>
        <v>99.220297285642829</v>
      </c>
      <c r="K477">
        <f t="shared" ref="K477:P477" ca="1" si="504">J477*EXP(($C$4-0.5*$C$5^2)*$C$10+$C$5*SQRT($C$10)*NORMINV(RAND(),0,1))</f>
        <v>91.439508293525122</v>
      </c>
      <c r="L477">
        <f t="shared" ca="1" si="504"/>
        <v>97.486837630037769</v>
      </c>
      <c r="M477">
        <f t="shared" ca="1" si="504"/>
        <v>94.39195403606027</v>
      </c>
      <c r="N477">
        <f t="shared" ca="1" si="504"/>
        <v>97.465931022346268</v>
      </c>
      <c r="O477">
        <f t="shared" ca="1" si="504"/>
        <v>102.17163388469609</v>
      </c>
      <c r="P477">
        <f t="shared" ca="1" si="504"/>
        <v>101.46196730705573</v>
      </c>
      <c r="Q477">
        <f t="shared" ca="1" si="480"/>
        <v>98.982720856612332</v>
      </c>
      <c r="R477">
        <f t="shared" ca="1" si="481"/>
        <v>0</v>
      </c>
      <c r="S477">
        <f t="shared" ca="1" si="482"/>
        <v>0</v>
      </c>
    </row>
    <row r="478" spans="5:19" x14ac:dyDescent="0.75">
      <c r="E478">
        <v>473</v>
      </c>
      <c r="F478">
        <v>100</v>
      </c>
      <c r="G478">
        <f t="shared" ca="1" si="478"/>
        <v>100.30856306947051</v>
      </c>
      <c r="H478">
        <f t="shared" ca="1" si="478"/>
        <v>97.799930119849108</v>
      </c>
      <c r="I478">
        <f t="shared" ca="1" si="478"/>
        <v>90.885309048955421</v>
      </c>
      <c r="J478">
        <f t="shared" ca="1" si="478"/>
        <v>89.597912245514578</v>
      </c>
      <c r="K478">
        <f t="shared" ref="K478:P478" ca="1" si="505">J478*EXP(($C$4-0.5*$C$5^2)*$C$10+$C$5*SQRT($C$10)*NORMINV(RAND(),0,1))</f>
        <v>90.615952767102868</v>
      </c>
      <c r="L478">
        <f t="shared" ca="1" si="505"/>
        <v>88.613422933825404</v>
      </c>
      <c r="M478">
        <f t="shared" ca="1" si="505"/>
        <v>92.372872224459599</v>
      </c>
      <c r="N478">
        <f t="shared" ca="1" si="505"/>
        <v>82.389301155767413</v>
      </c>
      <c r="O478">
        <f t="shared" ca="1" si="505"/>
        <v>84.79492449838348</v>
      </c>
      <c r="P478">
        <f t="shared" ca="1" si="505"/>
        <v>77.410081747216893</v>
      </c>
      <c r="Q478">
        <f t="shared" ca="1" si="480"/>
        <v>90.435297255504096</v>
      </c>
      <c r="R478">
        <f t="shared" ca="1" si="481"/>
        <v>0</v>
      </c>
      <c r="S478">
        <f t="shared" ca="1" si="482"/>
        <v>0</v>
      </c>
    </row>
    <row r="479" spans="5:19" x14ac:dyDescent="0.75">
      <c r="E479">
        <v>474</v>
      </c>
      <c r="F479">
        <v>100</v>
      </c>
      <c r="G479">
        <f t="shared" ca="1" si="478"/>
        <v>100.89757427025528</v>
      </c>
      <c r="H479">
        <f t="shared" ca="1" si="478"/>
        <v>101.31983019295046</v>
      </c>
      <c r="I479">
        <f t="shared" ca="1" si="478"/>
        <v>113.38578538211014</v>
      </c>
      <c r="J479">
        <f t="shared" ca="1" si="478"/>
        <v>107.06286078228332</v>
      </c>
      <c r="K479">
        <f t="shared" ref="K479:P479" ca="1" si="506">J479*EXP(($C$4-0.5*$C$5^2)*$C$10+$C$5*SQRT($C$10)*NORMINV(RAND(),0,1))</f>
        <v>111.75215101035437</v>
      </c>
      <c r="L479">
        <f t="shared" ca="1" si="506"/>
        <v>118.19399138824642</v>
      </c>
      <c r="M479">
        <f t="shared" ca="1" si="506"/>
        <v>110.91480110919755</v>
      </c>
      <c r="N479">
        <f t="shared" ca="1" si="506"/>
        <v>123.64510730112301</v>
      </c>
      <c r="O479">
        <f t="shared" ca="1" si="506"/>
        <v>122.6085963230325</v>
      </c>
      <c r="P479">
        <f t="shared" ca="1" si="506"/>
        <v>129.04949950848206</v>
      </c>
      <c r="Q479">
        <f t="shared" ca="1" si="480"/>
        <v>112.62092702436685</v>
      </c>
      <c r="R479">
        <f t="shared" ca="1" si="481"/>
        <v>12.62092702436685</v>
      </c>
      <c r="S479">
        <f t="shared" ca="1" si="482"/>
        <v>12.005397150053987</v>
      </c>
    </row>
    <row r="480" spans="5:19" x14ac:dyDescent="0.75">
      <c r="E480">
        <v>475</v>
      </c>
      <c r="F480">
        <v>100</v>
      </c>
      <c r="G480">
        <f t="shared" ca="1" si="478"/>
        <v>97.09778077074786</v>
      </c>
      <c r="H480">
        <f t="shared" ca="1" si="478"/>
        <v>99.226587195927081</v>
      </c>
      <c r="I480">
        <f t="shared" ca="1" si="478"/>
        <v>96.118137574440624</v>
      </c>
      <c r="J480">
        <f t="shared" ca="1" si="478"/>
        <v>103.92579553307827</v>
      </c>
      <c r="K480">
        <f t="shared" ref="K480:P480" ca="1" si="507">J480*EXP(($C$4-0.5*$C$5^2)*$C$10+$C$5*SQRT($C$10)*NORMINV(RAND(),0,1))</f>
        <v>101.1435443942364</v>
      </c>
      <c r="L480">
        <f t="shared" ca="1" si="507"/>
        <v>107.17499255780304</v>
      </c>
      <c r="M480">
        <f t="shared" ca="1" si="507"/>
        <v>119.4301374860036</v>
      </c>
      <c r="N480">
        <f t="shared" ca="1" si="507"/>
        <v>121.80454864907168</v>
      </c>
      <c r="O480">
        <f t="shared" ca="1" si="507"/>
        <v>117.22986220338188</v>
      </c>
      <c r="P480">
        <f t="shared" ca="1" si="507"/>
        <v>117.33706839766393</v>
      </c>
      <c r="Q480">
        <f t="shared" ca="1" si="480"/>
        <v>107.31713225112311</v>
      </c>
      <c r="R480">
        <f t="shared" ca="1" si="481"/>
        <v>7.3171322511231125</v>
      </c>
      <c r="S480">
        <f t="shared" ca="1" si="482"/>
        <v>6.9602715002314524</v>
      </c>
    </row>
    <row r="481" spans="5:19" x14ac:dyDescent="0.75">
      <c r="E481">
        <v>476</v>
      </c>
      <c r="F481">
        <v>100</v>
      </c>
      <c r="G481">
        <f t="shared" ca="1" si="478"/>
        <v>106.15959924529463</v>
      </c>
      <c r="H481">
        <f t="shared" ca="1" si="478"/>
        <v>99.264279606285371</v>
      </c>
      <c r="I481">
        <f t="shared" ca="1" si="478"/>
        <v>97.674871616903658</v>
      </c>
      <c r="J481">
        <f t="shared" ca="1" si="478"/>
        <v>97.167386867646627</v>
      </c>
      <c r="K481">
        <f t="shared" ref="K481:P481" ca="1" si="508">J481*EXP(($C$4-0.5*$C$5^2)*$C$10+$C$5*SQRT($C$10)*NORMINV(RAND(),0,1))</f>
        <v>86.757794904248158</v>
      </c>
      <c r="L481">
        <f t="shared" ca="1" si="508"/>
        <v>90.344522756759957</v>
      </c>
      <c r="M481">
        <f t="shared" ca="1" si="508"/>
        <v>92.054868159293932</v>
      </c>
      <c r="N481">
        <f t="shared" ca="1" si="508"/>
        <v>87.564804729990584</v>
      </c>
      <c r="O481">
        <f t="shared" ca="1" si="508"/>
        <v>82.595049212406494</v>
      </c>
      <c r="P481">
        <f t="shared" ca="1" si="508"/>
        <v>88.234921792794708</v>
      </c>
      <c r="Q481">
        <f t="shared" ca="1" si="480"/>
        <v>93.438008990147651</v>
      </c>
      <c r="R481">
        <f t="shared" ca="1" si="481"/>
        <v>0</v>
      </c>
      <c r="S481">
        <f t="shared" ca="1" si="482"/>
        <v>0</v>
      </c>
    </row>
    <row r="482" spans="5:19" x14ac:dyDescent="0.75">
      <c r="E482">
        <v>477</v>
      </c>
      <c r="F482">
        <v>100</v>
      </c>
      <c r="G482">
        <f t="shared" ca="1" si="478"/>
        <v>105.82706703751776</v>
      </c>
      <c r="H482">
        <f t="shared" ca="1" si="478"/>
        <v>112.21485859266883</v>
      </c>
      <c r="I482">
        <f t="shared" ca="1" si="478"/>
        <v>122.87689765202644</v>
      </c>
      <c r="J482">
        <f t="shared" ca="1" si="478"/>
        <v>128.86643608521445</v>
      </c>
      <c r="K482">
        <f t="shared" ref="K482:P482" ca="1" si="509">J482*EXP(($C$4-0.5*$C$5^2)*$C$10+$C$5*SQRT($C$10)*NORMINV(RAND(),0,1))</f>
        <v>130.62659963737275</v>
      </c>
      <c r="L482">
        <f t="shared" ca="1" si="509"/>
        <v>126.11515078204432</v>
      </c>
      <c r="M482">
        <f t="shared" ca="1" si="509"/>
        <v>124.5846306842694</v>
      </c>
      <c r="N482">
        <f t="shared" ca="1" si="509"/>
        <v>129.31659857272214</v>
      </c>
      <c r="O482">
        <f t="shared" ca="1" si="509"/>
        <v>139.98105255273123</v>
      </c>
      <c r="P482">
        <f t="shared" ca="1" si="509"/>
        <v>139.87045788726047</v>
      </c>
      <c r="Q482">
        <f t="shared" ca="1" si="480"/>
        <v>123.66179540762072</v>
      </c>
      <c r="R482">
        <f t="shared" ca="1" si="481"/>
        <v>23.661795407620716</v>
      </c>
      <c r="S482">
        <f t="shared" ca="1" si="482"/>
        <v>22.507796028244691</v>
      </c>
    </row>
    <row r="483" spans="5:19" x14ac:dyDescent="0.75">
      <c r="E483">
        <v>478</v>
      </c>
      <c r="F483">
        <v>100</v>
      </c>
      <c r="G483">
        <f t="shared" ca="1" si="478"/>
        <v>94.654836348052726</v>
      </c>
      <c r="H483">
        <f t="shared" ca="1" si="478"/>
        <v>91.896981504781778</v>
      </c>
      <c r="I483">
        <f t="shared" ca="1" si="478"/>
        <v>85.89558309187349</v>
      </c>
      <c r="J483">
        <f t="shared" ca="1" si="478"/>
        <v>82.186970688886149</v>
      </c>
      <c r="K483">
        <f t="shared" ref="K483:P483" ca="1" si="510">J483*EXP(($C$4-0.5*$C$5^2)*$C$10+$C$5*SQRT($C$10)*NORMINV(RAND(),0,1))</f>
        <v>74.351150243843136</v>
      </c>
      <c r="L483">
        <f t="shared" ca="1" si="510"/>
        <v>68.406247235709287</v>
      </c>
      <c r="M483">
        <f t="shared" ca="1" si="510"/>
        <v>66.653720479723788</v>
      </c>
      <c r="N483">
        <f t="shared" ca="1" si="510"/>
        <v>60.5872292032278</v>
      </c>
      <c r="O483">
        <f t="shared" ca="1" si="510"/>
        <v>69.01916526479225</v>
      </c>
      <c r="P483">
        <f t="shared" ca="1" si="510"/>
        <v>69.509843651873794</v>
      </c>
      <c r="Q483">
        <f t="shared" ca="1" si="480"/>
        <v>78.469247973887661</v>
      </c>
      <c r="R483">
        <f t="shared" ca="1" si="481"/>
        <v>0</v>
      </c>
      <c r="S483">
        <f t="shared" ca="1" si="482"/>
        <v>0</v>
      </c>
    </row>
    <row r="484" spans="5:19" x14ac:dyDescent="0.75">
      <c r="E484">
        <v>479</v>
      </c>
      <c r="F484">
        <v>100</v>
      </c>
      <c r="G484">
        <f t="shared" ca="1" si="478"/>
        <v>104.75840171656823</v>
      </c>
      <c r="H484">
        <f t="shared" ca="1" si="478"/>
        <v>121.46169050464704</v>
      </c>
      <c r="I484">
        <f t="shared" ca="1" si="478"/>
        <v>119.92412356343992</v>
      </c>
      <c r="J484">
        <f t="shared" ca="1" si="478"/>
        <v>111.14488834007251</v>
      </c>
      <c r="K484">
        <f t="shared" ref="K484:P484" ca="1" si="511">J484*EXP(($C$4-0.5*$C$5^2)*$C$10+$C$5*SQRT($C$10)*NORMINV(RAND(),0,1))</f>
        <v>104.92616774340493</v>
      </c>
      <c r="L484">
        <f t="shared" ca="1" si="511"/>
        <v>105.74934427016545</v>
      </c>
      <c r="M484">
        <f t="shared" ca="1" si="511"/>
        <v>107.85008472953287</v>
      </c>
      <c r="N484">
        <f t="shared" ca="1" si="511"/>
        <v>104.38443235822362</v>
      </c>
      <c r="O484">
        <f t="shared" ca="1" si="511"/>
        <v>110.24341504362523</v>
      </c>
      <c r="P484">
        <f t="shared" ca="1" si="511"/>
        <v>115.71239046431815</v>
      </c>
      <c r="Q484">
        <f t="shared" ca="1" si="480"/>
        <v>109.65044897581801</v>
      </c>
      <c r="R484">
        <f t="shared" ca="1" si="481"/>
        <v>9.6504489758180085</v>
      </c>
      <c r="S484">
        <f t="shared" ca="1" si="482"/>
        <v>9.1797910254408688</v>
      </c>
    </row>
    <row r="485" spans="5:19" x14ac:dyDescent="0.75">
      <c r="E485">
        <v>480</v>
      </c>
      <c r="F485">
        <v>100</v>
      </c>
      <c r="G485">
        <f t="shared" ca="1" si="478"/>
        <v>101.58743763463127</v>
      </c>
      <c r="H485">
        <f t="shared" ca="1" si="478"/>
        <v>98.465817325048391</v>
      </c>
      <c r="I485">
        <f t="shared" ca="1" si="478"/>
        <v>91.789714038652662</v>
      </c>
      <c r="J485">
        <f t="shared" ca="1" si="478"/>
        <v>95.612482786811981</v>
      </c>
      <c r="K485">
        <f t="shared" ref="K485:P485" ca="1" si="512">J485*EXP(($C$4-0.5*$C$5^2)*$C$10+$C$5*SQRT($C$10)*NORMINV(RAND(),0,1))</f>
        <v>97.630133508460077</v>
      </c>
      <c r="L485">
        <f t="shared" ca="1" si="512"/>
        <v>88.023200848972181</v>
      </c>
      <c r="M485">
        <f t="shared" ca="1" si="512"/>
        <v>79.868673889742468</v>
      </c>
      <c r="N485">
        <f t="shared" ca="1" si="512"/>
        <v>78.212813816806872</v>
      </c>
      <c r="O485">
        <f t="shared" ca="1" si="512"/>
        <v>79.461433394177774</v>
      </c>
      <c r="P485">
        <f t="shared" ca="1" si="512"/>
        <v>82.665130338362374</v>
      </c>
      <c r="Q485">
        <f t="shared" ca="1" si="480"/>
        <v>90.301530689242355</v>
      </c>
      <c r="R485">
        <f t="shared" ca="1" si="481"/>
        <v>0</v>
      </c>
      <c r="S485">
        <f t="shared" ca="1" si="482"/>
        <v>0</v>
      </c>
    </row>
    <row r="486" spans="5:19" x14ac:dyDescent="0.75">
      <c r="E486">
        <v>481</v>
      </c>
      <c r="F486">
        <v>100</v>
      </c>
      <c r="G486">
        <f t="shared" ca="1" si="478"/>
        <v>105.9038704048799</v>
      </c>
      <c r="H486">
        <f t="shared" ca="1" si="478"/>
        <v>97.640541107779342</v>
      </c>
      <c r="I486">
        <f t="shared" ca="1" si="478"/>
        <v>89.002278209455341</v>
      </c>
      <c r="J486">
        <f t="shared" ca="1" si="478"/>
        <v>88.375531629193731</v>
      </c>
      <c r="K486">
        <f t="shared" ref="K486:P486" ca="1" si="513">J486*EXP(($C$4-0.5*$C$5^2)*$C$10+$C$5*SQRT($C$10)*NORMINV(RAND(),0,1))</f>
        <v>85.3325668883693</v>
      </c>
      <c r="L486">
        <f t="shared" ca="1" si="513"/>
        <v>81.00581324418026</v>
      </c>
      <c r="M486">
        <f t="shared" ca="1" si="513"/>
        <v>79.05559186611616</v>
      </c>
      <c r="N486">
        <f t="shared" ca="1" si="513"/>
        <v>82.603824192249945</v>
      </c>
      <c r="O486">
        <f t="shared" ca="1" si="513"/>
        <v>75.173032635393994</v>
      </c>
      <c r="P486">
        <f t="shared" ca="1" si="513"/>
        <v>70.551243963951336</v>
      </c>
      <c r="Q486">
        <f t="shared" ca="1" si="480"/>
        <v>86.785844921960845</v>
      </c>
      <c r="R486">
        <f t="shared" ca="1" si="481"/>
        <v>0</v>
      </c>
      <c r="S486">
        <f t="shared" ca="1" si="482"/>
        <v>0</v>
      </c>
    </row>
    <row r="487" spans="5:19" x14ac:dyDescent="0.75">
      <c r="E487">
        <v>482</v>
      </c>
      <c r="F487">
        <v>100</v>
      </c>
      <c r="G487">
        <f t="shared" ca="1" si="478"/>
        <v>90.124864651024524</v>
      </c>
      <c r="H487">
        <f t="shared" ca="1" si="478"/>
        <v>95.666640342525014</v>
      </c>
      <c r="I487">
        <f t="shared" ca="1" si="478"/>
        <v>93.45918074500473</v>
      </c>
      <c r="J487">
        <f t="shared" ca="1" si="478"/>
        <v>88.125222229842834</v>
      </c>
      <c r="K487">
        <f t="shared" ref="K487:P487" ca="1" si="514">J487*EXP(($C$4-0.5*$C$5^2)*$C$10+$C$5*SQRT($C$10)*NORMINV(RAND(),0,1))</f>
        <v>92.31103403747413</v>
      </c>
      <c r="L487">
        <f t="shared" ca="1" si="514"/>
        <v>98.174550099102603</v>
      </c>
      <c r="M487">
        <f t="shared" ca="1" si="514"/>
        <v>98.159326284036538</v>
      </c>
      <c r="N487">
        <f t="shared" ca="1" si="514"/>
        <v>95.141296492367744</v>
      </c>
      <c r="O487">
        <f t="shared" ca="1" si="514"/>
        <v>86.422849338507419</v>
      </c>
      <c r="P487">
        <f t="shared" ca="1" si="514"/>
        <v>84.811119213748682</v>
      </c>
      <c r="Q487">
        <f t="shared" ca="1" si="480"/>
        <v>92.945098493966739</v>
      </c>
      <c r="R487">
        <f t="shared" ca="1" si="481"/>
        <v>0</v>
      </c>
      <c r="S487">
        <f t="shared" ca="1" si="482"/>
        <v>0</v>
      </c>
    </row>
    <row r="488" spans="5:19" x14ac:dyDescent="0.75">
      <c r="E488">
        <v>483</v>
      </c>
      <c r="F488">
        <v>100</v>
      </c>
      <c r="G488">
        <f t="shared" ca="1" si="478"/>
        <v>96.953246150991689</v>
      </c>
      <c r="H488">
        <f t="shared" ca="1" si="478"/>
        <v>100.41432815081481</v>
      </c>
      <c r="I488">
        <f t="shared" ca="1" si="478"/>
        <v>105.02932837813252</v>
      </c>
      <c r="J488">
        <f t="shared" ca="1" si="478"/>
        <v>107.21166159338409</v>
      </c>
      <c r="K488">
        <f t="shared" ref="K488:P488" ca="1" si="515">J488*EXP(($C$4-0.5*$C$5^2)*$C$10+$C$5*SQRT($C$10)*NORMINV(RAND(),0,1))</f>
        <v>117.10522809599432</v>
      </c>
      <c r="L488">
        <f t="shared" ca="1" si="515"/>
        <v>110.8429404459832</v>
      </c>
      <c r="M488">
        <f t="shared" ca="1" si="515"/>
        <v>103.59508093981597</v>
      </c>
      <c r="N488">
        <f t="shared" ca="1" si="515"/>
        <v>105.28121559231776</v>
      </c>
      <c r="O488">
        <f t="shared" ca="1" si="515"/>
        <v>103.48666611230024</v>
      </c>
      <c r="P488">
        <f t="shared" ca="1" si="515"/>
        <v>103.62210215119836</v>
      </c>
      <c r="Q488">
        <f t="shared" ca="1" si="480"/>
        <v>104.86743614644844</v>
      </c>
      <c r="R488">
        <f t="shared" ca="1" si="481"/>
        <v>4.8674361464484406</v>
      </c>
      <c r="S488">
        <f t="shared" ca="1" si="482"/>
        <v>4.6300484843801231</v>
      </c>
    </row>
    <row r="489" spans="5:19" x14ac:dyDescent="0.75">
      <c r="E489">
        <v>484</v>
      </c>
      <c r="F489">
        <v>100</v>
      </c>
      <c r="G489">
        <f t="shared" ca="1" si="478"/>
        <v>87.115498990145284</v>
      </c>
      <c r="H489">
        <f t="shared" ca="1" si="478"/>
        <v>81.333347063946235</v>
      </c>
      <c r="I489">
        <f t="shared" ca="1" si="478"/>
        <v>77.521980137970985</v>
      </c>
      <c r="J489">
        <f t="shared" ca="1" si="478"/>
        <v>81.199228443290011</v>
      </c>
      <c r="K489">
        <f t="shared" ref="K489:P489" ca="1" si="516">J489*EXP(($C$4-0.5*$C$5^2)*$C$10+$C$5*SQRT($C$10)*NORMINV(RAND(),0,1))</f>
        <v>83.634371749073622</v>
      </c>
      <c r="L489">
        <f t="shared" ca="1" si="516"/>
        <v>89.367070311066357</v>
      </c>
      <c r="M489">
        <f t="shared" ca="1" si="516"/>
        <v>94.272412655861999</v>
      </c>
      <c r="N489">
        <f t="shared" ca="1" si="516"/>
        <v>90.772978656146165</v>
      </c>
      <c r="O489">
        <f t="shared" ca="1" si="516"/>
        <v>91.605838508014372</v>
      </c>
      <c r="P489">
        <f t="shared" ca="1" si="516"/>
        <v>110.07404636417007</v>
      </c>
      <c r="Q489">
        <f t="shared" ca="1" si="480"/>
        <v>89.717888443607748</v>
      </c>
      <c r="R489">
        <f t="shared" ca="1" si="481"/>
        <v>0</v>
      </c>
      <c r="S489">
        <f t="shared" ca="1" si="482"/>
        <v>0</v>
      </c>
    </row>
    <row r="490" spans="5:19" x14ac:dyDescent="0.75">
      <c r="E490">
        <v>485</v>
      </c>
      <c r="F490">
        <v>100</v>
      </c>
      <c r="G490">
        <f t="shared" ca="1" si="478"/>
        <v>97.500084373964427</v>
      </c>
      <c r="H490">
        <f t="shared" ca="1" si="478"/>
        <v>103.05547791226745</v>
      </c>
      <c r="I490">
        <f t="shared" ca="1" si="478"/>
        <v>100.51206938596793</v>
      </c>
      <c r="J490">
        <f t="shared" ca="1" si="478"/>
        <v>102.18931163054468</v>
      </c>
      <c r="K490">
        <f t="shared" ref="K490:P490" ca="1" si="517">J490*EXP(($C$4-0.5*$C$5^2)*$C$10+$C$5*SQRT($C$10)*NORMINV(RAND(),0,1))</f>
        <v>98.016257112972568</v>
      </c>
      <c r="L490">
        <f t="shared" ca="1" si="517"/>
        <v>95.284551731614982</v>
      </c>
      <c r="M490">
        <f t="shared" ca="1" si="517"/>
        <v>92.981888724407014</v>
      </c>
      <c r="N490">
        <f t="shared" ca="1" si="517"/>
        <v>93.33230408865704</v>
      </c>
      <c r="O490">
        <f t="shared" ca="1" si="517"/>
        <v>89.584987287513883</v>
      </c>
      <c r="P490">
        <f t="shared" ca="1" si="517"/>
        <v>84.080352529068591</v>
      </c>
      <c r="Q490">
        <f t="shared" ca="1" si="480"/>
        <v>96.048844070634416</v>
      </c>
      <c r="R490">
        <f t="shared" ca="1" si="481"/>
        <v>0</v>
      </c>
      <c r="S490">
        <f t="shared" ca="1" si="482"/>
        <v>0</v>
      </c>
    </row>
    <row r="491" spans="5:19" x14ac:dyDescent="0.75">
      <c r="E491">
        <v>486</v>
      </c>
      <c r="F491">
        <v>100</v>
      </c>
      <c r="G491">
        <f t="shared" ca="1" si="478"/>
        <v>102.54315025196826</v>
      </c>
      <c r="H491">
        <f t="shared" ca="1" si="478"/>
        <v>105.72992289350665</v>
      </c>
      <c r="I491">
        <f t="shared" ca="1" si="478"/>
        <v>98.813297155713897</v>
      </c>
      <c r="J491">
        <f t="shared" ca="1" si="478"/>
        <v>104.50534890129579</v>
      </c>
      <c r="K491">
        <f t="shared" ref="K491:P491" ca="1" si="518">J491*EXP(($C$4-0.5*$C$5^2)*$C$10+$C$5*SQRT($C$10)*NORMINV(RAND(),0,1))</f>
        <v>109.43894329172342</v>
      </c>
      <c r="L491">
        <f t="shared" ca="1" si="518"/>
        <v>103.47707591948502</v>
      </c>
      <c r="M491">
        <f t="shared" ca="1" si="518"/>
        <v>99.228836649304242</v>
      </c>
      <c r="N491">
        <f t="shared" ca="1" si="518"/>
        <v>96.084625188088197</v>
      </c>
      <c r="O491">
        <f t="shared" ca="1" si="518"/>
        <v>104.06432165105258</v>
      </c>
      <c r="P491">
        <f t="shared" ca="1" si="518"/>
        <v>101.20258290496342</v>
      </c>
      <c r="Q491">
        <f t="shared" ca="1" si="480"/>
        <v>102.28073680064558</v>
      </c>
      <c r="R491">
        <f t="shared" ca="1" si="481"/>
        <v>2.2807368006455846</v>
      </c>
      <c r="S491">
        <f t="shared" ca="1" si="482"/>
        <v>2.1695039543156991</v>
      </c>
    </row>
    <row r="492" spans="5:19" x14ac:dyDescent="0.75">
      <c r="E492">
        <v>487</v>
      </c>
      <c r="F492">
        <v>100</v>
      </c>
      <c r="G492">
        <f t="shared" ca="1" si="478"/>
        <v>110.62955285262834</v>
      </c>
      <c r="H492">
        <f t="shared" ca="1" si="478"/>
        <v>109.12034696961513</v>
      </c>
      <c r="I492">
        <f t="shared" ca="1" si="478"/>
        <v>106.41628280828057</v>
      </c>
      <c r="J492">
        <f t="shared" ca="1" si="478"/>
        <v>108.17929073432653</v>
      </c>
      <c r="K492">
        <f t="shared" ref="K492:P492" ca="1" si="519">J492*EXP(($C$4-0.5*$C$5^2)*$C$10+$C$5*SQRT($C$10)*NORMINV(RAND(),0,1))</f>
        <v>108.614636184368</v>
      </c>
      <c r="L492">
        <f t="shared" ca="1" si="519"/>
        <v>114.31691351499288</v>
      </c>
      <c r="M492">
        <f t="shared" ca="1" si="519"/>
        <v>109.23935013223328</v>
      </c>
      <c r="N492">
        <f t="shared" ca="1" si="519"/>
        <v>106.3323549041606</v>
      </c>
      <c r="O492">
        <f t="shared" ca="1" si="519"/>
        <v>115.88506819107913</v>
      </c>
      <c r="P492">
        <f t="shared" ca="1" si="519"/>
        <v>120.33501657566838</v>
      </c>
      <c r="Q492">
        <f t="shared" ca="1" si="480"/>
        <v>109.9153466243048</v>
      </c>
      <c r="R492">
        <f t="shared" ca="1" si="481"/>
        <v>9.915346624304803</v>
      </c>
      <c r="S492">
        <f t="shared" ca="1" si="482"/>
        <v>9.4317694631625546</v>
      </c>
    </row>
    <row r="493" spans="5:19" x14ac:dyDescent="0.75">
      <c r="E493">
        <v>488</v>
      </c>
      <c r="F493">
        <v>100</v>
      </c>
      <c r="G493">
        <f t="shared" ca="1" si="478"/>
        <v>92.833435359957022</v>
      </c>
      <c r="H493">
        <f t="shared" ca="1" si="478"/>
        <v>93.218849276855124</v>
      </c>
      <c r="I493">
        <f t="shared" ca="1" si="478"/>
        <v>93.019478052081041</v>
      </c>
      <c r="J493">
        <f t="shared" ca="1" si="478"/>
        <v>88.482964277382578</v>
      </c>
      <c r="K493">
        <f t="shared" ref="K493:P493" ca="1" si="520">J493*EXP(($C$4-0.5*$C$5^2)*$C$10+$C$5*SQRT($C$10)*NORMINV(RAND(),0,1))</f>
        <v>81.005486002136564</v>
      </c>
      <c r="L493">
        <f t="shared" ca="1" si="520"/>
        <v>70.87222467000089</v>
      </c>
      <c r="M493">
        <f t="shared" ca="1" si="520"/>
        <v>70.294309905287662</v>
      </c>
      <c r="N493">
        <f t="shared" ca="1" si="520"/>
        <v>72.579518813045951</v>
      </c>
      <c r="O493">
        <f t="shared" ca="1" si="520"/>
        <v>71.249208490400306</v>
      </c>
      <c r="P493">
        <f t="shared" ca="1" si="520"/>
        <v>66.071842946754074</v>
      </c>
      <c r="Q493">
        <f t="shared" ca="1" si="480"/>
        <v>81.784301617627378</v>
      </c>
      <c r="R493">
        <f t="shared" ca="1" si="481"/>
        <v>0</v>
      </c>
      <c r="S493">
        <f t="shared" ca="1" si="482"/>
        <v>0</v>
      </c>
    </row>
    <row r="494" spans="5:19" x14ac:dyDescent="0.75">
      <c r="E494">
        <v>489</v>
      </c>
      <c r="F494">
        <v>100</v>
      </c>
      <c r="G494">
        <f t="shared" ca="1" si="478"/>
        <v>105.68922446375967</v>
      </c>
      <c r="H494">
        <f t="shared" ca="1" si="478"/>
        <v>120.02492319952601</v>
      </c>
      <c r="I494">
        <f t="shared" ca="1" si="478"/>
        <v>108.67970713481699</v>
      </c>
      <c r="J494">
        <f t="shared" ca="1" si="478"/>
        <v>117.3872245856289</v>
      </c>
      <c r="K494">
        <f t="shared" ref="K494:P494" ca="1" si="521">J494*EXP(($C$4-0.5*$C$5^2)*$C$10+$C$5*SQRT($C$10)*NORMINV(RAND(),0,1))</f>
        <v>134.38415334724667</v>
      </c>
      <c r="L494">
        <f t="shared" ca="1" si="521"/>
        <v>132.19147244626726</v>
      </c>
      <c r="M494">
        <f t="shared" ca="1" si="521"/>
        <v>127.96310411091878</v>
      </c>
      <c r="N494">
        <f t="shared" ca="1" si="521"/>
        <v>125.95912468536605</v>
      </c>
      <c r="O494">
        <f t="shared" ca="1" si="521"/>
        <v>124.78606613094004</v>
      </c>
      <c r="P494">
        <f t="shared" ca="1" si="521"/>
        <v>135.54306752135278</v>
      </c>
      <c r="Q494">
        <f t="shared" ca="1" si="480"/>
        <v>121.14618796598391</v>
      </c>
      <c r="R494">
        <f t="shared" ca="1" si="481"/>
        <v>21.146187965983913</v>
      </c>
      <c r="S494">
        <f t="shared" ca="1" si="482"/>
        <v>20.1148762092668</v>
      </c>
    </row>
    <row r="495" spans="5:19" x14ac:dyDescent="0.75">
      <c r="E495">
        <v>490</v>
      </c>
      <c r="F495">
        <v>100</v>
      </c>
      <c r="G495">
        <f t="shared" ca="1" si="478"/>
        <v>100.02369920483862</v>
      </c>
      <c r="H495">
        <f t="shared" ca="1" si="478"/>
        <v>97.23339305841985</v>
      </c>
      <c r="I495">
        <f t="shared" ca="1" si="478"/>
        <v>111.15923611112945</v>
      </c>
      <c r="J495">
        <f t="shared" ca="1" si="478"/>
        <v>115.55714948606752</v>
      </c>
      <c r="K495">
        <f t="shared" ref="K495:P495" ca="1" si="522">J495*EXP(($C$4-0.5*$C$5^2)*$C$10+$C$5*SQRT($C$10)*NORMINV(RAND(),0,1))</f>
        <v>122.64505686381197</v>
      </c>
      <c r="L495">
        <f t="shared" ca="1" si="522"/>
        <v>122.38152494845821</v>
      </c>
      <c r="M495">
        <f t="shared" ca="1" si="522"/>
        <v>131.97796963984445</v>
      </c>
      <c r="N495">
        <f t="shared" ca="1" si="522"/>
        <v>123.91808731247568</v>
      </c>
      <c r="O495">
        <f t="shared" ca="1" si="522"/>
        <v>116.53013285293542</v>
      </c>
      <c r="P495">
        <f t="shared" ca="1" si="522"/>
        <v>135.13489806683771</v>
      </c>
      <c r="Q495">
        <f t="shared" ca="1" si="480"/>
        <v>116.05101341316535</v>
      </c>
      <c r="R495">
        <f t="shared" ca="1" si="481"/>
        <v>16.05101341316535</v>
      </c>
      <c r="S495">
        <f t="shared" ca="1" si="482"/>
        <v>15.268196251658518</v>
      </c>
    </row>
    <row r="496" spans="5:19" x14ac:dyDescent="0.75">
      <c r="E496">
        <v>491</v>
      </c>
      <c r="F496">
        <v>100</v>
      </c>
      <c r="G496">
        <f t="shared" ca="1" si="478"/>
        <v>88.787949894827534</v>
      </c>
      <c r="H496">
        <f t="shared" ca="1" si="478"/>
        <v>83.187616676148309</v>
      </c>
      <c r="I496">
        <f t="shared" ca="1" si="478"/>
        <v>85.991664364879654</v>
      </c>
      <c r="J496">
        <f t="shared" ca="1" si="478"/>
        <v>90.173421886490402</v>
      </c>
      <c r="K496">
        <f t="shared" ref="K496:P496" ca="1" si="523">J496*EXP(($C$4-0.5*$C$5^2)*$C$10+$C$5*SQRT($C$10)*NORMINV(RAND(),0,1))</f>
        <v>95.249671794443572</v>
      </c>
      <c r="L496">
        <f t="shared" ca="1" si="523"/>
        <v>82.267720432713219</v>
      </c>
      <c r="M496">
        <f t="shared" ca="1" si="523"/>
        <v>83.11744878363514</v>
      </c>
      <c r="N496">
        <f t="shared" ca="1" si="523"/>
        <v>79.459579109977355</v>
      </c>
      <c r="O496">
        <f t="shared" ca="1" si="523"/>
        <v>83.041873531101842</v>
      </c>
      <c r="P496">
        <f t="shared" ca="1" si="523"/>
        <v>91.564458097590816</v>
      </c>
      <c r="Q496">
        <f t="shared" ca="1" si="480"/>
        <v>87.531036779255246</v>
      </c>
      <c r="R496">
        <f t="shared" ca="1" si="481"/>
        <v>0</v>
      </c>
      <c r="S496">
        <f t="shared" ca="1" si="482"/>
        <v>0</v>
      </c>
    </row>
    <row r="497" spans="5:19" x14ac:dyDescent="0.75">
      <c r="E497">
        <v>492</v>
      </c>
      <c r="F497">
        <v>100</v>
      </c>
      <c r="G497">
        <f t="shared" ca="1" si="478"/>
        <v>98.538741191399282</v>
      </c>
      <c r="H497">
        <f t="shared" ca="1" si="478"/>
        <v>96.24049076560425</v>
      </c>
      <c r="I497">
        <f t="shared" ca="1" si="478"/>
        <v>93.233506000807324</v>
      </c>
      <c r="J497">
        <f t="shared" ca="1" si="478"/>
        <v>97.477719344116011</v>
      </c>
      <c r="K497">
        <f t="shared" ref="K497:P497" ca="1" si="524">J497*EXP(($C$4-0.5*$C$5^2)*$C$10+$C$5*SQRT($C$10)*NORMINV(RAND(),0,1))</f>
        <v>100.77758376661292</v>
      </c>
      <c r="L497">
        <f t="shared" ca="1" si="524"/>
        <v>97.453733816979138</v>
      </c>
      <c r="M497">
        <f t="shared" ca="1" si="524"/>
        <v>100.43411560633803</v>
      </c>
      <c r="N497">
        <f t="shared" ca="1" si="524"/>
        <v>103.19542056347372</v>
      </c>
      <c r="O497">
        <f t="shared" ca="1" si="524"/>
        <v>106.13167893209037</v>
      </c>
      <c r="P497">
        <f t="shared" ca="1" si="524"/>
        <v>107.147017676505</v>
      </c>
      <c r="Q497">
        <f t="shared" ca="1" si="480"/>
        <v>100.05727342399328</v>
      </c>
      <c r="R497">
        <f t="shared" ca="1" si="481"/>
        <v>5.7273423993279948E-2</v>
      </c>
      <c r="S497">
        <f t="shared" ca="1" si="482"/>
        <v>5.4480166144313072E-2</v>
      </c>
    </row>
    <row r="498" spans="5:19" x14ac:dyDescent="0.75">
      <c r="E498">
        <v>493</v>
      </c>
      <c r="F498">
        <v>100</v>
      </c>
      <c r="G498">
        <f t="shared" ca="1" si="478"/>
        <v>99.079802086780589</v>
      </c>
      <c r="H498">
        <f t="shared" ca="1" si="478"/>
        <v>89.209416026898026</v>
      </c>
      <c r="I498">
        <f t="shared" ca="1" si="478"/>
        <v>80.5040211822202</v>
      </c>
      <c r="J498">
        <f t="shared" ca="1" si="478"/>
        <v>95.176872568635616</v>
      </c>
      <c r="K498">
        <f t="shared" ref="K498:P498" ca="1" si="525">J498*EXP(($C$4-0.5*$C$5^2)*$C$10+$C$5*SQRT($C$10)*NORMINV(RAND(),0,1))</f>
        <v>94.752968086778196</v>
      </c>
      <c r="L498">
        <f t="shared" ca="1" si="525"/>
        <v>98.631713850108895</v>
      </c>
      <c r="M498">
        <f t="shared" ca="1" si="525"/>
        <v>98.794298083458685</v>
      </c>
      <c r="N498">
        <f t="shared" ca="1" si="525"/>
        <v>100.98524577918896</v>
      </c>
      <c r="O498">
        <f t="shared" ca="1" si="525"/>
        <v>93.952301779699795</v>
      </c>
      <c r="P498">
        <f t="shared" ca="1" si="525"/>
        <v>87.926959450546903</v>
      </c>
      <c r="Q498">
        <f t="shared" ca="1" si="480"/>
        <v>94.45578171766509</v>
      </c>
      <c r="R498">
        <f t="shared" ca="1" si="481"/>
        <v>0</v>
      </c>
      <c r="S498">
        <f t="shared" ca="1" si="482"/>
        <v>0</v>
      </c>
    </row>
    <row r="499" spans="5:19" x14ac:dyDescent="0.75">
      <c r="E499">
        <v>494</v>
      </c>
      <c r="F499">
        <v>100</v>
      </c>
      <c r="G499">
        <f t="shared" ca="1" si="478"/>
        <v>103.8185160527959</v>
      </c>
      <c r="H499">
        <f t="shared" ca="1" si="478"/>
        <v>113.00262821127454</v>
      </c>
      <c r="I499">
        <f t="shared" ca="1" si="478"/>
        <v>125.08660381354601</v>
      </c>
      <c r="J499">
        <f t="shared" ca="1" si="478"/>
        <v>131.88055749710497</v>
      </c>
      <c r="K499">
        <f t="shared" ref="K499:P499" ca="1" si="526">J499*EXP(($C$4-0.5*$C$5^2)*$C$10+$C$5*SQRT($C$10)*NORMINV(RAND(),0,1))</f>
        <v>129.31657834120494</v>
      </c>
      <c r="L499">
        <f t="shared" ca="1" si="526"/>
        <v>136.32764319393311</v>
      </c>
      <c r="M499">
        <f t="shared" ca="1" si="526"/>
        <v>145.47903720301645</v>
      </c>
      <c r="N499">
        <f t="shared" ca="1" si="526"/>
        <v>139.10608416530255</v>
      </c>
      <c r="O499">
        <f t="shared" ca="1" si="526"/>
        <v>147.859580715205</v>
      </c>
      <c r="P499">
        <f t="shared" ca="1" si="526"/>
        <v>148.86121990701307</v>
      </c>
      <c r="Q499">
        <f t="shared" ca="1" si="480"/>
        <v>129.15804082730878</v>
      </c>
      <c r="R499">
        <f t="shared" ca="1" si="481"/>
        <v>29.158040827308781</v>
      </c>
      <c r="S499">
        <f t="shared" ca="1" si="482"/>
        <v>27.735986395729256</v>
      </c>
    </row>
    <row r="500" spans="5:19" x14ac:dyDescent="0.75">
      <c r="E500">
        <v>495</v>
      </c>
      <c r="F500">
        <v>100</v>
      </c>
      <c r="G500">
        <f t="shared" ca="1" si="478"/>
        <v>98.492450680580149</v>
      </c>
      <c r="H500">
        <f t="shared" ca="1" si="478"/>
        <v>102.56611408564292</v>
      </c>
      <c r="I500">
        <f t="shared" ca="1" si="478"/>
        <v>107.31816956001556</v>
      </c>
      <c r="J500">
        <f t="shared" ca="1" si="478"/>
        <v>109.3644448773927</v>
      </c>
      <c r="K500">
        <f t="shared" ref="K500:P500" ca="1" si="527">J500*EXP(($C$4-0.5*$C$5^2)*$C$10+$C$5*SQRT($C$10)*NORMINV(RAND(),0,1))</f>
        <v>108.52769682274391</v>
      </c>
      <c r="L500">
        <f t="shared" ca="1" si="527"/>
        <v>118.31653508890089</v>
      </c>
      <c r="M500">
        <f t="shared" ca="1" si="527"/>
        <v>110.40931173377493</v>
      </c>
      <c r="N500">
        <f t="shared" ca="1" si="527"/>
        <v>106.40381054687029</v>
      </c>
      <c r="O500">
        <f t="shared" ca="1" si="527"/>
        <v>101.65375344554585</v>
      </c>
      <c r="P500">
        <f t="shared" ca="1" si="527"/>
        <v>113.63161233718738</v>
      </c>
      <c r="Q500">
        <f t="shared" ca="1" si="480"/>
        <v>106.97126356169586</v>
      </c>
      <c r="R500">
        <f t="shared" ca="1" si="481"/>
        <v>6.9712635616958636</v>
      </c>
      <c r="S500">
        <f t="shared" ca="1" si="482"/>
        <v>6.6312710258347538</v>
      </c>
    </row>
    <row r="501" spans="5:19" x14ac:dyDescent="0.75">
      <c r="E501">
        <v>496</v>
      </c>
      <c r="F501">
        <v>100</v>
      </c>
      <c r="G501">
        <f t="shared" ca="1" si="478"/>
        <v>103.70817753783123</v>
      </c>
      <c r="H501">
        <f t="shared" ca="1" si="478"/>
        <v>99.961558421986965</v>
      </c>
      <c r="I501">
        <f t="shared" ca="1" si="478"/>
        <v>94.490877105989014</v>
      </c>
      <c r="J501">
        <f t="shared" ca="1" si="478"/>
        <v>91.895429122958859</v>
      </c>
      <c r="K501">
        <f t="shared" ref="K501:P501" ca="1" si="528">J501*EXP(($C$4-0.5*$C$5^2)*$C$10+$C$5*SQRT($C$10)*NORMINV(RAND(),0,1))</f>
        <v>94.9651263941455</v>
      </c>
      <c r="L501">
        <f t="shared" ca="1" si="528"/>
        <v>94.729504409894659</v>
      </c>
      <c r="M501">
        <f t="shared" ca="1" si="528"/>
        <v>85.452193494194788</v>
      </c>
      <c r="N501">
        <f t="shared" ca="1" si="528"/>
        <v>86.710799953356556</v>
      </c>
      <c r="O501">
        <f t="shared" ca="1" si="528"/>
        <v>90.830798289871836</v>
      </c>
      <c r="P501">
        <f t="shared" ca="1" si="528"/>
        <v>87.666854479709372</v>
      </c>
      <c r="Q501">
        <f t="shared" ca="1" si="480"/>
        <v>93.673756291812609</v>
      </c>
      <c r="R501">
        <f t="shared" ca="1" si="481"/>
        <v>0</v>
      </c>
      <c r="S501">
        <f t="shared" ca="1" si="482"/>
        <v>0</v>
      </c>
    </row>
    <row r="502" spans="5:19" x14ac:dyDescent="0.75">
      <c r="E502">
        <v>497</v>
      </c>
      <c r="F502">
        <v>100</v>
      </c>
      <c r="G502">
        <f t="shared" ca="1" si="478"/>
        <v>96.692598468987399</v>
      </c>
      <c r="H502">
        <f t="shared" ca="1" si="478"/>
        <v>103.16186474242053</v>
      </c>
      <c r="I502">
        <f t="shared" ca="1" si="478"/>
        <v>104.39574636339115</v>
      </c>
      <c r="J502">
        <f t="shared" ca="1" si="478"/>
        <v>106.01052024239392</v>
      </c>
      <c r="K502">
        <f t="shared" ref="K502:P502" ca="1" si="529">J502*EXP(($C$4-0.5*$C$5^2)*$C$10+$C$5*SQRT($C$10)*NORMINV(RAND(),0,1))</f>
        <v>105.02983052974312</v>
      </c>
      <c r="L502">
        <f t="shared" ca="1" si="529"/>
        <v>119.52871377931012</v>
      </c>
      <c r="M502">
        <f t="shared" ca="1" si="529"/>
        <v>127.58661355326991</v>
      </c>
      <c r="N502">
        <f t="shared" ca="1" si="529"/>
        <v>138.5857608182564</v>
      </c>
      <c r="O502">
        <f t="shared" ca="1" si="529"/>
        <v>133.04817610787347</v>
      </c>
      <c r="P502">
        <f t="shared" ca="1" si="529"/>
        <v>134.5420904410087</v>
      </c>
      <c r="Q502">
        <f t="shared" ca="1" si="480"/>
        <v>115.32562864060498</v>
      </c>
      <c r="R502">
        <f t="shared" ca="1" si="481"/>
        <v>15.325628640604975</v>
      </c>
      <c r="S502">
        <f t="shared" ca="1" si="482"/>
        <v>14.578188911914332</v>
      </c>
    </row>
    <row r="503" spans="5:19" x14ac:dyDescent="0.75">
      <c r="E503">
        <v>498</v>
      </c>
      <c r="F503">
        <v>100</v>
      </c>
      <c r="G503">
        <f t="shared" ca="1" si="478"/>
        <v>95.820670187356669</v>
      </c>
      <c r="H503">
        <f t="shared" ca="1" si="478"/>
        <v>96.258696968839132</v>
      </c>
      <c r="I503">
        <f t="shared" ca="1" si="478"/>
        <v>91.670561785416595</v>
      </c>
      <c r="J503">
        <f t="shared" ca="1" si="478"/>
        <v>89.037282608363597</v>
      </c>
      <c r="K503">
        <f t="shared" ref="K503:P503" ca="1" si="530">J503*EXP(($C$4-0.5*$C$5^2)*$C$10+$C$5*SQRT($C$10)*NORMINV(RAND(),0,1))</f>
        <v>91.128198545122729</v>
      </c>
      <c r="L503">
        <f t="shared" ca="1" si="530"/>
        <v>94.626520065487426</v>
      </c>
      <c r="M503">
        <f t="shared" ca="1" si="530"/>
        <v>100.78732179720997</v>
      </c>
      <c r="N503">
        <f t="shared" ca="1" si="530"/>
        <v>98.413347481590293</v>
      </c>
      <c r="O503">
        <f t="shared" ca="1" si="530"/>
        <v>86.901002014072304</v>
      </c>
      <c r="P503">
        <f t="shared" ca="1" si="530"/>
        <v>85.510223753406308</v>
      </c>
      <c r="Q503">
        <f t="shared" ca="1" si="480"/>
        <v>93.650347746078623</v>
      </c>
      <c r="R503">
        <f t="shared" ca="1" si="481"/>
        <v>0</v>
      </c>
      <c r="S503">
        <f t="shared" ca="1" si="482"/>
        <v>0</v>
      </c>
    </row>
    <row r="504" spans="5:19" x14ac:dyDescent="0.75">
      <c r="E504">
        <v>499</v>
      </c>
      <c r="F504">
        <v>100</v>
      </c>
      <c r="G504">
        <f t="shared" ca="1" si="478"/>
        <v>115.37026509279491</v>
      </c>
      <c r="H504">
        <f t="shared" ca="1" si="478"/>
        <v>117.29067078268874</v>
      </c>
      <c r="I504">
        <f t="shared" ca="1" si="478"/>
        <v>113.49169471296335</v>
      </c>
      <c r="J504">
        <f t="shared" ca="1" si="478"/>
        <v>105.34927750333493</v>
      </c>
      <c r="K504">
        <f t="shared" ref="K504:P504" ca="1" si="531">J504*EXP(($C$4-0.5*$C$5^2)*$C$10+$C$5*SQRT($C$10)*NORMINV(RAND(),0,1))</f>
        <v>95.224215892409106</v>
      </c>
      <c r="L504">
        <f t="shared" ca="1" si="531"/>
        <v>96.776420107963219</v>
      </c>
      <c r="M504">
        <f t="shared" ca="1" si="531"/>
        <v>102.6530019640313</v>
      </c>
      <c r="N504">
        <f t="shared" ca="1" si="531"/>
        <v>103.04650763566644</v>
      </c>
      <c r="O504">
        <f t="shared" ca="1" si="531"/>
        <v>96.357183844677351</v>
      </c>
      <c r="P504">
        <f t="shared" ca="1" si="531"/>
        <v>101.29150919439195</v>
      </c>
      <c r="Q504">
        <f t="shared" ca="1" si="480"/>
        <v>104.2591587937201</v>
      </c>
      <c r="R504">
        <f t="shared" ca="1" si="481"/>
        <v>4.2591587937201041</v>
      </c>
      <c r="S504">
        <f t="shared" ca="1" si="482"/>
        <v>4.0514371682075296</v>
      </c>
    </row>
    <row r="505" spans="5:19" x14ac:dyDescent="0.75">
      <c r="E505">
        <v>500</v>
      </c>
      <c r="F505">
        <v>100</v>
      </c>
      <c r="G505">
        <f t="shared" ca="1" si="478"/>
        <v>104.50050769720897</v>
      </c>
      <c r="H505">
        <f t="shared" ca="1" si="478"/>
        <v>104.28893109283257</v>
      </c>
      <c r="I505">
        <f t="shared" ca="1" si="478"/>
        <v>106.56412075827402</v>
      </c>
      <c r="J505">
        <f t="shared" ca="1" si="478"/>
        <v>97.385618007492425</v>
      </c>
      <c r="K505">
        <f t="shared" ref="K505:P505" ca="1" si="532">J505*EXP(($C$4-0.5*$C$5^2)*$C$10+$C$5*SQRT($C$10)*NORMINV(RAND(),0,1))</f>
        <v>92.513307069648576</v>
      </c>
      <c r="L505">
        <f t="shared" ca="1" si="532"/>
        <v>90.402879125208401</v>
      </c>
      <c r="M505">
        <f t="shared" ca="1" si="532"/>
        <v>87.824049456841664</v>
      </c>
      <c r="N505">
        <f t="shared" ca="1" si="532"/>
        <v>91.782596212464497</v>
      </c>
      <c r="O505">
        <f t="shared" ca="1" si="532"/>
        <v>83.629736456210296</v>
      </c>
      <c r="P505">
        <f t="shared" ca="1" si="532"/>
        <v>87.336824128482206</v>
      </c>
      <c r="Q505">
        <f t="shared" ca="1" si="480"/>
        <v>95.111688182242148</v>
      </c>
      <c r="R505">
        <f t="shared" ca="1" si="481"/>
        <v>0</v>
      </c>
      <c r="S505">
        <f t="shared" ca="1" si="482"/>
        <v>0</v>
      </c>
    </row>
    <row r="506" spans="5:19" x14ac:dyDescent="0.75">
      <c r="E506">
        <v>501</v>
      </c>
      <c r="F506">
        <v>100</v>
      </c>
      <c r="G506">
        <f t="shared" ca="1" si="478"/>
        <v>104.49008389046573</v>
      </c>
      <c r="H506">
        <f t="shared" ca="1" si="478"/>
        <v>106.17928026344852</v>
      </c>
      <c r="I506">
        <f t="shared" ca="1" si="478"/>
        <v>105.91712037056529</v>
      </c>
      <c r="J506">
        <f t="shared" ca="1" si="478"/>
        <v>106.66148729588842</v>
      </c>
      <c r="K506">
        <f t="shared" ref="K506:P506" ca="1" si="533">J506*EXP(($C$4-0.5*$C$5^2)*$C$10+$C$5*SQRT($C$10)*NORMINV(RAND(),0,1))</f>
        <v>96.462867412586107</v>
      </c>
      <c r="L506">
        <f t="shared" ca="1" si="533"/>
        <v>89.930718165116261</v>
      </c>
      <c r="M506">
        <f t="shared" ca="1" si="533"/>
        <v>102.66533959962941</v>
      </c>
      <c r="N506">
        <f t="shared" ca="1" si="533"/>
        <v>105.63444269254121</v>
      </c>
      <c r="O506">
        <f t="shared" ca="1" si="533"/>
        <v>111.55394607132632</v>
      </c>
      <c r="P506">
        <f t="shared" ca="1" si="533"/>
        <v>114.15344225737977</v>
      </c>
      <c r="Q506">
        <f t="shared" ca="1" si="480"/>
        <v>103.96806618354063</v>
      </c>
      <c r="R506">
        <f t="shared" ca="1" si="481"/>
        <v>3.9680661835406283</v>
      </c>
      <c r="S506">
        <f t="shared" ca="1" si="482"/>
        <v>3.7745413121500966</v>
      </c>
    </row>
    <row r="507" spans="5:19" x14ac:dyDescent="0.75">
      <c r="E507">
        <v>502</v>
      </c>
      <c r="F507">
        <v>100</v>
      </c>
      <c r="G507">
        <f t="shared" ca="1" si="478"/>
        <v>94.723970997811676</v>
      </c>
      <c r="H507">
        <f t="shared" ca="1" si="478"/>
        <v>101.75442672967833</v>
      </c>
      <c r="I507">
        <f t="shared" ca="1" si="478"/>
        <v>96.460914122567786</v>
      </c>
      <c r="J507">
        <f t="shared" ca="1" si="478"/>
        <v>99.649717979966383</v>
      </c>
      <c r="K507">
        <f t="shared" ref="K507:P507" ca="1" si="534">J507*EXP(($C$4-0.5*$C$5^2)*$C$10+$C$5*SQRT($C$10)*NORMINV(RAND(),0,1))</f>
        <v>103.58138961663458</v>
      </c>
      <c r="L507">
        <f t="shared" ca="1" si="534"/>
        <v>112.30112914897629</v>
      </c>
      <c r="M507">
        <f t="shared" ca="1" si="534"/>
        <v>107.94509304321966</v>
      </c>
      <c r="N507">
        <f t="shared" ca="1" si="534"/>
        <v>118.63577352153057</v>
      </c>
      <c r="O507">
        <f t="shared" ca="1" si="534"/>
        <v>129.17294838328689</v>
      </c>
      <c r="P507">
        <f t="shared" ca="1" si="534"/>
        <v>121.8302502949135</v>
      </c>
      <c r="Q507">
        <f t="shared" ca="1" si="480"/>
        <v>107.82323762168961</v>
      </c>
      <c r="R507">
        <f t="shared" ca="1" si="481"/>
        <v>7.8232376216896142</v>
      </c>
      <c r="S507">
        <f t="shared" ca="1" si="482"/>
        <v>7.4416938206121461</v>
      </c>
    </row>
    <row r="508" spans="5:19" x14ac:dyDescent="0.75">
      <c r="E508">
        <v>503</v>
      </c>
      <c r="F508">
        <v>100</v>
      </c>
      <c r="G508">
        <f t="shared" ca="1" si="478"/>
        <v>96.775958768632279</v>
      </c>
      <c r="H508">
        <f t="shared" ca="1" si="478"/>
        <v>105.50760389140278</v>
      </c>
      <c r="I508">
        <f t="shared" ca="1" si="478"/>
        <v>110.3513605486461</v>
      </c>
      <c r="J508">
        <f t="shared" ca="1" si="478"/>
        <v>121.45953651196578</v>
      </c>
      <c r="K508">
        <f t="shared" ref="K508:P508" ca="1" si="535">J508*EXP(($C$4-0.5*$C$5^2)*$C$10+$C$5*SQRT($C$10)*NORMINV(RAND(),0,1))</f>
        <v>115.02604195905705</v>
      </c>
      <c r="L508">
        <f t="shared" ca="1" si="535"/>
        <v>120.15597287202533</v>
      </c>
      <c r="M508">
        <f t="shared" ca="1" si="535"/>
        <v>130.77588853626395</v>
      </c>
      <c r="N508">
        <f t="shared" ca="1" si="535"/>
        <v>136.45971517093022</v>
      </c>
      <c r="O508">
        <f t="shared" ca="1" si="535"/>
        <v>133.34097901506297</v>
      </c>
      <c r="P508">
        <f t="shared" ca="1" si="535"/>
        <v>146.16437905903155</v>
      </c>
      <c r="Q508">
        <f t="shared" ca="1" si="480"/>
        <v>119.63794875754706</v>
      </c>
      <c r="R508">
        <f t="shared" ca="1" si="481"/>
        <v>19.637948757547065</v>
      </c>
      <c r="S508">
        <f t="shared" ca="1" si="482"/>
        <v>18.680194695016006</v>
      </c>
    </row>
    <row r="509" spans="5:19" x14ac:dyDescent="0.75">
      <c r="E509">
        <v>504</v>
      </c>
      <c r="F509">
        <v>100</v>
      </c>
      <c r="G509">
        <f t="shared" ca="1" si="478"/>
        <v>95.397863011233198</v>
      </c>
      <c r="H509">
        <f t="shared" ca="1" si="478"/>
        <v>93.192844374640259</v>
      </c>
      <c r="I509">
        <f t="shared" ca="1" si="478"/>
        <v>93.026842669427452</v>
      </c>
      <c r="J509">
        <f t="shared" ca="1" si="478"/>
        <v>92.571492202451296</v>
      </c>
      <c r="K509">
        <f t="shared" ref="K509:P509" ca="1" si="536">J509*EXP(($C$4-0.5*$C$5^2)*$C$10+$C$5*SQRT($C$10)*NORMINV(RAND(),0,1))</f>
        <v>97.209988385696519</v>
      </c>
      <c r="L509">
        <f t="shared" ca="1" si="536"/>
        <v>88.146673321596808</v>
      </c>
      <c r="M509">
        <f t="shared" ca="1" si="536"/>
        <v>94.326037484990863</v>
      </c>
      <c r="N509">
        <f t="shared" ca="1" si="536"/>
        <v>102.93114867759195</v>
      </c>
      <c r="O509">
        <f t="shared" ca="1" si="536"/>
        <v>98.368004668986657</v>
      </c>
      <c r="P509">
        <f t="shared" ca="1" si="536"/>
        <v>103.5260742712621</v>
      </c>
      <c r="Q509">
        <f t="shared" ca="1" si="480"/>
        <v>96.245179006170645</v>
      </c>
      <c r="R509">
        <f t="shared" ca="1" si="481"/>
        <v>0</v>
      </c>
      <c r="S509">
        <f t="shared" ca="1" si="482"/>
        <v>0</v>
      </c>
    </row>
    <row r="510" spans="5:19" x14ac:dyDescent="0.75">
      <c r="E510">
        <v>505</v>
      </c>
      <c r="F510">
        <v>100</v>
      </c>
      <c r="G510">
        <f t="shared" ca="1" si="478"/>
        <v>109.06984405173814</v>
      </c>
      <c r="H510">
        <f t="shared" ca="1" si="478"/>
        <v>104.12930881848331</v>
      </c>
      <c r="I510">
        <f t="shared" ca="1" si="478"/>
        <v>117.19168277017668</v>
      </c>
      <c r="J510">
        <f t="shared" ca="1" si="478"/>
        <v>117.16877368602438</v>
      </c>
      <c r="K510">
        <f t="shared" ref="K510:P510" ca="1" si="537">J510*EXP(($C$4-0.5*$C$5^2)*$C$10+$C$5*SQRT($C$10)*NORMINV(RAND(),0,1))</f>
        <v>116.39529066022934</v>
      </c>
      <c r="L510">
        <f t="shared" ca="1" si="537"/>
        <v>120.11931766596601</v>
      </c>
      <c r="M510">
        <f t="shared" ca="1" si="537"/>
        <v>113.15993165612475</v>
      </c>
      <c r="N510">
        <f t="shared" ca="1" si="537"/>
        <v>112.6034772363049</v>
      </c>
      <c r="O510">
        <f t="shared" ca="1" si="537"/>
        <v>105.63846154524485</v>
      </c>
      <c r="P510">
        <f t="shared" ca="1" si="537"/>
        <v>111.91223944399427</v>
      </c>
      <c r="Q510">
        <f t="shared" ca="1" si="480"/>
        <v>111.5807570485715</v>
      </c>
      <c r="R510">
        <f t="shared" ca="1" si="481"/>
        <v>11.580757048571499</v>
      </c>
      <c r="S510">
        <f t="shared" ca="1" si="482"/>
        <v>11.015956862595255</v>
      </c>
    </row>
    <row r="511" spans="5:19" x14ac:dyDescent="0.75">
      <c r="E511">
        <v>506</v>
      </c>
      <c r="F511">
        <v>100</v>
      </c>
      <c r="G511">
        <f t="shared" ca="1" si="478"/>
        <v>112.59218929145092</v>
      </c>
      <c r="H511">
        <f t="shared" ca="1" si="478"/>
        <v>104.64033479351501</v>
      </c>
      <c r="I511">
        <f t="shared" ca="1" si="478"/>
        <v>95.513794113933031</v>
      </c>
      <c r="J511">
        <f t="shared" ca="1" si="478"/>
        <v>87.141523154485128</v>
      </c>
      <c r="K511">
        <f t="shared" ref="K511:P511" ca="1" si="538">J511*EXP(($C$4-0.5*$C$5^2)*$C$10+$C$5*SQRT($C$10)*NORMINV(RAND(),0,1))</f>
        <v>83.501704426150795</v>
      </c>
      <c r="L511">
        <f t="shared" ca="1" si="538"/>
        <v>83.116083308940659</v>
      </c>
      <c r="M511">
        <f t="shared" ca="1" si="538"/>
        <v>83.257027226993245</v>
      </c>
      <c r="N511">
        <f t="shared" ca="1" si="538"/>
        <v>79.011529963630537</v>
      </c>
      <c r="O511">
        <f t="shared" ca="1" si="538"/>
        <v>76.19927826725322</v>
      </c>
      <c r="P511">
        <f t="shared" ca="1" si="538"/>
        <v>73.530916491103397</v>
      </c>
      <c r="Q511">
        <f t="shared" ca="1" si="480"/>
        <v>88.954943730677826</v>
      </c>
      <c r="R511">
        <f t="shared" ca="1" si="481"/>
        <v>0</v>
      </c>
      <c r="S511">
        <f t="shared" ca="1" si="482"/>
        <v>0</v>
      </c>
    </row>
    <row r="512" spans="5:19" x14ac:dyDescent="0.75">
      <c r="E512">
        <v>507</v>
      </c>
      <c r="F512">
        <v>100</v>
      </c>
      <c r="G512">
        <f t="shared" ca="1" si="478"/>
        <v>92.717356433210838</v>
      </c>
      <c r="H512">
        <f t="shared" ca="1" si="478"/>
        <v>100.99443684121647</v>
      </c>
      <c r="I512">
        <f t="shared" ca="1" si="478"/>
        <v>97.957546032347011</v>
      </c>
      <c r="J512">
        <f t="shared" ca="1" si="478"/>
        <v>105.01486822701064</v>
      </c>
      <c r="K512">
        <f t="shared" ref="K512:P512" ca="1" si="539">J512*EXP(($C$4-0.5*$C$5^2)*$C$10+$C$5*SQRT($C$10)*NORMINV(RAND(),0,1))</f>
        <v>111.88610009326116</v>
      </c>
      <c r="L512">
        <f t="shared" ca="1" si="539"/>
        <v>106.09721501278028</v>
      </c>
      <c r="M512">
        <f t="shared" ca="1" si="539"/>
        <v>104.81187670192342</v>
      </c>
      <c r="N512">
        <f t="shared" ca="1" si="539"/>
        <v>104.05746552771146</v>
      </c>
      <c r="O512">
        <f t="shared" ca="1" si="539"/>
        <v>96.787101111493769</v>
      </c>
      <c r="P512">
        <f t="shared" ca="1" si="539"/>
        <v>101.41212134661914</v>
      </c>
      <c r="Q512">
        <f t="shared" ca="1" si="480"/>
        <v>101.9760079388704</v>
      </c>
      <c r="R512">
        <f t="shared" ca="1" si="481"/>
        <v>1.9760079388703957</v>
      </c>
      <c r="S512">
        <f t="shared" ca="1" si="482"/>
        <v>1.8796368945005286</v>
      </c>
    </row>
    <row r="513" spans="5:19" x14ac:dyDescent="0.75">
      <c r="E513">
        <v>508</v>
      </c>
      <c r="F513">
        <v>100</v>
      </c>
      <c r="G513">
        <f t="shared" ca="1" si="478"/>
        <v>107.73465544222263</v>
      </c>
      <c r="H513">
        <f t="shared" ca="1" si="478"/>
        <v>105.20458115035518</v>
      </c>
      <c r="I513">
        <f t="shared" ca="1" si="478"/>
        <v>114.18843452163887</v>
      </c>
      <c r="J513">
        <f t="shared" ca="1" si="478"/>
        <v>121.17075333519047</v>
      </c>
      <c r="K513">
        <f t="shared" ref="K513:P513" ca="1" si="540">J513*EXP(($C$4-0.5*$C$5^2)*$C$10+$C$5*SQRT($C$10)*NORMINV(RAND(),0,1))</f>
        <v>117.93977790514293</v>
      </c>
      <c r="L513">
        <f t="shared" ca="1" si="540"/>
        <v>127.00365379844234</v>
      </c>
      <c r="M513">
        <f t="shared" ca="1" si="540"/>
        <v>127.75908975522458</v>
      </c>
      <c r="N513">
        <f t="shared" ca="1" si="540"/>
        <v>121.64419698149669</v>
      </c>
      <c r="O513">
        <f t="shared" ca="1" si="540"/>
        <v>112.86296477582667</v>
      </c>
      <c r="P513">
        <f t="shared" ca="1" si="540"/>
        <v>121.56032969253124</v>
      </c>
      <c r="Q513">
        <f t="shared" ca="1" si="480"/>
        <v>116.0971306689156</v>
      </c>
      <c r="R513">
        <f t="shared" ca="1" si="481"/>
        <v>16.097130668915597</v>
      </c>
      <c r="S513">
        <f t="shared" ca="1" si="482"/>
        <v>15.312064342305376</v>
      </c>
    </row>
    <row r="514" spans="5:19" x14ac:dyDescent="0.75">
      <c r="E514">
        <v>509</v>
      </c>
      <c r="F514">
        <v>100</v>
      </c>
      <c r="G514">
        <f t="shared" ca="1" si="478"/>
        <v>98.778011061109964</v>
      </c>
      <c r="H514">
        <f t="shared" ca="1" si="478"/>
        <v>118.83718111017211</v>
      </c>
      <c r="I514">
        <f t="shared" ca="1" si="478"/>
        <v>123.80104211151725</v>
      </c>
      <c r="J514">
        <f t="shared" ca="1" si="478"/>
        <v>127.14723251426429</v>
      </c>
      <c r="K514">
        <f t="shared" ref="K514:P514" ca="1" si="541">J514*EXP(($C$4-0.5*$C$5^2)*$C$10+$C$5*SQRT($C$10)*NORMINV(RAND(),0,1))</f>
        <v>123.89082042341012</v>
      </c>
      <c r="L514">
        <f t="shared" ca="1" si="541"/>
        <v>140.52538158274109</v>
      </c>
      <c r="M514">
        <f t="shared" ca="1" si="541"/>
        <v>126.20465000858341</v>
      </c>
      <c r="N514">
        <f t="shared" ca="1" si="541"/>
        <v>127.73279441378901</v>
      </c>
      <c r="O514">
        <f t="shared" ca="1" si="541"/>
        <v>129.00142628892502</v>
      </c>
      <c r="P514">
        <f t="shared" ca="1" si="541"/>
        <v>122.24244425616038</v>
      </c>
      <c r="Q514">
        <f t="shared" ca="1" si="480"/>
        <v>121.65099852460661</v>
      </c>
      <c r="R514">
        <f t="shared" ca="1" si="481"/>
        <v>21.650998524606607</v>
      </c>
      <c r="S514">
        <f t="shared" ca="1" si="482"/>
        <v>20.595066866427352</v>
      </c>
    </row>
    <row r="515" spans="5:19" x14ac:dyDescent="0.75">
      <c r="E515">
        <v>510</v>
      </c>
      <c r="F515">
        <v>100</v>
      </c>
      <c r="G515">
        <f t="shared" ca="1" si="478"/>
        <v>92.03163497897188</v>
      </c>
      <c r="H515">
        <f t="shared" ca="1" si="478"/>
        <v>99.539087503924051</v>
      </c>
      <c r="I515">
        <f t="shared" ca="1" si="478"/>
        <v>98.22344873989347</v>
      </c>
      <c r="J515">
        <f t="shared" ca="1" si="478"/>
        <v>106.08813625974641</v>
      </c>
      <c r="K515">
        <f t="shared" ref="K515:P515" ca="1" si="542">J515*EXP(($C$4-0.5*$C$5^2)*$C$10+$C$5*SQRT($C$10)*NORMINV(RAND(),0,1))</f>
        <v>105.14081265465313</v>
      </c>
      <c r="L515">
        <f t="shared" ca="1" si="542"/>
        <v>104.63294065774126</v>
      </c>
      <c r="M515">
        <f t="shared" ca="1" si="542"/>
        <v>110.70389034709208</v>
      </c>
      <c r="N515">
        <f t="shared" ca="1" si="542"/>
        <v>112.80759599011033</v>
      </c>
      <c r="O515">
        <f t="shared" ca="1" si="542"/>
        <v>108.25068885998535</v>
      </c>
      <c r="P515">
        <f t="shared" ca="1" si="542"/>
        <v>113.78569458987555</v>
      </c>
      <c r="Q515">
        <f t="shared" ca="1" si="480"/>
        <v>104.65490278018123</v>
      </c>
      <c r="R515">
        <f t="shared" ca="1" si="481"/>
        <v>4.6549027801812315</v>
      </c>
      <c r="S515">
        <f t="shared" ca="1" si="482"/>
        <v>4.4278804926985664</v>
      </c>
    </row>
    <row r="516" spans="5:19" x14ac:dyDescent="0.75">
      <c r="E516">
        <v>511</v>
      </c>
      <c r="F516">
        <v>100</v>
      </c>
      <c r="G516">
        <f t="shared" ca="1" si="478"/>
        <v>99.538933266843344</v>
      </c>
      <c r="H516">
        <f t="shared" ca="1" si="478"/>
        <v>98.696738287711227</v>
      </c>
      <c r="I516">
        <f t="shared" ca="1" si="478"/>
        <v>93.03086924762286</v>
      </c>
      <c r="J516">
        <f t="shared" ca="1" si="478"/>
        <v>96.472296189136557</v>
      </c>
      <c r="K516">
        <f t="shared" ref="K516:P516" ca="1" si="543">J516*EXP(($C$4-0.5*$C$5^2)*$C$10+$C$5*SQRT($C$10)*NORMINV(RAND(),0,1))</f>
        <v>91.470128520131126</v>
      </c>
      <c r="L516">
        <f t="shared" ca="1" si="543"/>
        <v>89.581856111747101</v>
      </c>
      <c r="M516">
        <f t="shared" ca="1" si="543"/>
        <v>88.23746854181509</v>
      </c>
      <c r="N516">
        <f t="shared" ca="1" si="543"/>
        <v>76.842004796733093</v>
      </c>
      <c r="O516">
        <f t="shared" ca="1" si="543"/>
        <v>76.567003192509816</v>
      </c>
      <c r="P516">
        <f t="shared" ca="1" si="543"/>
        <v>82.607281963818124</v>
      </c>
      <c r="Q516">
        <f t="shared" ca="1" si="480"/>
        <v>90.276780010733489</v>
      </c>
      <c r="R516">
        <f t="shared" ca="1" si="481"/>
        <v>0</v>
      </c>
      <c r="S516">
        <f t="shared" ca="1" si="482"/>
        <v>0</v>
      </c>
    </row>
    <row r="517" spans="5:19" x14ac:dyDescent="0.75">
      <c r="E517">
        <v>512</v>
      </c>
      <c r="F517">
        <v>100</v>
      </c>
      <c r="G517">
        <f t="shared" ca="1" si="478"/>
        <v>97.292959043917847</v>
      </c>
      <c r="H517">
        <f t="shared" ca="1" si="478"/>
        <v>88.205910416039643</v>
      </c>
      <c r="I517">
        <f t="shared" ca="1" si="478"/>
        <v>88.455133726649308</v>
      </c>
      <c r="J517">
        <f t="shared" ca="1" si="478"/>
        <v>85.416437315807286</v>
      </c>
      <c r="K517">
        <f t="shared" ref="K517:P517" ca="1" si="544">J517*EXP(($C$4-0.5*$C$5^2)*$C$10+$C$5*SQRT($C$10)*NORMINV(RAND(),0,1))</f>
        <v>80.643951469469357</v>
      </c>
      <c r="L517">
        <f t="shared" ca="1" si="544"/>
        <v>82.871084522031637</v>
      </c>
      <c r="M517">
        <f t="shared" ca="1" si="544"/>
        <v>74.548228457716547</v>
      </c>
      <c r="N517">
        <f t="shared" ca="1" si="544"/>
        <v>73.268710724323256</v>
      </c>
      <c r="O517">
        <f t="shared" ca="1" si="544"/>
        <v>74.40391471361454</v>
      </c>
      <c r="P517">
        <f t="shared" ca="1" si="544"/>
        <v>71.105086568509023</v>
      </c>
      <c r="Q517">
        <f t="shared" ca="1" si="480"/>
        <v>83.29194699618894</v>
      </c>
      <c r="R517">
        <f t="shared" ca="1" si="481"/>
        <v>0</v>
      </c>
      <c r="S517">
        <f t="shared" ca="1" si="482"/>
        <v>0</v>
      </c>
    </row>
    <row r="518" spans="5:19" x14ac:dyDescent="0.75">
      <c r="E518">
        <v>513</v>
      </c>
      <c r="F518">
        <v>100</v>
      </c>
      <c r="G518">
        <f t="shared" ca="1" si="478"/>
        <v>105.03983798512317</v>
      </c>
      <c r="H518">
        <f t="shared" ca="1" si="478"/>
        <v>113.99198397111981</v>
      </c>
      <c r="I518">
        <f t="shared" ca="1" si="478"/>
        <v>104.45799260283327</v>
      </c>
      <c r="J518">
        <f t="shared" ref="J518:P518" ca="1" si="545">I518*EXP(($C$4-0.5*$C$5^2)*$C$10+$C$5*SQRT($C$10)*NORMINV(RAND(),0,1))</f>
        <v>114.55907773720031</v>
      </c>
      <c r="K518">
        <f t="shared" ca="1" si="545"/>
        <v>121.41522134796607</v>
      </c>
      <c r="L518">
        <f t="shared" ca="1" si="545"/>
        <v>110.83937510879245</v>
      </c>
      <c r="M518">
        <f t="shared" ca="1" si="545"/>
        <v>123.19685494953222</v>
      </c>
      <c r="N518">
        <f t="shared" ca="1" si="545"/>
        <v>132.4887445888132</v>
      </c>
      <c r="O518">
        <f t="shared" ca="1" si="545"/>
        <v>143.58125424989888</v>
      </c>
      <c r="P518">
        <f t="shared" ca="1" si="545"/>
        <v>153.6919218928474</v>
      </c>
      <c r="Q518">
        <f t="shared" ca="1" si="480"/>
        <v>120.29656949401152</v>
      </c>
      <c r="R518">
        <f t="shared" ca="1" si="481"/>
        <v>20.296569494011521</v>
      </c>
      <c r="S518">
        <f t="shared" ca="1" si="482"/>
        <v>19.306694119127329</v>
      </c>
    </row>
    <row r="519" spans="5:19" x14ac:dyDescent="0.75">
      <c r="E519">
        <v>514</v>
      </c>
      <c r="F519">
        <v>100</v>
      </c>
      <c r="G519">
        <f t="shared" ref="G519:J582" ca="1" si="546">F519*EXP(($C$4-0.5*$C$5^2)*$C$10+$C$5*SQRT($C$10)*NORMINV(RAND(),0,1))</f>
        <v>89.58169357058361</v>
      </c>
      <c r="H519">
        <f t="shared" ca="1" si="546"/>
        <v>95.573480823503743</v>
      </c>
      <c r="I519">
        <f t="shared" ca="1" si="546"/>
        <v>93.414190065203982</v>
      </c>
      <c r="J519">
        <f t="shared" ca="1" si="546"/>
        <v>107.37571317668633</v>
      </c>
      <c r="K519">
        <f t="shared" ref="K519:P519" ca="1" si="547">J519*EXP(($C$4-0.5*$C$5^2)*$C$10+$C$5*SQRT($C$10)*NORMINV(RAND(),0,1))</f>
        <v>102.04056479371246</v>
      </c>
      <c r="L519">
        <f t="shared" ca="1" si="547"/>
        <v>115.89489150323074</v>
      </c>
      <c r="M519">
        <f t="shared" ca="1" si="547"/>
        <v>113.46618436843592</v>
      </c>
      <c r="N519">
        <f t="shared" ca="1" si="547"/>
        <v>122.65594338694612</v>
      </c>
      <c r="O519">
        <f t="shared" ca="1" si="547"/>
        <v>120.57244348927507</v>
      </c>
      <c r="P519">
        <f t="shared" ca="1" si="547"/>
        <v>116.42977112413415</v>
      </c>
      <c r="Q519">
        <f t="shared" ref="Q519:Q582" ca="1" si="548">AVERAGE(F519:P519)</f>
        <v>107.00044330015565</v>
      </c>
      <c r="R519">
        <f t="shared" ref="R519:R582" ca="1" si="549">MAX(Q519-$C$7,0)</f>
        <v>7.0004433001556521</v>
      </c>
      <c r="S519">
        <f t="shared" ref="S519:S582" ca="1" si="550">EXP(-$C$4*$C$6)*R519</f>
        <v>6.65902765165694</v>
      </c>
    </row>
    <row r="520" spans="5:19" x14ac:dyDescent="0.75">
      <c r="E520">
        <v>515</v>
      </c>
      <c r="F520">
        <v>100</v>
      </c>
      <c r="G520">
        <f t="shared" ca="1" si="546"/>
        <v>100.93615280214713</v>
      </c>
      <c r="H520">
        <f t="shared" ca="1" si="546"/>
        <v>112.41538147488689</v>
      </c>
      <c r="I520">
        <f t="shared" ca="1" si="546"/>
        <v>115.83889955556991</v>
      </c>
      <c r="J520">
        <f t="shared" ca="1" si="546"/>
        <v>114.1139575523312</v>
      </c>
      <c r="K520">
        <f t="shared" ref="K520:P520" ca="1" si="551">J520*EXP(($C$4-0.5*$C$5^2)*$C$10+$C$5*SQRT($C$10)*NORMINV(RAND(),0,1))</f>
        <v>116.15258623371375</v>
      </c>
      <c r="L520">
        <f t="shared" ca="1" si="551"/>
        <v>121.85929930160709</v>
      </c>
      <c r="M520">
        <f t="shared" ca="1" si="551"/>
        <v>104.99818055167609</v>
      </c>
      <c r="N520">
        <f t="shared" ca="1" si="551"/>
        <v>100.43623109395452</v>
      </c>
      <c r="O520">
        <f t="shared" ca="1" si="551"/>
        <v>99.715049790930252</v>
      </c>
      <c r="P520">
        <f t="shared" ca="1" si="551"/>
        <v>99.623309176472375</v>
      </c>
      <c r="Q520">
        <f t="shared" ca="1" si="548"/>
        <v>107.82627704848082</v>
      </c>
      <c r="R520">
        <f t="shared" ca="1" si="549"/>
        <v>7.8262770484808186</v>
      </c>
      <c r="S520">
        <f t="shared" ca="1" si="550"/>
        <v>7.4445850128095561</v>
      </c>
    </row>
    <row r="521" spans="5:19" x14ac:dyDescent="0.75">
      <c r="E521">
        <v>516</v>
      </c>
      <c r="F521">
        <v>100</v>
      </c>
      <c r="G521">
        <f t="shared" ca="1" si="546"/>
        <v>105.74195963813158</v>
      </c>
      <c r="H521">
        <f t="shared" ca="1" si="546"/>
        <v>113.09340838936549</v>
      </c>
      <c r="I521">
        <f t="shared" ca="1" si="546"/>
        <v>107.67151316366812</v>
      </c>
      <c r="J521">
        <f t="shared" ca="1" si="546"/>
        <v>112.01809753880666</v>
      </c>
      <c r="K521">
        <f t="shared" ref="K521:P521" ca="1" si="552">J521*EXP(($C$4-0.5*$C$5^2)*$C$10+$C$5*SQRT($C$10)*NORMINV(RAND(),0,1))</f>
        <v>122.81136868998659</v>
      </c>
      <c r="L521">
        <f t="shared" ca="1" si="552"/>
        <v>117.84296667003989</v>
      </c>
      <c r="M521">
        <f t="shared" ca="1" si="552"/>
        <v>123.87974627850973</v>
      </c>
      <c r="N521">
        <f t="shared" ca="1" si="552"/>
        <v>120.27121425381208</v>
      </c>
      <c r="O521">
        <f t="shared" ca="1" si="552"/>
        <v>117.54645702918577</v>
      </c>
      <c r="P521">
        <f t="shared" ca="1" si="552"/>
        <v>121.13834342010901</v>
      </c>
      <c r="Q521">
        <f t="shared" ca="1" si="548"/>
        <v>114.72864318832863</v>
      </c>
      <c r="R521">
        <f t="shared" ca="1" si="549"/>
        <v>14.728643188328633</v>
      </c>
      <c r="S521">
        <f t="shared" ca="1" si="550"/>
        <v>14.010318783710208</v>
      </c>
    </row>
    <row r="522" spans="5:19" x14ac:dyDescent="0.75">
      <c r="E522">
        <v>517</v>
      </c>
      <c r="F522">
        <v>100</v>
      </c>
      <c r="G522">
        <f t="shared" ca="1" si="546"/>
        <v>105.84478288918386</v>
      </c>
      <c r="H522">
        <f t="shared" ca="1" si="546"/>
        <v>117.54847469168638</v>
      </c>
      <c r="I522">
        <f t="shared" ca="1" si="546"/>
        <v>126.45548108786667</v>
      </c>
      <c r="J522">
        <f t="shared" ca="1" si="546"/>
        <v>119.0950832572415</v>
      </c>
      <c r="K522">
        <f t="shared" ref="K522:P522" ca="1" si="553">J522*EXP(($C$4-0.5*$C$5^2)*$C$10+$C$5*SQRT($C$10)*NORMINV(RAND(),0,1))</f>
        <v>129.70653197851775</v>
      </c>
      <c r="L522">
        <f t="shared" ca="1" si="553"/>
        <v>140.68772789625547</v>
      </c>
      <c r="M522">
        <f t="shared" ca="1" si="553"/>
        <v>135.39730313201792</v>
      </c>
      <c r="N522">
        <f t="shared" ca="1" si="553"/>
        <v>148.2351300973643</v>
      </c>
      <c r="O522">
        <f t="shared" ca="1" si="553"/>
        <v>146.36964614888132</v>
      </c>
      <c r="P522">
        <f t="shared" ca="1" si="553"/>
        <v>154.37720993726978</v>
      </c>
      <c r="Q522">
        <f t="shared" ca="1" si="548"/>
        <v>129.42885191966229</v>
      </c>
      <c r="R522">
        <f t="shared" ca="1" si="549"/>
        <v>29.428851919662293</v>
      </c>
      <c r="S522">
        <f t="shared" ca="1" si="550"/>
        <v>27.993589875257097</v>
      </c>
    </row>
    <row r="523" spans="5:19" x14ac:dyDescent="0.75">
      <c r="E523">
        <v>518</v>
      </c>
      <c r="F523">
        <v>100</v>
      </c>
      <c r="G523">
        <f t="shared" ca="1" si="546"/>
        <v>101.65197227070617</v>
      </c>
      <c r="H523">
        <f t="shared" ca="1" si="546"/>
        <v>86.519062670181583</v>
      </c>
      <c r="I523">
        <f t="shared" ca="1" si="546"/>
        <v>88.691260327598357</v>
      </c>
      <c r="J523">
        <f t="shared" ca="1" si="546"/>
        <v>88.135446606596886</v>
      </c>
      <c r="K523">
        <f t="shared" ref="K523:P523" ca="1" si="554">J523*EXP(($C$4-0.5*$C$5^2)*$C$10+$C$5*SQRT($C$10)*NORMINV(RAND(),0,1))</f>
        <v>98.385211368641251</v>
      </c>
      <c r="L523">
        <f t="shared" ca="1" si="554"/>
        <v>105.04604494718929</v>
      </c>
      <c r="M523">
        <f t="shared" ca="1" si="554"/>
        <v>99.320170847973941</v>
      </c>
      <c r="N523">
        <f t="shared" ca="1" si="554"/>
        <v>101.56026396400253</v>
      </c>
      <c r="O523">
        <f t="shared" ca="1" si="554"/>
        <v>92.043353390800888</v>
      </c>
      <c r="P523">
        <f t="shared" ca="1" si="554"/>
        <v>100.87767117217875</v>
      </c>
      <c r="Q523">
        <f t="shared" ca="1" si="548"/>
        <v>96.566405233260866</v>
      </c>
      <c r="R523">
        <f t="shared" ca="1" si="549"/>
        <v>0</v>
      </c>
      <c r="S523">
        <f t="shared" ca="1" si="550"/>
        <v>0</v>
      </c>
    </row>
    <row r="524" spans="5:19" x14ac:dyDescent="0.75">
      <c r="E524">
        <v>519</v>
      </c>
      <c r="F524">
        <v>100</v>
      </c>
      <c r="G524">
        <f t="shared" ca="1" si="546"/>
        <v>106.89606137537899</v>
      </c>
      <c r="H524">
        <f t="shared" ca="1" si="546"/>
        <v>112.99565335515872</v>
      </c>
      <c r="I524">
        <f t="shared" ca="1" si="546"/>
        <v>104.34639200630575</v>
      </c>
      <c r="J524">
        <f t="shared" ca="1" si="546"/>
        <v>116.8391024730186</v>
      </c>
      <c r="K524">
        <f t="shared" ref="K524:P524" ca="1" si="555">J524*EXP(($C$4-0.5*$C$5^2)*$C$10+$C$5*SQRT($C$10)*NORMINV(RAND(),0,1))</f>
        <v>130.68035245999954</v>
      </c>
      <c r="L524">
        <f t="shared" ca="1" si="555"/>
        <v>125.56475619507943</v>
      </c>
      <c r="M524">
        <f t="shared" ca="1" si="555"/>
        <v>135.50456389416473</v>
      </c>
      <c r="N524">
        <f t="shared" ca="1" si="555"/>
        <v>137.29876899734785</v>
      </c>
      <c r="O524">
        <f t="shared" ca="1" si="555"/>
        <v>128.51864983288283</v>
      </c>
      <c r="P524">
        <f t="shared" ca="1" si="555"/>
        <v>133.66283493669732</v>
      </c>
      <c r="Q524">
        <f t="shared" ca="1" si="548"/>
        <v>121.11883050236673</v>
      </c>
      <c r="R524">
        <f t="shared" ca="1" si="549"/>
        <v>21.118830502366734</v>
      </c>
      <c r="S524">
        <f t="shared" ca="1" si="550"/>
        <v>20.088852984894434</v>
      </c>
    </row>
    <row r="525" spans="5:19" x14ac:dyDescent="0.75">
      <c r="E525">
        <v>520</v>
      </c>
      <c r="F525">
        <v>100</v>
      </c>
      <c r="G525">
        <f t="shared" ca="1" si="546"/>
        <v>92.83839509197125</v>
      </c>
      <c r="H525">
        <f t="shared" ca="1" si="546"/>
        <v>90.811025753382467</v>
      </c>
      <c r="I525">
        <f t="shared" ca="1" si="546"/>
        <v>90.646050922479546</v>
      </c>
      <c r="J525">
        <f t="shared" ca="1" si="546"/>
        <v>88.636940683248056</v>
      </c>
      <c r="K525">
        <f t="shared" ref="K525:P525" ca="1" si="556">J525*EXP(($C$4-0.5*$C$5^2)*$C$10+$C$5*SQRT($C$10)*NORMINV(RAND(),0,1))</f>
        <v>81.545918907820976</v>
      </c>
      <c r="L525">
        <f t="shared" ca="1" si="556"/>
        <v>79.27341143952394</v>
      </c>
      <c r="M525">
        <f t="shared" ca="1" si="556"/>
        <v>81.493548477594814</v>
      </c>
      <c r="N525">
        <f t="shared" ca="1" si="556"/>
        <v>88.666717504596178</v>
      </c>
      <c r="O525">
        <f t="shared" ca="1" si="556"/>
        <v>87.440835833861826</v>
      </c>
      <c r="P525">
        <f t="shared" ca="1" si="556"/>
        <v>85.535200540013577</v>
      </c>
      <c r="Q525">
        <f t="shared" ca="1" si="548"/>
        <v>87.89891319586296</v>
      </c>
      <c r="R525">
        <f t="shared" ca="1" si="549"/>
        <v>0</v>
      </c>
      <c r="S525">
        <f t="shared" ca="1" si="550"/>
        <v>0</v>
      </c>
    </row>
    <row r="526" spans="5:19" x14ac:dyDescent="0.75">
      <c r="E526">
        <v>521</v>
      </c>
      <c r="F526">
        <v>100</v>
      </c>
      <c r="G526">
        <f t="shared" ca="1" si="546"/>
        <v>103.15638006140489</v>
      </c>
      <c r="H526">
        <f t="shared" ca="1" si="546"/>
        <v>109.15654450717864</v>
      </c>
      <c r="I526">
        <f t="shared" ca="1" si="546"/>
        <v>108.07458292575217</v>
      </c>
      <c r="J526">
        <f t="shared" ca="1" si="546"/>
        <v>114.32168528312195</v>
      </c>
      <c r="K526">
        <f t="shared" ref="K526:P526" ca="1" si="557">J526*EXP(($C$4-0.5*$C$5^2)*$C$10+$C$5*SQRT($C$10)*NORMINV(RAND(),0,1))</f>
        <v>115.12671107546953</v>
      </c>
      <c r="L526">
        <f t="shared" ca="1" si="557"/>
        <v>129.90095094410444</v>
      </c>
      <c r="M526">
        <f t="shared" ca="1" si="557"/>
        <v>142.86435177932094</v>
      </c>
      <c r="N526">
        <f t="shared" ca="1" si="557"/>
        <v>141.90662330013021</v>
      </c>
      <c r="O526">
        <f t="shared" ca="1" si="557"/>
        <v>138.0978760363418</v>
      </c>
      <c r="P526">
        <f t="shared" ca="1" si="557"/>
        <v>132.1927481489173</v>
      </c>
      <c r="Q526">
        <f t="shared" ca="1" si="548"/>
        <v>121.34531400561292</v>
      </c>
      <c r="R526">
        <f t="shared" ca="1" si="549"/>
        <v>21.34531400561292</v>
      </c>
      <c r="S526">
        <f t="shared" ca="1" si="550"/>
        <v>20.304290757346209</v>
      </c>
    </row>
    <row r="527" spans="5:19" x14ac:dyDescent="0.75">
      <c r="E527">
        <v>522</v>
      </c>
      <c r="F527">
        <v>100</v>
      </c>
      <c r="G527">
        <f t="shared" ca="1" si="546"/>
        <v>98.004223691422283</v>
      </c>
      <c r="H527">
        <f t="shared" ca="1" si="546"/>
        <v>111.48368397093856</v>
      </c>
      <c r="I527">
        <f t="shared" ca="1" si="546"/>
        <v>104.71375328360406</v>
      </c>
      <c r="J527">
        <f t="shared" ca="1" si="546"/>
        <v>100.17306032758346</v>
      </c>
      <c r="K527">
        <f t="shared" ref="K527:P527" ca="1" si="558">J527*EXP(($C$4-0.5*$C$5^2)*$C$10+$C$5*SQRT($C$10)*NORMINV(RAND(),0,1))</f>
        <v>107.43843388035405</v>
      </c>
      <c r="L527">
        <f t="shared" ca="1" si="558"/>
        <v>120.84376137287099</v>
      </c>
      <c r="M527">
        <f t="shared" ca="1" si="558"/>
        <v>106.9407689840757</v>
      </c>
      <c r="N527">
        <f t="shared" ca="1" si="558"/>
        <v>93.872703841296499</v>
      </c>
      <c r="O527">
        <f t="shared" ca="1" si="558"/>
        <v>95.676549314842106</v>
      </c>
      <c r="P527">
        <f t="shared" ca="1" si="558"/>
        <v>95.603893239356097</v>
      </c>
      <c r="Q527">
        <f t="shared" ca="1" si="548"/>
        <v>103.15916653694035</v>
      </c>
      <c r="R527">
        <f t="shared" ca="1" si="549"/>
        <v>3.1591665369403472</v>
      </c>
      <c r="S527">
        <f t="shared" ca="1" si="550"/>
        <v>3.0050921668356803</v>
      </c>
    </row>
    <row r="528" spans="5:19" x14ac:dyDescent="0.75">
      <c r="E528">
        <v>523</v>
      </c>
      <c r="F528">
        <v>100</v>
      </c>
      <c r="G528">
        <f t="shared" ca="1" si="546"/>
        <v>84.190650766385971</v>
      </c>
      <c r="H528">
        <f t="shared" ca="1" si="546"/>
        <v>82.299059183407536</v>
      </c>
      <c r="I528">
        <f t="shared" ca="1" si="546"/>
        <v>85.436319541399328</v>
      </c>
      <c r="J528">
        <f t="shared" ca="1" si="546"/>
        <v>86.403543959229907</v>
      </c>
      <c r="K528">
        <f t="shared" ref="K528:P528" ca="1" si="559">J528*EXP(($C$4-0.5*$C$5^2)*$C$10+$C$5*SQRT($C$10)*NORMINV(RAND(),0,1))</f>
        <v>79.521890900672688</v>
      </c>
      <c r="L528">
        <f t="shared" ca="1" si="559"/>
        <v>88.057738113644746</v>
      </c>
      <c r="M528">
        <f t="shared" ca="1" si="559"/>
        <v>93.582889512235738</v>
      </c>
      <c r="N528">
        <f t="shared" ca="1" si="559"/>
        <v>85.401986427947378</v>
      </c>
      <c r="O528">
        <f t="shared" ca="1" si="559"/>
        <v>84.227632011177988</v>
      </c>
      <c r="P528">
        <f t="shared" ca="1" si="559"/>
        <v>81.999094468361307</v>
      </c>
      <c r="Q528">
        <f t="shared" ca="1" si="548"/>
        <v>86.46552771676933</v>
      </c>
      <c r="R528">
        <f t="shared" ca="1" si="549"/>
        <v>0</v>
      </c>
      <c r="S528">
        <f t="shared" ca="1" si="550"/>
        <v>0</v>
      </c>
    </row>
    <row r="529" spans="5:19" x14ac:dyDescent="0.75">
      <c r="E529">
        <v>524</v>
      </c>
      <c r="F529">
        <v>100</v>
      </c>
      <c r="G529">
        <f t="shared" ca="1" si="546"/>
        <v>91.131966483745259</v>
      </c>
      <c r="H529">
        <f t="shared" ca="1" si="546"/>
        <v>95.037134867646174</v>
      </c>
      <c r="I529">
        <f t="shared" ca="1" si="546"/>
        <v>94.208005176531316</v>
      </c>
      <c r="J529">
        <f t="shared" ca="1" si="546"/>
        <v>97.612027207268355</v>
      </c>
      <c r="K529">
        <f t="shared" ref="K529:P529" ca="1" si="560">J529*EXP(($C$4-0.5*$C$5^2)*$C$10+$C$5*SQRT($C$10)*NORMINV(RAND(),0,1))</f>
        <v>99.081492807999894</v>
      </c>
      <c r="L529">
        <f t="shared" ca="1" si="560"/>
        <v>110.12431697183067</v>
      </c>
      <c r="M529">
        <f t="shared" ca="1" si="560"/>
        <v>117.42117946178325</v>
      </c>
      <c r="N529">
        <f t="shared" ca="1" si="560"/>
        <v>119.95875784717548</v>
      </c>
      <c r="O529">
        <f t="shared" ca="1" si="560"/>
        <v>122.93302927022255</v>
      </c>
      <c r="P529">
        <f t="shared" ca="1" si="560"/>
        <v>117.43565667018481</v>
      </c>
      <c r="Q529">
        <f t="shared" ca="1" si="548"/>
        <v>105.90396061494431</v>
      </c>
      <c r="R529">
        <f t="shared" ca="1" si="549"/>
        <v>5.9039606149443102</v>
      </c>
      <c r="S529">
        <f t="shared" ca="1" si="550"/>
        <v>5.616021058028358</v>
      </c>
    </row>
    <row r="530" spans="5:19" x14ac:dyDescent="0.75">
      <c r="E530">
        <v>525</v>
      </c>
      <c r="F530">
        <v>100</v>
      </c>
      <c r="G530">
        <f t="shared" ca="1" si="546"/>
        <v>93.294392537721265</v>
      </c>
      <c r="H530">
        <f t="shared" ca="1" si="546"/>
        <v>89.657280372865984</v>
      </c>
      <c r="I530">
        <f t="shared" ca="1" si="546"/>
        <v>85.407444663984208</v>
      </c>
      <c r="J530">
        <f t="shared" ca="1" si="546"/>
        <v>93.151419704749628</v>
      </c>
      <c r="K530">
        <f t="shared" ref="K530:P530" ca="1" si="561">J530*EXP(($C$4-0.5*$C$5^2)*$C$10+$C$5*SQRT($C$10)*NORMINV(RAND(),0,1))</f>
        <v>84.627600616287523</v>
      </c>
      <c r="L530">
        <f t="shared" ca="1" si="561"/>
        <v>88.295071189382028</v>
      </c>
      <c r="M530">
        <f t="shared" ca="1" si="561"/>
        <v>83.573820449378317</v>
      </c>
      <c r="N530">
        <f t="shared" ca="1" si="561"/>
        <v>86.573330878530925</v>
      </c>
      <c r="O530">
        <f t="shared" ca="1" si="561"/>
        <v>84.120437802677927</v>
      </c>
      <c r="P530">
        <f t="shared" ca="1" si="561"/>
        <v>92.315691336466131</v>
      </c>
      <c r="Q530">
        <f t="shared" ca="1" si="548"/>
        <v>89.183317232004001</v>
      </c>
      <c r="R530">
        <f t="shared" ca="1" si="549"/>
        <v>0</v>
      </c>
      <c r="S530">
        <f t="shared" ca="1" si="550"/>
        <v>0</v>
      </c>
    </row>
    <row r="531" spans="5:19" x14ac:dyDescent="0.75">
      <c r="E531">
        <v>526</v>
      </c>
      <c r="F531">
        <v>100</v>
      </c>
      <c r="G531">
        <f t="shared" ca="1" si="546"/>
        <v>101.23136348187494</v>
      </c>
      <c r="H531">
        <f t="shared" ca="1" si="546"/>
        <v>104.22997565608502</v>
      </c>
      <c r="I531">
        <f t="shared" ca="1" si="546"/>
        <v>104.5680381503916</v>
      </c>
      <c r="J531">
        <f t="shared" ca="1" si="546"/>
        <v>113.06524540622793</v>
      </c>
      <c r="K531">
        <f t="shared" ref="K531:P531" ca="1" si="562">J531*EXP(($C$4-0.5*$C$5^2)*$C$10+$C$5*SQRT($C$10)*NORMINV(RAND(),0,1))</f>
        <v>129.46114754587984</v>
      </c>
      <c r="L531">
        <f t="shared" ca="1" si="562"/>
        <v>123.1017546365121</v>
      </c>
      <c r="M531">
        <f t="shared" ca="1" si="562"/>
        <v>148.36913070276981</v>
      </c>
      <c r="N531">
        <f t="shared" ca="1" si="562"/>
        <v>147.61541544314397</v>
      </c>
      <c r="O531">
        <f t="shared" ca="1" si="562"/>
        <v>131.14723702860047</v>
      </c>
      <c r="P531">
        <f t="shared" ca="1" si="562"/>
        <v>132.31424022681159</v>
      </c>
      <c r="Q531">
        <f t="shared" ca="1" si="548"/>
        <v>121.37304984348157</v>
      </c>
      <c r="R531">
        <f t="shared" ca="1" si="549"/>
        <v>21.373049843481567</v>
      </c>
      <c r="S531">
        <f t="shared" ca="1" si="550"/>
        <v>20.330673902440047</v>
      </c>
    </row>
    <row r="532" spans="5:19" x14ac:dyDescent="0.75">
      <c r="E532">
        <v>527</v>
      </c>
      <c r="F532">
        <v>100</v>
      </c>
      <c r="G532">
        <f t="shared" ca="1" si="546"/>
        <v>95.198513689024921</v>
      </c>
      <c r="H532">
        <f t="shared" ca="1" si="546"/>
        <v>92.639523217112654</v>
      </c>
      <c r="I532">
        <f t="shared" ca="1" si="546"/>
        <v>101.52180726962867</v>
      </c>
      <c r="J532">
        <f t="shared" ca="1" si="546"/>
        <v>98.468878700971445</v>
      </c>
      <c r="K532">
        <f t="shared" ref="K532:P532" ca="1" si="563">J532*EXP(($C$4-0.5*$C$5^2)*$C$10+$C$5*SQRT($C$10)*NORMINV(RAND(),0,1))</f>
        <v>106.32762039478835</v>
      </c>
      <c r="L532">
        <f t="shared" ca="1" si="563"/>
        <v>108.79003915426624</v>
      </c>
      <c r="M532">
        <f t="shared" ca="1" si="563"/>
        <v>106.45557362281853</v>
      </c>
      <c r="N532">
        <f t="shared" ca="1" si="563"/>
        <v>114.86081514947874</v>
      </c>
      <c r="O532">
        <f t="shared" ca="1" si="563"/>
        <v>104.925226600041</v>
      </c>
      <c r="P532">
        <f t="shared" ca="1" si="563"/>
        <v>102.84557646185451</v>
      </c>
      <c r="Q532">
        <f t="shared" ca="1" si="548"/>
        <v>102.91214311454409</v>
      </c>
      <c r="R532">
        <f t="shared" ca="1" si="549"/>
        <v>2.9121431145440937</v>
      </c>
      <c r="S532">
        <f t="shared" ca="1" si="550"/>
        <v>2.770116218911495</v>
      </c>
    </row>
    <row r="533" spans="5:19" x14ac:dyDescent="0.75">
      <c r="E533">
        <v>528</v>
      </c>
      <c r="F533">
        <v>100</v>
      </c>
      <c r="G533">
        <f t="shared" ca="1" si="546"/>
        <v>95.451120959825161</v>
      </c>
      <c r="H533">
        <f t="shared" ca="1" si="546"/>
        <v>98.594297310902093</v>
      </c>
      <c r="I533">
        <f t="shared" ca="1" si="546"/>
        <v>95.576266580899485</v>
      </c>
      <c r="J533">
        <f t="shared" ca="1" si="546"/>
        <v>98.007342480361302</v>
      </c>
      <c r="K533">
        <f t="shared" ref="K533:P533" ca="1" si="564">J533*EXP(($C$4-0.5*$C$5^2)*$C$10+$C$5*SQRT($C$10)*NORMINV(RAND(),0,1))</f>
        <v>94.662241977314295</v>
      </c>
      <c r="L533">
        <f t="shared" ca="1" si="564"/>
        <v>100.47201097207865</v>
      </c>
      <c r="M533">
        <f t="shared" ca="1" si="564"/>
        <v>93.504393028809275</v>
      </c>
      <c r="N533">
        <f t="shared" ca="1" si="564"/>
        <v>86.795146724423859</v>
      </c>
      <c r="O533">
        <f t="shared" ca="1" si="564"/>
        <v>79.118902279734954</v>
      </c>
      <c r="P533">
        <f t="shared" ca="1" si="564"/>
        <v>76.954097708065987</v>
      </c>
      <c r="Q533">
        <f t="shared" ca="1" si="548"/>
        <v>92.648710911128646</v>
      </c>
      <c r="R533">
        <f t="shared" ca="1" si="549"/>
        <v>0</v>
      </c>
      <c r="S533">
        <f t="shared" ca="1" si="550"/>
        <v>0</v>
      </c>
    </row>
    <row r="534" spans="5:19" x14ac:dyDescent="0.75">
      <c r="E534">
        <v>529</v>
      </c>
      <c r="F534">
        <v>100</v>
      </c>
      <c r="G534">
        <f t="shared" ca="1" si="546"/>
        <v>103.18878236912514</v>
      </c>
      <c r="H534">
        <f t="shared" ca="1" si="546"/>
        <v>97.934566282685353</v>
      </c>
      <c r="I534">
        <f t="shared" ca="1" si="546"/>
        <v>98.838663884570437</v>
      </c>
      <c r="J534">
        <f t="shared" ca="1" si="546"/>
        <v>98.317199482353317</v>
      </c>
      <c r="K534">
        <f t="shared" ref="K534:P534" ca="1" si="565">J534*EXP(($C$4-0.5*$C$5^2)*$C$10+$C$5*SQRT($C$10)*NORMINV(RAND(),0,1))</f>
        <v>90.964721048298941</v>
      </c>
      <c r="L534">
        <f t="shared" ca="1" si="565"/>
        <v>94.377393626640171</v>
      </c>
      <c r="M534">
        <f t="shared" ca="1" si="565"/>
        <v>89.349763004433655</v>
      </c>
      <c r="N534">
        <f t="shared" ca="1" si="565"/>
        <v>89.376220754678044</v>
      </c>
      <c r="O534">
        <f t="shared" ca="1" si="565"/>
        <v>86.478675378377346</v>
      </c>
      <c r="P534">
        <f t="shared" ca="1" si="565"/>
        <v>75.615679534873237</v>
      </c>
      <c r="Q534">
        <f t="shared" ca="1" si="548"/>
        <v>93.131060487821415</v>
      </c>
      <c r="R534">
        <f t="shared" ca="1" si="549"/>
        <v>0</v>
      </c>
      <c r="S534">
        <f t="shared" ca="1" si="550"/>
        <v>0</v>
      </c>
    </row>
    <row r="535" spans="5:19" x14ac:dyDescent="0.75">
      <c r="E535">
        <v>530</v>
      </c>
      <c r="F535">
        <v>100</v>
      </c>
      <c r="G535">
        <f t="shared" ca="1" si="546"/>
        <v>108.38210253216698</v>
      </c>
      <c r="H535">
        <f t="shared" ca="1" si="546"/>
        <v>121.55708523819899</v>
      </c>
      <c r="I535">
        <f t="shared" ca="1" si="546"/>
        <v>119.5475320249603</v>
      </c>
      <c r="J535">
        <f t="shared" ca="1" si="546"/>
        <v>123.82341353909391</v>
      </c>
      <c r="K535">
        <f t="shared" ref="K535:P535" ca="1" si="566">J535*EXP(($C$4-0.5*$C$5^2)*$C$10+$C$5*SQRT($C$10)*NORMINV(RAND(),0,1))</f>
        <v>108.07253139792704</v>
      </c>
      <c r="L535">
        <f t="shared" ca="1" si="566"/>
        <v>106.70276375796307</v>
      </c>
      <c r="M535">
        <f t="shared" ca="1" si="566"/>
        <v>96.071036186179299</v>
      </c>
      <c r="N535">
        <f t="shared" ca="1" si="566"/>
        <v>101.58889032653221</v>
      </c>
      <c r="O535">
        <f t="shared" ca="1" si="566"/>
        <v>108.34135721814917</v>
      </c>
      <c r="P535">
        <f t="shared" ca="1" si="566"/>
        <v>104.89096645507091</v>
      </c>
      <c r="Q535">
        <f t="shared" ca="1" si="548"/>
        <v>108.99797078874927</v>
      </c>
      <c r="R535">
        <f t="shared" ca="1" si="549"/>
        <v>8.9979707887492708</v>
      </c>
      <c r="S535">
        <f t="shared" ca="1" si="550"/>
        <v>8.5591345750562038</v>
      </c>
    </row>
    <row r="536" spans="5:19" x14ac:dyDescent="0.75">
      <c r="E536">
        <v>531</v>
      </c>
      <c r="F536">
        <v>100</v>
      </c>
      <c r="G536">
        <f t="shared" ca="1" si="546"/>
        <v>98.621387480311398</v>
      </c>
      <c r="H536">
        <f t="shared" ca="1" si="546"/>
        <v>92.703463760819261</v>
      </c>
      <c r="I536">
        <f t="shared" ca="1" si="546"/>
        <v>87.071022465408916</v>
      </c>
      <c r="J536">
        <f t="shared" ca="1" si="546"/>
        <v>91.690033530380816</v>
      </c>
      <c r="K536">
        <f t="shared" ref="K536:P536" ca="1" si="567">J536*EXP(($C$4-0.5*$C$5^2)*$C$10+$C$5*SQRT($C$10)*NORMINV(RAND(),0,1))</f>
        <v>92.020554041124342</v>
      </c>
      <c r="L536">
        <f t="shared" ca="1" si="567"/>
        <v>90.135814730574779</v>
      </c>
      <c r="M536">
        <f t="shared" ca="1" si="567"/>
        <v>86.943442533699397</v>
      </c>
      <c r="N536">
        <f t="shared" ca="1" si="567"/>
        <v>96.138584951995028</v>
      </c>
      <c r="O536">
        <f t="shared" ca="1" si="567"/>
        <v>94.119035056256095</v>
      </c>
      <c r="P536">
        <f t="shared" ca="1" si="567"/>
        <v>98.329794510727055</v>
      </c>
      <c r="Q536">
        <f t="shared" ca="1" si="548"/>
        <v>93.433921187390624</v>
      </c>
      <c r="R536">
        <f t="shared" ca="1" si="549"/>
        <v>0</v>
      </c>
      <c r="S536">
        <f t="shared" ca="1" si="550"/>
        <v>0</v>
      </c>
    </row>
    <row r="537" spans="5:19" x14ac:dyDescent="0.75">
      <c r="E537">
        <v>532</v>
      </c>
      <c r="F537">
        <v>100</v>
      </c>
      <c r="G537">
        <f t="shared" ca="1" si="546"/>
        <v>108.83120510131444</v>
      </c>
      <c r="H537">
        <f t="shared" ca="1" si="546"/>
        <v>109.27286791110537</v>
      </c>
      <c r="I537">
        <f t="shared" ca="1" si="546"/>
        <v>109.54740837150678</v>
      </c>
      <c r="J537">
        <f t="shared" ca="1" si="546"/>
        <v>108.77373089897581</v>
      </c>
      <c r="K537">
        <f t="shared" ref="K537:P537" ca="1" si="568">J537*EXP(($C$4-0.5*$C$5^2)*$C$10+$C$5*SQRT($C$10)*NORMINV(RAND(),0,1))</f>
        <v>114.63500577665286</v>
      </c>
      <c r="L537">
        <f t="shared" ca="1" si="568"/>
        <v>130.5751810101157</v>
      </c>
      <c r="M537">
        <f t="shared" ca="1" si="568"/>
        <v>128.11605033382696</v>
      </c>
      <c r="N537">
        <f t="shared" ca="1" si="568"/>
        <v>120.83307533513062</v>
      </c>
      <c r="O537">
        <f t="shared" ca="1" si="568"/>
        <v>126.50331340729369</v>
      </c>
      <c r="P537">
        <f t="shared" ca="1" si="568"/>
        <v>140.06721384555127</v>
      </c>
      <c r="Q537">
        <f t="shared" ca="1" si="548"/>
        <v>117.92318654467941</v>
      </c>
      <c r="R537">
        <f t="shared" ca="1" si="549"/>
        <v>17.92318654467941</v>
      </c>
      <c r="S537">
        <f t="shared" ca="1" si="550"/>
        <v>17.049062422114336</v>
      </c>
    </row>
    <row r="538" spans="5:19" x14ac:dyDescent="0.75">
      <c r="E538">
        <v>533</v>
      </c>
      <c r="F538">
        <v>100</v>
      </c>
      <c r="G538">
        <f t="shared" ca="1" si="546"/>
        <v>101.08291104653927</v>
      </c>
      <c r="H538">
        <f t="shared" ca="1" si="546"/>
        <v>101.48564256944027</v>
      </c>
      <c r="I538">
        <f t="shared" ca="1" si="546"/>
        <v>107.32359522507039</v>
      </c>
      <c r="J538">
        <f t="shared" ca="1" si="546"/>
        <v>98.861584526370621</v>
      </c>
      <c r="K538">
        <f t="shared" ref="K538:P538" ca="1" si="569">J538*EXP(($C$4-0.5*$C$5^2)*$C$10+$C$5*SQRT($C$10)*NORMINV(RAND(),0,1))</f>
        <v>90.64875549620497</v>
      </c>
      <c r="L538">
        <f t="shared" ca="1" si="569"/>
        <v>90.853195291934085</v>
      </c>
      <c r="M538">
        <f t="shared" ca="1" si="569"/>
        <v>84.774176849298783</v>
      </c>
      <c r="N538">
        <f t="shared" ca="1" si="569"/>
        <v>80.626676790749571</v>
      </c>
      <c r="O538">
        <f t="shared" ca="1" si="569"/>
        <v>72.880557705019413</v>
      </c>
      <c r="P538">
        <f t="shared" ca="1" si="569"/>
        <v>72.942705013032537</v>
      </c>
      <c r="Q538">
        <f t="shared" ca="1" si="548"/>
        <v>91.043618228514546</v>
      </c>
      <c r="R538">
        <f t="shared" ca="1" si="549"/>
        <v>0</v>
      </c>
      <c r="S538">
        <f t="shared" ca="1" si="550"/>
        <v>0</v>
      </c>
    </row>
    <row r="539" spans="5:19" x14ac:dyDescent="0.75">
      <c r="E539">
        <v>534</v>
      </c>
      <c r="F539">
        <v>100</v>
      </c>
      <c r="G539">
        <f t="shared" ca="1" si="546"/>
        <v>96.453269343031792</v>
      </c>
      <c r="H539">
        <f t="shared" ca="1" si="546"/>
        <v>86.799849459397365</v>
      </c>
      <c r="I539">
        <f t="shared" ca="1" si="546"/>
        <v>87.722186554758196</v>
      </c>
      <c r="J539">
        <f t="shared" ca="1" si="546"/>
        <v>89.964858107234178</v>
      </c>
      <c r="K539">
        <f t="shared" ref="K539:P539" ca="1" si="570">J539*EXP(($C$4-0.5*$C$5^2)*$C$10+$C$5*SQRT($C$10)*NORMINV(RAND(),0,1))</f>
        <v>87.12948009424332</v>
      </c>
      <c r="L539">
        <f t="shared" ca="1" si="570"/>
        <v>87.132707758943454</v>
      </c>
      <c r="M539">
        <f t="shared" ca="1" si="570"/>
        <v>79.457149105579617</v>
      </c>
      <c r="N539">
        <f t="shared" ca="1" si="570"/>
        <v>71.168938642777846</v>
      </c>
      <c r="O539">
        <f t="shared" ca="1" si="570"/>
        <v>73.094723070501288</v>
      </c>
      <c r="P539">
        <f t="shared" ca="1" si="570"/>
        <v>75.756027245849808</v>
      </c>
      <c r="Q539">
        <f t="shared" ca="1" si="548"/>
        <v>84.970835398392438</v>
      </c>
      <c r="R539">
        <f t="shared" ca="1" si="549"/>
        <v>0</v>
      </c>
      <c r="S539">
        <f t="shared" ca="1" si="550"/>
        <v>0</v>
      </c>
    </row>
    <row r="540" spans="5:19" x14ac:dyDescent="0.75">
      <c r="E540">
        <v>535</v>
      </c>
      <c r="F540">
        <v>100</v>
      </c>
      <c r="G540">
        <f t="shared" ca="1" si="546"/>
        <v>107.44124892032654</v>
      </c>
      <c r="H540">
        <f t="shared" ca="1" si="546"/>
        <v>104.68878576302393</v>
      </c>
      <c r="I540">
        <f t="shared" ca="1" si="546"/>
        <v>106.46668039851814</v>
      </c>
      <c r="J540">
        <f t="shared" ca="1" si="546"/>
        <v>103.59461014380226</v>
      </c>
      <c r="K540">
        <f t="shared" ref="K540:P540" ca="1" si="571">J540*EXP(($C$4-0.5*$C$5^2)*$C$10+$C$5*SQRT($C$10)*NORMINV(RAND(),0,1))</f>
        <v>111.50528129444692</v>
      </c>
      <c r="L540">
        <f t="shared" ca="1" si="571"/>
        <v>100.70757668710702</v>
      </c>
      <c r="M540">
        <f t="shared" ca="1" si="571"/>
        <v>103.10962350032145</v>
      </c>
      <c r="N540">
        <f t="shared" ca="1" si="571"/>
        <v>100.19816869339761</v>
      </c>
      <c r="O540">
        <f t="shared" ca="1" si="571"/>
        <v>95.579732514101778</v>
      </c>
      <c r="P540">
        <f t="shared" ca="1" si="571"/>
        <v>89.730748430095645</v>
      </c>
      <c r="Q540">
        <f t="shared" ca="1" si="548"/>
        <v>102.09295057683103</v>
      </c>
      <c r="R540">
        <f t="shared" ca="1" si="549"/>
        <v>2.0929505768310293</v>
      </c>
      <c r="S540">
        <f t="shared" ca="1" si="550"/>
        <v>1.9908761727074173</v>
      </c>
    </row>
    <row r="541" spans="5:19" x14ac:dyDescent="0.75">
      <c r="E541">
        <v>536</v>
      </c>
      <c r="F541">
        <v>100</v>
      </c>
      <c r="G541">
        <f t="shared" ca="1" si="546"/>
        <v>102.17469830477719</v>
      </c>
      <c r="H541">
        <f t="shared" ca="1" si="546"/>
        <v>109.77862298558476</v>
      </c>
      <c r="I541">
        <f t="shared" ca="1" si="546"/>
        <v>98.123318274643822</v>
      </c>
      <c r="J541">
        <f t="shared" ca="1" si="546"/>
        <v>101.45616650133034</v>
      </c>
      <c r="K541">
        <f t="shared" ref="K541:P541" ca="1" si="572">J541*EXP(($C$4-0.5*$C$5^2)*$C$10+$C$5*SQRT($C$10)*NORMINV(RAND(),0,1))</f>
        <v>100.79149876479134</v>
      </c>
      <c r="L541">
        <f t="shared" ca="1" si="572"/>
        <v>98.417797066002407</v>
      </c>
      <c r="M541">
        <f t="shared" ca="1" si="572"/>
        <v>98.068601823777541</v>
      </c>
      <c r="N541">
        <f t="shared" ca="1" si="572"/>
        <v>94.092182303555759</v>
      </c>
      <c r="O541">
        <f t="shared" ca="1" si="572"/>
        <v>84.561143077775313</v>
      </c>
      <c r="P541">
        <f t="shared" ca="1" si="572"/>
        <v>86.156908850687515</v>
      </c>
      <c r="Q541">
        <f t="shared" ca="1" si="548"/>
        <v>97.601903450265993</v>
      </c>
      <c r="R541">
        <f t="shared" ca="1" si="549"/>
        <v>0</v>
      </c>
      <c r="S541">
        <f t="shared" ca="1" si="550"/>
        <v>0</v>
      </c>
    </row>
    <row r="542" spans="5:19" x14ac:dyDescent="0.75">
      <c r="E542">
        <v>537</v>
      </c>
      <c r="F542">
        <v>100</v>
      </c>
      <c r="G542">
        <f t="shared" ca="1" si="546"/>
        <v>100.87088699045874</v>
      </c>
      <c r="H542">
        <f t="shared" ca="1" si="546"/>
        <v>99.466958740832027</v>
      </c>
      <c r="I542">
        <f t="shared" ca="1" si="546"/>
        <v>98.677793986488837</v>
      </c>
      <c r="J542">
        <f t="shared" ca="1" si="546"/>
        <v>90.692124205194432</v>
      </c>
      <c r="K542">
        <f t="shared" ref="K542:P542" ca="1" si="573">J542*EXP(($C$4-0.5*$C$5^2)*$C$10+$C$5*SQRT($C$10)*NORMINV(RAND(),0,1))</f>
        <v>97.116905002094498</v>
      </c>
      <c r="L542">
        <f t="shared" ca="1" si="573"/>
        <v>100.69966992269232</v>
      </c>
      <c r="M542">
        <f t="shared" ca="1" si="573"/>
        <v>107.4773162763739</v>
      </c>
      <c r="N542">
        <f t="shared" ca="1" si="573"/>
        <v>109.68700481503603</v>
      </c>
      <c r="O542">
        <f t="shared" ca="1" si="573"/>
        <v>119.44701216857467</v>
      </c>
      <c r="P542">
        <f t="shared" ca="1" si="573"/>
        <v>134.24937033036224</v>
      </c>
      <c r="Q542">
        <f t="shared" ca="1" si="548"/>
        <v>105.30773113073705</v>
      </c>
      <c r="R542">
        <f t="shared" ca="1" si="549"/>
        <v>5.3077311307370536</v>
      </c>
      <c r="S542">
        <f t="shared" ca="1" si="550"/>
        <v>5.0488700288955313</v>
      </c>
    </row>
    <row r="543" spans="5:19" x14ac:dyDescent="0.75">
      <c r="E543">
        <v>538</v>
      </c>
      <c r="F543">
        <v>100</v>
      </c>
      <c r="G543">
        <f t="shared" ca="1" si="546"/>
        <v>99.873566034462797</v>
      </c>
      <c r="H543">
        <f t="shared" ca="1" si="546"/>
        <v>93.937197938218674</v>
      </c>
      <c r="I543">
        <f t="shared" ca="1" si="546"/>
        <v>101.53139676347936</v>
      </c>
      <c r="J543">
        <f t="shared" ca="1" si="546"/>
        <v>102.01077235084655</v>
      </c>
      <c r="K543">
        <f t="shared" ref="K543:P543" ca="1" si="574">J543*EXP(($C$4-0.5*$C$5^2)*$C$10+$C$5*SQRT($C$10)*NORMINV(RAND(),0,1))</f>
        <v>104.11947676615145</v>
      </c>
      <c r="L543">
        <f t="shared" ca="1" si="574"/>
        <v>110.24472994926764</v>
      </c>
      <c r="M543">
        <f t="shared" ca="1" si="574"/>
        <v>112.61856424528288</v>
      </c>
      <c r="N543">
        <f t="shared" ca="1" si="574"/>
        <v>101.62045430499741</v>
      </c>
      <c r="O543">
        <f t="shared" ca="1" si="574"/>
        <v>103.14181585666631</v>
      </c>
      <c r="P543">
        <f t="shared" ca="1" si="574"/>
        <v>94.907560525330524</v>
      </c>
      <c r="Q543">
        <f t="shared" ca="1" si="548"/>
        <v>102.18232133951852</v>
      </c>
      <c r="R543">
        <f t="shared" ca="1" si="549"/>
        <v>2.1823213395185235</v>
      </c>
      <c r="S543">
        <f t="shared" ca="1" si="550"/>
        <v>2.0758882718658325</v>
      </c>
    </row>
    <row r="544" spans="5:19" x14ac:dyDescent="0.75">
      <c r="E544">
        <v>539</v>
      </c>
      <c r="F544">
        <v>100</v>
      </c>
      <c r="G544">
        <f t="shared" ca="1" si="546"/>
        <v>97.70366191008344</v>
      </c>
      <c r="H544">
        <f t="shared" ca="1" si="546"/>
        <v>101.86098095617342</v>
      </c>
      <c r="I544">
        <f t="shared" ca="1" si="546"/>
        <v>101.05033057859836</v>
      </c>
      <c r="J544">
        <f t="shared" ca="1" si="546"/>
        <v>97.62037477585271</v>
      </c>
      <c r="K544">
        <f t="shared" ref="K544:P544" ca="1" si="575">J544*EXP(($C$4-0.5*$C$5^2)*$C$10+$C$5*SQRT($C$10)*NORMINV(RAND(),0,1))</f>
        <v>87.255654946255461</v>
      </c>
      <c r="L544">
        <f t="shared" ca="1" si="575"/>
        <v>79.185321184775603</v>
      </c>
      <c r="M544">
        <f t="shared" ca="1" si="575"/>
        <v>88.817050667381693</v>
      </c>
      <c r="N544">
        <f t="shared" ca="1" si="575"/>
        <v>96.800412756797414</v>
      </c>
      <c r="O544">
        <f t="shared" ca="1" si="575"/>
        <v>95.561898536364097</v>
      </c>
      <c r="P544">
        <f t="shared" ca="1" si="575"/>
        <v>92.702917351170527</v>
      </c>
      <c r="Q544">
        <f t="shared" ca="1" si="548"/>
        <v>94.414418514859335</v>
      </c>
      <c r="R544">
        <f t="shared" ca="1" si="549"/>
        <v>0</v>
      </c>
      <c r="S544">
        <f t="shared" ca="1" si="550"/>
        <v>0</v>
      </c>
    </row>
    <row r="545" spans="5:19" x14ac:dyDescent="0.75">
      <c r="E545">
        <v>540</v>
      </c>
      <c r="F545">
        <v>100</v>
      </c>
      <c r="G545">
        <f t="shared" ca="1" si="546"/>
        <v>93.032186833898933</v>
      </c>
      <c r="H545">
        <f t="shared" ca="1" si="546"/>
        <v>98.341048804394433</v>
      </c>
      <c r="I545">
        <f t="shared" ca="1" si="546"/>
        <v>105.34869907221358</v>
      </c>
      <c r="J545">
        <f t="shared" ca="1" si="546"/>
        <v>109.13448197394412</v>
      </c>
      <c r="K545">
        <f t="shared" ref="K545:P545" ca="1" si="576">J545*EXP(($C$4-0.5*$C$5^2)*$C$10+$C$5*SQRT($C$10)*NORMINV(RAND(),0,1))</f>
        <v>117.25259995432124</v>
      </c>
      <c r="L545">
        <f t="shared" ca="1" si="576"/>
        <v>102.6624829104541</v>
      </c>
      <c r="M545">
        <f t="shared" ca="1" si="576"/>
        <v>103.45993987218023</v>
      </c>
      <c r="N545">
        <f t="shared" ca="1" si="576"/>
        <v>93.997476823718131</v>
      </c>
      <c r="O545">
        <f t="shared" ca="1" si="576"/>
        <v>94.235505609535991</v>
      </c>
      <c r="P545">
        <f t="shared" ca="1" si="576"/>
        <v>92.748971130475169</v>
      </c>
      <c r="Q545">
        <f t="shared" ca="1" si="548"/>
        <v>100.92849027137599</v>
      </c>
      <c r="R545">
        <f t="shared" ca="1" si="549"/>
        <v>0.92849027137599194</v>
      </c>
      <c r="S545">
        <f t="shared" ca="1" si="550"/>
        <v>0.88320726649549663</v>
      </c>
    </row>
    <row r="546" spans="5:19" x14ac:dyDescent="0.75">
      <c r="E546">
        <v>541</v>
      </c>
      <c r="F546">
        <v>100</v>
      </c>
      <c r="G546">
        <f t="shared" ca="1" si="546"/>
        <v>106.76642646691823</v>
      </c>
      <c r="H546">
        <f t="shared" ca="1" si="546"/>
        <v>114.64189297539187</v>
      </c>
      <c r="I546">
        <f t="shared" ca="1" si="546"/>
        <v>117.37587083147875</v>
      </c>
      <c r="J546">
        <f t="shared" ca="1" si="546"/>
        <v>109.7072445063765</v>
      </c>
      <c r="K546">
        <f t="shared" ref="K546:P546" ca="1" si="577">J546*EXP(($C$4-0.5*$C$5^2)*$C$10+$C$5*SQRT($C$10)*NORMINV(RAND(),0,1))</f>
        <v>112.05614660391537</v>
      </c>
      <c r="L546">
        <f t="shared" ca="1" si="577"/>
        <v>114.69360858204382</v>
      </c>
      <c r="M546">
        <f t="shared" ca="1" si="577"/>
        <v>135.24239948194796</v>
      </c>
      <c r="N546">
        <f t="shared" ca="1" si="577"/>
        <v>144.17250600617444</v>
      </c>
      <c r="O546">
        <f t="shared" ca="1" si="577"/>
        <v>145.80918906532901</v>
      </c>
      <c r="P546">
        <f t="shared" ca="1" si="577"/>
        <v>131.39393769599255</v>
      </c>
      <c r="Q546">
        <f t="shared" ca="1" si="548"/>
        <v>121.07811111050623</v>
      </c>
      <c r="R546">
        <f t="shared" ca="1" si="549"/>
        <v>21.078111110506228</v>
      </c>
      <c r="S546">
        <f t="shared" ca="1" si="550"/>
        <v>20.050119501208947</v>
      </c>
    </row>
    <row r="547" spans="5:19" x14ac:dyDescent="0.75">
      <c r="E547">
        <v>542</v>
      </c>
      <c r="F547">
        <v>100</v>
      </c>
      <c r="G547">
        <f t="shared" ca="1" si="546"/>
        <v>104.20597086071895</v>
      </c>
      <c r="H547">
        <f t="shared" ca="1" si="546"/>
        <v>93.281112804777251</v>
      </c>
      <c r="I547">
        <f t="shared" ca="1" si="546"/>
        <v>95.337760651035907</v>
      </c>
      <c r="J547">
        <f t="shared" ca="1" si="546"/>
        <v>95.797350022170122</v>
      </c>
      <c r="K547">
        <f t="shared" ref="K547:P547" ca="1" si="578">J547*EXP(($C$4-0.5*$C$5^2)*$C$10+$C$5*SQRT($C$10)*NORMINV(RAND(),0,1))</f>
        <v>101.2175565242671</v>
      </c>
      <c r="L547">
        <f t="shared" ca="1" si="578"/>
        <v>97.410957326212184</v>
      </c>
      <c r="M547">
        <f t="shared" ca="1" si="578"/>
        <v>94.070322427853441</v>
      </c>
      <c r="N547">
        <f t="shared" ca="1" si="578"/>
        <v>94.23178923405986</v>
      </c>
      <c r="O547">
        <f t="shared" ca="1" si="578"/>
        <v>93.70787388644537</v>
      </c>
      <c r="P547">
        <f t="shared" ca="1" si="578"/>
        <v>95.803287264174614</v>
      </c>
      <c r="Q547">
        <f t="shared" ca="1" si="548"/>
        <v>96.823998272883145</v>
      </c>
      <c r="R547">
        <f t="shared" ca="1" si="549"/>
        <v>0</v>
      </c>
      <c r="S547">
        <f t="shared" ca="1" si="550"/>
        <v>0</v>
      </c>
    </row>
    <row r="548" spans="5:19" x14ac:dyDescent="0.75">
      <c r="E548">
        <v>543</v>
      </c>
      <c r="F548">
        <v>100</v>
      </c>
      <c r="G548">
        <f t="shared" ca="1" si="546"/>
        <v>101.36369291678373</v>
      </c>
      <c r="H548">
        <f t="shared" ca="1" si="546"/>
        <v>100.60909154286918</v>
      </c>
      <c r="I548">
        <f t="shared" ca="1" si="546"/>
        <v>102.88568396469533</v>
      </c>
      <c r="J548">
        <f t="shared" ca="1" si="546"/>
        <v>97.912451889775951</v>
      </c>
      <c r="K548">
        <f t="shared" ref="K548:P548" ca="1" si="579">J548*EXP(($C$4-0.5*$C$5^2)*$C$10+$C$5*SQRT($C$10)*NORMINV(RAND(),0,1))</f>
        <v>102.68606115353545</v>
      </c>
      <c r="L548">
        <f t="shared" ca="1" si="579"/>
        <v>99.816704976615924</v>
      </c>
      <c r="M548">
        <f t="shared" ca="1" si="579"/>
        <v>107.7684485854442</v>
      </c>
      <c r="N548">
        <f t="shared" ca="1" si="579"/>
        <v>113.17177186003013</v>
      </c>
      <c r="O548">
        <f t="shared" ca="1" si="579"/>
        <v>110.93850592960383</v>
      </c>
      <c r="P548">
        <f t="shared" ca="1" si="579"/>
        <v>108.37435691752876</v>
      </c>
      <c r="Q548">
        <f t="shared" ca="1" si="548"/>
        <v>104.13879724880749</v>
      </c>
      <c r="R548">
        <f t="shared" ca="1" si="549"/>
        <v>4.1387972488074922</v>
      </c>
      <c r="S548">
        <f t="shared" ca="1" si="550"/>
        <v>3.9369457251082891</v>
      </c>
    </row>
    <row r="549" spans="5:19" x14ac:dyDescent="0.75">
      <c r="E549">
        <v>544</v>
      </c>
      <c r="F549">
        <v>100</v>
      </c>
      <c r="G549">
        <f t="shared" ca="1" si="546"/>
        <v>98.212933674865837</v>
      </c>
      <c r="H549">
        <f t="shared" ca="1" si="546"/>
        <v>108.65972926706024</v>
      </c>
      <c r="I549">
        <f t="shared" ca="1" si="546"/>
        <v>99.440845651007677</v>
      </c>
      <c r="J549">
        <f t="shared" ca="1" si="546"/>
        <v>95.105154691343344</v>
      </c>
      <c r="K549">
        <f t="shared" ref="K549:P549" ca="1" si="580">J549*EXP(($C$4-0.5*$C$5^2)*$C$10+$C$5*SQRT($C$10)*NORMINV(RAND(),0,1))</f>
        <v>99.50392876290698</v>
      </c>
      <c r="L549">
        <f t="shared" ca="1" si="580"/>
        <v>103.52522415838644</v>
      </c>
      <c r="M549">
        <f t="shared" ca="1" si="580"/>
        <v>113.35780727632584</v>
      </c>
      <c r="N549">
        <f t="shared" ca="1" si="580"/>
        <v>104.35331129889552</v>
      </c>
      <c r="O549">
        <f t="shared" ca="1" si="580"/>
        <v>114.14053269276599</v>
      </c>
      <c r="P549">
        <f t="shared" ca="1" si="580"/>
        <v>130.2253987291914</v>
      </c>
      <c r="Q549">
        <f t="shared" ca="1" si="548"/>
        <v>106.04771510934084</v>
      </c>
      <c r="R549">
        <f t="shared" ca="1" si="549"/>
        <v>6.0477151093408423</v>
      </c>
      <c r="S549">
        <f t="shared" ca="1" si="550"/>
        <v>5.7527645630025619</v>
      </c>
    </row>
    <row r="550" spans="5:19" x14ac:dyDescent="0.75">
      <c r="E550">
        <v>545</v>
      </c>
      <c r="F550">
        <v>100</v>
      </c>
      <c r="G550">
        <f t="shared" ca="1" si="546"/>
        <v>102.14996716005957</v>
      </c>
      <c r="H550">
        <f t="shared" ca="1" si="546"/>
        <v>101.95773157678114</v>
      </c>
      <c r="I550">
        <f t="shared" ca="1" si="546"/>
        <v>104.39449518766101</v>
      </c>
      <c r="J550">
        <f t="shared" ca="1" si="546"/>
        <v>101.19340120062729</v>
      </c>
      <c r="K550">
        <f t="shared" ref="K550:P550" ca="1" si="581">J550*EXP(($C$4-0.5*$C$5^2)*$C$10+$C$5*SQRT($C$10)*NORMINV(RAND(),0,1))</f>
        <v>98.47367403472893</v>
      </c>
      <c r="L550">
        <f t="shared" ca="1" si="581"/>
        <v>98.049188996971026</v>
      </c>
      <c r="M550">
        <f t="shared" ca="1" si="581"/>
        <v>106.21844369289671</v>
      </c>
      <c r="N550">
        <f t="shared" ca="1" si="581"/>
        <v>101.34705949546816</v>
      </c>
      <c r="O550">
        <f t="shared" ca="1" si="581"/>
        <v>112.10936917091419</v>
      </c>
      <c r="P550">
        <f t="shared" ca="1" si="581"/>
        <v>110.50398054800478</v>
      </c>
      <c r="Q550">
        <f t="shared" ca="1" si="548"/>
        <v>103.3088464603739</v>
      </c>
      <c r="R550">
        <f t="shared" ca="1" si="549"/>
        <v>3.3088464603738998</v>
      </c>
      <c r="S550">
        <f t="shared" ca="1" si="550"/>
        <v>3.1474721142626896</v>
      </c>
    </row>
    <row r="551" spans="5:19" x14ac:dyDescent="0.75">
      <c r="E551">
        <v>546</v>
      </c>
      <c r="F551">
        <v>100</v>
      </c>
      <c r="G551">
        <f t="shared" ca="1" si="546"/>
        <v>106.60324635648874</v>
      </c>
      <c r="H551">
        <f t="shared" ca="1" si="546"/>
        <v>110.23154822163204</v>
      </c>
      <c r="I551">
        <f t="shared" ca="1" si="546"/>
        <v>110.87951818454636</v>
      </c>
      <c r="J551">
        <f t="shared" ca="1" si="546"/>
        <v>120.02060779843799</v>
      </c>
      <c r="K551">
        <f t="shared" ref="K551:P551" ca="1" si="582">J551*EXP(($C$4-0.5*$C$5^2)*$C$10+$C$5*SQRT($C$10)*NORMINV(RAND(),0,1))</f>
        <v>120.12605659380102</v>
      </c>
      <c r="L551">
        <f t="shared" ca="1" si="582"/>
        <v>113.56093773982711</v>
      </c>
      <c r="M551">
        <f t="shared" ca="1" si="582"/>
        <v>109.76112514954096</v>
      </c>
      <c r="N551">
        <f t="shared" ca="1" si="582"/>
        <v>107.2299416716528</v>
      </c>
      <c r="O551">
        <f t="shared" ca="1" si="582"/>
        <v>111.11869480392768</v>
      </c>
      <c r="P551">
        <f t="shared" ca="1" si="582"/>
        <v>102.0633467300057</v>
      </c>
      <c r="Q551">
        <f t="shared" ca="1" si="548"/>
        <v>110.14500211362365</v>
      </c>
      <c r="R551">
        <f t="shared" ca="1" si="549"/>
        <v>10.145002113623647</v>
      </c>
      <c r="S551">
        <f t="shared" ca="1" si="550"/>
        <v>9.6502245221007499</v>
      </c>
    </row>
    <row r="552" spans="5:19" x14ac:dyDescent="0.75">
      <c r="E552">
        <v>547</v>
      </c>
      <c r="F552">
        <v>100</v>
      </c>
      <c r="G552">
        <f t="shared" ca="1" si="546"/>
        <v>101.3462071733978</v>
      </c>
      <c r="H552">
        <f t="shared" ca="1" si="546"/>
        <v>114.85423025405508</v>
      </c>
      <c r="I552">
        <f t="shared" ca="1" si="546"/>
        <v>110.66763595280345</v>
      </c>
      <c r="J552">
        <f t="shared" ca="1" si="546"/>
        <v>102.26405130384205</v>
      </c>
      <c r="K552">
        <f t="shared" ref="K552:P552" ca="1" si="583">J552*EXP(($C$4-0.5*$C$5^2)*$C$10+$C$5*SQRT($C$10)*NORMINV(RAND(),0,1))</f>
        <v>103.34427401502758</v>
      </c>
      <c r="L552">
        <f t="shared" ca="1" si="583"/>
        <v>108.25390493808874</v>
      </c>
      <c r="M552">
        <f t="shared" ca="1" si="583"/>
        <v>98.025073880517951</v>
      </c>
      <c r="N552">
        <f t="shared" ca="1" si="583"/>
        <v>83.963851302625059</v>
      </c>
      <c r="O552">
        <f t="shared" ca="1" si="583"/>
        <v>77.114444247425808</v>
      </c>
      <c r="P552">
        <f t="shared" ca="1" si="583"/>
        <v>81.553961961935485</v>
      </c>
      <c r="Q552">
        <f t="shared" ca="1" si="548"/>
        <v>98.307966820883564</v>
      </c>
      <c r="R552">
        <f t="shared" ca="1" si="549"/>
        <v>0</v>
      </c>
      <c r="S552">
        <f t="shared" ca="1" si="550"/>
        <v>0</v>
      </c>
    </row>
    <row r="553" spans="5:19" x14ac:dyDescent="0.75">
      <c r="E553">
        <v>548</v>
      </c>
      <c r="F553">
        <v>100</v>
      </c>
      <c r="G553">
        <f t="shared" ca="1" si="546"/>
        <v>103.43265063611106</v>
      </c>
      <c r="H553">
        <f t="shared" ca="1" si="546"/>
        <v>106.82517377602166</v>
      </c>
      <c r="I553">
        <f t="shared" ca="1" si="546"/>
        <v>100.70952244263479</v>
      </c>
      <c r="J553">
        <f t="shared" ca="1" si="546"/>
        <v>99.979818950968991</v>
      </c>
      <c r="K553">
        <f t="shared" ref="K553:P553" ca="1" si="584">J553*EXP(($C$4-0.5*$C$5^2)*$C$10+$C$5*SQRT($C$10)*NORMINV(RAND(),0,1))</f>
        <v>107.87944824741723</v>
      </c>
      <c r="L553">
        <f t="shared" ca="1" si="584"/>
        <v>118.71823140364215</v>
      </c>
      <c r="M553">
        <f t="shared" ca="1" si="584"/>
        <v>110.87642047349912</v>
      </c>
      <c r="N553">
        <f t="shared" ca="1" si="584"/>
        <v>113.40748772230231</v>
      </c>
      <c r="O553">
        <f t="shared" ca="1" si="584"/>
        <v>118.94880210029838</v>
      </c>
      <c r="P553">
        <f t="shared" ca="1" si="584"/>
        <v>120.54419852888928</v>
      </c>
      <c r="Q553">
        <f t="shared" ca="1" si="548"/>
        <v>109.21106857107135</v>
      </c>
      <c r="R553">
        <f t="shared" ca="1" si="549"/>
        <v>9.2110685710713511</v>
      </c>
      <c r="S553">
        <f t="shared" ca="1" si="550"/>
        <v>8.7618394558968156</v>
      </c>
    </row>
    <row r="554" spans="5:19" x14ac:dyDescent="0.75">
      <c r="E554">
        <v>549</v>
      </c>
      <c r="F554">
        <v>100</v>
      </c>
      <c r="G554">
        <f t="shared" ca="1" si="546"/>
        <v>112.83652207112867</v>
      </c>
      <c r="H554">
        <f t="shared" ca="1" si="546"/>
        <v>112.24329762033116</v>
      </c>
      <c r="I554">
        <f t="shared" ca="1" si="546"/>
        <v>109.65644870059839</v>
      </c>
      <c r="J554">
        <f t="shared" ca="1" si="546"/>
        <v>107.4963380013007</v>
      </c>
      <c r="K554">
        <f t="shared" ref="K554:P554" ca="1" si="585">J554*EXP(($C$4-0.5*$C$5^2)*$C$10+$C$5*SQRT($C$10)*NORMINV(RAND(),0,1))</f>
        <v>99.48793830165387</v>
      </c>
      <c r="L554">
        <f t="shared" ca="1" si="585"/>
        <v>98.706937433886665</v>
      </c>
      <c r="M554">
        <f t="shared" ca="1" si="585"/>
        <v>97.299506172173963</v>
      </c>
      <c r="N554">
        <f t="shared" ca="1" si="585"/>
        <v>101.37071897453774</v>
      </c>
      <c r="O554">
        <f t="shared" ca="1" si="585"/>
        <v>102.12581011919015</v>
      </c>
      <c r="P554">
        <f t="shared" ca="1" si="585"/>
        <v>105.69325199470948</v>
      </c>
      <c r="Q554">
        <f t="shared" ca="1" si="548"/>
        <v>104.26516085359191</v>
      </c>
      <c r="R554">
        <f t="shared" ca="1" si="549"/>
        <v>4.2651608535919081</v>
      </c>
      <c r="S554">
        <f t="shared" ca="1" si="550"/>
        <v>4.0571465041652051</v>
      </c>
    </row>
    <row r="555" spans="5:19" x14ac:dyDescent="0.75">
      <c r="E555">
        <v>550</v>
      </c>
      <c r="F555">
        <v>100</v>
      </c>
      <c r="G555">
        <f t="shared" ca="1" si="546"/>
        <v>99.542084979753497</v>
      </c>
      <c r="H555">
        <f t="shared" ca="1" si="546"/>
        <v>102.60457924081702</v>
      </c>
      <c r="I555">
        <f t="shared" ca="1" si="546"/>
        <v>108.76570710403675</v>
      </c>
      <c r="J555">
        <f t="shared" ca="1" si="546"/>
        <v>108.20184348784362</v>
      </c>
      <c r="K555">
        <f t="shared" ref="K555:P555" ca="1" si="586">J555*EXP(($C$4-0.5*$C$5^2)*$C$10+$C$5*SQRT($C$10)*NORMINV(RAND(),0,1))</f>
        <v>112.14885884000124</v>
      </c>
      <c r="L555">
        <f t="shared" ca="1" si="586"/>
        <v>109.42466674504672</v>
      </c>
      <c r="M555">
        <f t="shared" ca="1" si="586"/>
        <v>110.4656213191892</v>
      </c>
      <c r="N555">
        <f t="shared" ca="1" si="586"/>
        <v>107.74229676387743</v>
      </c>
      <c r="O555">
        <f t="shared" ca="1" si="586"/>
        <v>99.18542962183308</v>
      </c>
      <c r="P555">
        <f t="shared" ca="1" si="586"/>
        <v>97.301176575583767</v>
      </c>
      <c r="Q555">
        <f t="shared" ca="1" si="548"/>
        <v>105.03475133436201</v>
      </c>
      <c r="R555">
        <f t="shared" ca="1" si="549"/>
        <v>5.0347513343620136</v>
      </c>
      <c r="S555">
        <f t="shared" ca="1" si="550"/>
        <v>4.7892036142893799</v>
      </c>
    </row>
    <row r="556" spans="5:19" x14ac:dyDescent="0.75">
      <c r="E556">
        <v>551</v>
      </c>
      <c r="F556">
        <v>100</v>
      </c>
      <c r="G556">
        <f t="shared" ca="1" si="546"/>
        <v>99.723341418901242</v>
      </c>
      <c r="H556">
        <f t="shared" ca="1" si="546"/>
        <v>92.449051484107656</v>
      </c>
      <c r="I556">
        <f t="shared" ca="1" si="546"/>
        <v>90.558611729822204</v>
      </c>
      <c r="J556">
        <f t="shared" ca="1" si="546"/>
        <v>92.375815139392245</v>
      </c>
      <c r="K556">
        <f t="shared" ref="K556:P556" ca="1" si="587">J556*EXP(($C$4-0.5*$C$5^2)*$C$10+$C$5*SQRT($C$10)*NORMINV(RAND(),0,1))</f>
        <v>102.16381215046114</v>
      </c>
      <c r="L556">
        <f t="shared" ca="1" si="587"/>
        <v>104.33931512497925</v>
      </c>
      <c r="M556">
        <f t="shared" ca="1" si="587"/>
        <v>102.70039993979431</v>
      </c>
      <c r="N556">
        <f t="shared" ca="1" si="587"/>
        <v>101.32127643247109</v>
      </c>
      <c r="O556">
        <f t="shared" ca="1" si="587"/>
        <v>94.253427486567574</v>
      </c>
      <c r="P556">
        <f t="shared" ca="1" si="587"/>
        <v>99.233617375120659</v>
      </c>
      <c r="Q556">
        <f t="shared" ca="1" si="548"/>
        <v>98.101697116510692</v>
      </c>
      <c r="R556">
        <f t="shared" ca="1" si="549"/>
        <v>0</v>
      </c>
      <c r="S556">
        <f t="shared" ca="1" si="550"/>
        <v>0</v>
      </c>
    </row>
    <row r="557" spans="5:19" x14ac:dyDescent="0.75">
      <c r="E557">
        <v>552</v>
      </c>
      <c r="F557">
        <v>100</v>
      </c>
      <c r="G557">
        <f t="shared" ca="1" si="546"/>
        <v>100.21248369060825</v>
      </c>
      <c r="H557">
        <f t="shared" ca="1" si="546"/>
        <v>110.06224048227453</v>
      </c>
      <c r="I557">
        <f t="shared" ca="1" si="546"/>
        <v>111.68038928338076</v>
      </c>
      <c r="J557">
        <f t="shared" ca="1" si="546"/>
        <v>120.94498158969411</v>
      </c>
      <c r="K557">
        <f t="shared" ref="K557:P557" ca="1" si="588">J557*EXP(($C$4-0.5*$C$5^2)*$C$10+$C$5*SQRT($C$10)*NORMINV(RAND(),0,1))</f>
        <v>112.03363885671017</v>
      </c>
      <c r="L557">
        <f t="shared" ca="1" si="588"/>
        <v>108.83527724275869</v>
      </c>
      <c r="M557">
        <f t="shared" ca="1" si="588"/>
        <v>114.52851190879358</v>
      </c>
      <c r="N557">
        <f t="shared" ca="1" si="588"/>
        <v>111.31971094986396</v>
      </c>
      <c r="O557">
        <f t="shared" ca="1" si="588"/>
        <v>114.08780381068277</v>
      </c>
      <c r="P557">
        <f t="shared" ca="1" si="588"/>
        <v>109.67882879921697</v>
      </c>
      <c r="Q557">
        <f t="shared" ca="1" si="548"/>
        <v>110.3076242376349</v>
      </c>
      <c r="R557">
        <f t="shared" ca="1" si="549"/>
        <v>10.307624237634897</v>
      </c>
      <c r="S557">
        <f t="shared" ca="1" si="550"/>
        <v>9.8049154715350539</v>
      </c>
    </row>
    <row r="558" spans="5:19" x14ac:dyDescent="0.75">
      <c r="E558">
        <v>553</v>
      </c>
      <c r="F558">
        <v>100</v>
      </c>
      <c r="G558">
        <f t="shared" ca="1" si="546"/>
        <v>105.33846627619774</v>
      </c>
      <c r="H558">
        <f t="shared" ca="1" si="546"/>
        <v>101.74078084834399</v>
      </c>
      <c r="I558">
        <f t="shared" ca="1" si="546"/>
        <v>94.48167202370054</v>
      </c>
      <c r="J558">
        <f t="shared" ca="1" si="546"/>
        <v>91.05433639336691</v>
      </c>
      <c r="K558">
        <f t="shared" ref="K558:P558" ca="1" si="589">J558*EXP(($C$4-0.5*$C$5^2)*$C$10+$C$5*SQRT($C$10)*NORMINV(RAND(),0,1))</f>
        <v>98.73484998526655</v>
      </c>
      <c r="L558">
        <f t="shared" ca="1" si="589"/>
        <v>98.773309648878296</v>
      </c>
      <c r="M558">
        <f t="shared" ca="1" si="589"/>
        <v>101.4244449692295</v>
      </c>
      <c r="N558">
        <f t="shared" ca="1" si="589"/>
        <v>103.37277972907093</v>
      </c>
      <c r="O558">
        <f t="shared" ca="1" si="589"/>
        <v>104.54644719724556</v>
      </c>
      <c r="P558">
        <f t="shared" ca="1" si="589"/>
        <v>101.63746933658902</v>
      </c>
      <c r="Q558">
        <f t="shared" ca="1" si="548"/>
        <v>100.100414218899</v>
      </c>
      <c r="R558">
        <f t="shared" ca="1" si="549"/>
        <v>0.10041421889900448</v>
      </c>
      <c r="S558">
        <f t="shared" ca="1" si="550"/>
        <v>9.5516959654988756E-2</v>
      </c>
    </row>
    <row r="559" spans="5:19" x14ac:dyDescent="0.75">
      <c r="E559">
        <v>554</v>
      </c>
      <c r="F559">
        <v>100</v>
      </c>
      <c r="G559">
        <f t="shared" ca="1" si="546"/>
        <v>103.54204718715236</v>
      </c>
      <c r="H559">
        <f t="shared" ca="1" si="546"/>
        <v>121.41387605274926</v>
      </c>
      <c r="I559">
        <f t="shared" ca="1" si="546"/>
        <v>110.9577185447318</v>
      </c>
      <c r="J559">
        <f t="shared" ca="1" si="546"/>
        <v>110.64486149971319</v>
      </c>
      <c r="K559">
        <f t="shared" ref="K559:P559" ca="1" si="590">J559*EXP(($C$4-0.5*$C$5^2)*$C$10+$C$5*SQRT($C$10)*NORMINV(RAND(),0,1))</f>
        <v>108.67010148442921</v>
      </c>
      <c r="L559">
        <f t="shared" ca="1" si="590"/>
        <v>114.7135720245688</v>
      </c>
      <c r="M559">
        <f t="shared" ca="1" si="590"/>
        <v>118.41177445769448</v>
      </c>
      <c r="N559">
        <f t="shared" ca="1" si="590"/>
        <v>122.87085379719164</v>
      </c>
      <c r="O559">
        <f t="shared" ca="1" si="590"/>
        <v>118.30819182802026</v>
      </c>
      <c r="P559">
        <f t="shared" ca="1" si="590"/>
        <v>103.97076118098605</v>
      </c>
      <c r="Q559">
        <f t="shared" ca="1" si="548"/>
        <v>112.13670527793064</v>
      </c>
      <c r="R559">
        <f t="shared" ca="1" si="549"/>
        <v>12.136705277930645</v>
      </c>
      <c r="S559">
        <f t="shared" ca="1" si="550"/>
        <v>11.544791176860745</v>
      </c>
    </row>
    <row r="560" spans="5:19" x14ac:dyDescent="0.75">
      <c r="E560">
        <v>555</v>
      </c>
      <c r="F560">
        <v>100</v>
      </c>
      <c r="G560">
        <f t="shared" ca="1" si="546"/>
        <v>103.3263348578664</v>
      </c>
      <c r="H560">
        <f t="shared" ca="1" si="546"/>
        <v>97.984060655824265</v>
      </c>
      <c r="I560">
        <f t="shared" ca="1" si="546"/>
        <v>104.22319086671743</v>
      </c>
      <c r="J560">
        <f t="shared" ca="1" si="546"/>
        <v>104.55616110297476</v>
      </c>
      <c r="K560">
        <f t="shared" ref="K560:P560" ca="1" si="591">J560*EXP(($C$4-0.5*$C$5^2)*$C$10+$C$5*SQRT($C$10)*NORMINV(RAND(),0,1))</f>
        <v>94.777359451678095</v>
      </c>
      <c r="L560">
        <f t="shared" ca="1" si="591"/>
        <v>102.96541254225407</v>
      </c>
      <c r="M560">
        <f t="shared" ca="1" si="591"/>
        <v>103.83626404481964</v>
      </c>
      <c r="N560">
        <f t="shared" ca="1" si="591"/>
        <v>110.14112713920346</v>
      </c>
      <c r="O560">
        <f t="shared" ca="1" si="591"/>
        <v>123.25086290284571</v>
      </c>
      <c r="P560">
        <f t="shared" ca="1" si="591"/>
        <v>113.48406771007008</v>
      </c>
      <c r="Q560">
        <f t="shared" ca="1" si="548"/>
        <v>105.32225829765945</v>
      </c>
      <c r="R560">
        <f t="shared" ca="1" si="549"/>
        <v>5.3222582976594452</v>
      </c>
      <c r="S560">
        <f t="shared" ca="1" si="550"/>
        <v>5.0626886975267436</v>
      </c>
    </row>
    <row r="561" spans="5:19" x14ac:dyDescent="0.75">
      <c r="E561">
        <v>556</v>
      </c>
      <c r="F561">
        <v>100</v>
      </c>
      <c r="G561">
        <f t="shared" ca="1" si="546"/>
        <v>90.896689025069236</v>
      </c>
      <c r="H561">
        <f t="shared" ca="1" si="546"/>
        <v>93.161795474968159</v>
      </c>
      <c r="I561">
        <f t="shared" ca="1" si="546"/>
        <v>104.67059313807586</v>
      </c>
      <c r="J561">
        <f t="shared" ca="1" si="546"/>
        <v>99.684146989394421</v>
      </c>
      <c r="K561">
        <f t="shared" ref="K561:P561" ca="1" si="592">J561*EXP(($C$4-0.5*$C$5^2)*$C$10+$C$5*SQRT($C$10)*NORMINV(RAND(),0,1))</f>
        <v>109.37319986813594</v>
      </c>
      <c r="L561">
        <f t="shared" ca="1" si="592"/>
        <v>111.74218261669284</v>
      </c>
      <c r="M561">
        <f t="shared" ca="1" si="592"/>
        <v>107.42307447347928</v>
      </c>
      <c r="N561">
        <f t="shared" ca="1" si="592"/>
        <v>121.31825444878696</v>
      </c>
      <c r="O561">
        <f t="shared" ca="1" si="592"/>
        <v>128.24628627567344</v>
      </c>
      <c r="P561">
        <f t="shared" ca="1" si="592"/>
        <v>124.74131821423904</v>
      </c>
      <c r="Q561">
        <f t="shared" ca="1" si="548"/>
        <v>108.2961400476832</v>
      </c>
      <c r="R561">
        <f t="shared" ca="1" si="549"/>
        <v>8.2961400476831955</v>
      </c>
      <c r="S561">
        <f t="shared" ca="1" si="550"/>
        <v>7.8915325231350124</v>
      </c>
    </row>
    <row r="562" spans="5:19" x14ac:dyDescent="0.75">
      <c r="E562">
        <v>557</v>
      </c>
      <c r="F562">
        <v>100</v>
      </c>
      <c r="G562">
        <f t="shared" ca="1" si="546"/>
        <v>105.17905826870822</v>
      </c>
      <c r="H562">
        <f t="shared" ca="1" si="546"/>
        <v>110.50159028343133</v>
      </c>
      <c r="I562">
        <f t="shared" ca="1" si="546"/>
        <v>103.40019338993348</v>
      </c>
      <c r="J562">
        <f t="shared" ca="1" si="546"/>
        <v>106.88692389442446</v>
      </c>
      <c r="K562">
        <f t="shared" ref="K562:P562" ca="1" si="593">J562*EXP(($C$4-0.5*$C$5^2)*$C$10+$C$5*SQRT($C$10)*NORMINV(RAND(),0,1))</f>
        <v>114.06506732509033</v>
      </c>
      <c r="L562">
        <f t="shared" ca="1" si="593"/>
        <v>121.06870492279862</v>
      </c>
      <c r="M562">
        <f t="shared" ca="1" si="593"/>
        <v>128.5200728671762</v>
      </c>
      <c r="N562">
        <f t="shared" ca="1" si="593"/>
        <v>121.13168837352126</v>
      </c>
      <c r="O562">
        <f t="shared" ca="1" si="593"/>
        <v>115.42980347559245</v>
      </c>
      <c r="P562">
        <f t="shared" ca="1" si="593"/>
        <v>120.51860090477126</v>
      </c>
      <c r="Q562">
        <f t="shared" ca="1" si="548"/>
        <v>113.33651851867704</v>
      </c>
      <c r="R562">
        <f t="shared" ca="1" si="549"/>
        <v>13.336518518677039</v>
      </c>
      <c r="S562">
        <f t="shared" ca="1" si="550"/>
        <v>12.686088835364275</v>
      </c>
    </row>
    <row r="563" spans="5:19" x14ac:dyDescent="0.75">
      <c r="E563">
        <v>558</v>
      </c>
      <c r="F563">
        <v>100</v>
      </c>
      <c r="G563">
        <f t="shared" ca="1" si="546"/>
        <v>112.21646625015882</v>
      </c>
      <c r="H563">
        <f t="shared" ca="1" si="546"/>
        <v>116.86853659360666</v>
      </c>
      <c r="I563">
        <f t="shared" ca="1" si="546"/>
        <v>123.5513625601254</v>
      </c>
      <c r="J563">
        <f t="shared" ca="1" si="546"/>
        <v>127.66107016922749</v>
      </c>
      <c r="K563">
        <f t="shared" ref="K563:P563" ca="1" si="594">J563*EXP(($C$4-0.5*$C$5^2)*$C$10+$C$5*SQRT($C$10)*NORMINV(RAND(),0,1))</f>
        <v>132.70794860675076</v>
      </c>
      <c r="L563">
        <f t="shared" ca="1" si="594"/>
        <v>115.73051140370085</v>
      </c>
      <c r="M563">
        <f t="shared" ca="1" si="594"/>
        <v>109.29168403099803</v>
      </c>
      <c r="N563">
        <f t="shared" ca="1" si="594"/>
        <v>104.82769959227355</v>
      </c>
      <c r="O563">
        <f t="shared" ca="1" si="594"/>
        <v>102.59734354457866</v>
      </c>
      <c r="P563">
        <f t="shared" ca="1" si="594"/>
        <v>116.36443688524145</v>
      </c>
      <c r="Q563">
        <f t="shared" ca="1" si="548"/>
        <v>114.71064178515107</v>
      </c>
      <c r="R563">
        <f t="shared" ca="1" si="549"/>
        <v>14.710641785151068</v>
      </c>
      <c r="S563">
        <f t="shared" ca="1" si="550"/>
        <v>13.993195319325407</v>
      </c>
    </row>
    <row r="564" spans="5:19" x14ac:dyDescent="0.75">
      <c r="E564">
        <v>559</v>
      </c>
      <c r="F564">
        <v>100</v>
      </c>
      <c r="G564">
        <f t="shared" ca="1" si="546"/>
        <v>105.39946417249793</v>
      </c>
      <c r="H564">
        <f t="shared" ca="1" si="546"/>
        <v>112.65175353990516</v>
      </c>
      <c r="I564">
        <f t="shared" ca="1" si="546"/>
        <v>115.62235110830609</v>
      </c>
      <c r="J564">
        <f t="shared" ca="1" si="546"/>
        <v>122.41015181104288</v>
      </c>
      <c r="K564">
        <f t="shared" ref="K564:P564" ca="1" si="595">J564*EXP(($C$4-0.5*$C$5^2)*$C$10+$C$5*SQRT($C$10)*NORMINV(RAND(),0,1))</f>
        <v>122.13068540480201</v>
      </c>
      <c r="L564">
        <f t="shared" ca="1" si="595"/>
        <v>129.71575313856547</v>
      </c>
      <c r="M564">
        <f t="shared" ca="1" si="595"/>
        <v>129.83460111176271</v>
      </c>
      <c r="N564">
        <f t="shared" ca="1" si="595"/>
        <v>137.02535029695036</v>
      </c>
      <c r="O564">
        <f t="shared" ca="1" si="595"/>
        <v>136.53257409950876</v>
      </c>
      <c r="P564">
        <f t="shared" ca="1" si="595"/>
        <v>141.01932040728255</v>
      </c>
      <c r="Q564">
        <f t="shared" ca="1" si="548"/>
        <v>122.9401822809658</v>
      </c>
      <c r="R564">
        <f t="shared" ca="1" si="549"/>
        <v>22.9401822809658</v>
      </c>
      <c r="S564">
        <f t="shared" ca="1" si="550"/>
        <v>21.821376389064575</v>
      </c>
    </row>
    <row r="565" spans="5:19" x14ac:dyDescent="0.75">
      <c r="E565">
        <v>560</v>
      </c>
      <c r="F565">
        <v>100</v>
      </c>
      <c r="G565">
        <f t="shared" ca="1" si="546"/>
        <v>90.479003529629082</v>
      </c>
      <c r="H565">
        <f t="shared" ca="1" si="546"/>
        <v>85.071850440985628</v>
      </c>
      <c r="I565">
        <f t="shared" ca="1" si="546"/>
        <v>88.47151616313441</v>
      </c>
      <c r="J565">
        <f t="shared" ca="1" si="546"/>
        <v>93.005170320072295</v>
      </c>
      <c r="K565">
        <f t="shared" ref="K565:P565" ca="1" si="596">J565*EXP(($C$4-0.5*$C$5^2)*$C$10+$C$5*SQRT($C$10)*NORMINV(RAND(),0,1))</f>
        <v>87.758540674188026</v>
      </c>
      <c r="L565">
        <f t="shared" ca="1" si="596"/>
        <v>87.939947422130416</v>
      </c>
      <c r="M565">
        <f t="shared" ca="1" si="596"/>
        <v>82.36851467425528</v>
      </c>
      <c r="N565">
        <f t="shared" ca="1" si="596"/>
        <v>89.149391889363628</v>
      </c>
      <c r="O565">
        <f t="shared" ca="1" si="596"/>
        <v>91.954571898444428</v>
      </c>
      <c r="P565">
        <f t="shared" ca="1" si="596"/>
        <v>82.616696002633233</v>
      </c>
      <c r="Q565">
        <f t="shared" ca="1" si="548"/>
        <v>88.983200274076054</v>
      </c>
      <c r="R565">
        <f t="shared" ca="1" si="549"/>
        <v>0</v>
      </c>
      <c r="S565">
        <f t="shared" ca="1" si="550"/>
        <v>0</v>
      </c>
    </row>
    <row r="566" spans="5:19" x14ac:dyDescent="0.75">
      <c r="E566">
        <v>561</v>
      </c>
      <c r="F566">
        <v>100</v>
      </c>
      <c r="G566">
        <f t="shared" ca="1" si="546"/>
        <v>101.39587827288545</v>
      </c>
      <c r="H566">
        <f t="shared" ca="1" si="546"/>
        <v>100.61713159892247</v>
      </c>
      <c r="I566">
        <f t="shared" ca="1" si="546"/>
        <v>102.43400009873307</v>
      </c>
      <c r="J566">
        <f t="shared" ca="1" si="546"/>
        <v>103.19422973105165</v>
      </c>
      <c r="K566">
        <f t="shared" ref="K566:P566" ca="1" si="597">J566*EXP(($C$4-0.5*$C$5^2)*$C$10+$C$5*SQRT($C$10)*NORMINV(RAND(),0,1))</f>
        <v>114.67170462591196</v>
      </c>
      <c r="L566">
        <f t="shared" ca="1" si="597"/>
        <v>120.29425549011158</v>
      </c>
      <c r="M566">
        <f t="shared" ca="1" si="597"/>
        <v>114.86778568574469</v>
      </c>
      <c r="N566">
        <f t="shared" ca="1" si="597"/>
        <v>108.10701409518617</v>
      </c>
      <c r="O566">
        <f t="shared" ca="1" si="597"/>
        <v>118.62758675870339</v>
      </c>
      <c r="P566">
        <f t="shared" ca="1" si="597"/>
        <v>129.51278959627714</v>
      </c>
      <c r="Q566">
        <f t="shared" ca="1" si="548"/>
        <v>110.33839781395704</v>
      </c>
      <c r="R566">
        <f t="shared" ca="1" si="549"/>
        <v>10.338397813957044</v>
      </c>
      <c r="S566">
        <f t="shared" ca="1" si="550"/>
        <v>9.8341882028297984</v>
      </c>
    </row>
    <row r="567" spans="5:19" x14ac:dyDescent="0.75">
      <c r="E567">
        <v>562</v>
      </c>
      <c r="F567">
        <v>100</v>
      </c>
      <c r="G567">
        <f t="shared" ca="1" si="546"/>
        <v>103.56433678970502</v>
      </c>
      <c r="H567">
        <f t="shared" ca="1" si="546"/>
        <v>102.78712110929591</v>
      </c>
      <c r="I567">
        <f t="shared" ca="1" si="546"/>
        <v>105.75242064432766</v>
      </c>
      <c r="J567">
        <f t="shared" ca="1" si="546"/>
        <v>118.75568059369218</v>
      </c>
      <c r="K567">
        <f t="shared" ref="K567:P567" ca="1" si="598">J567*EXP(($C$4-0.5*$C$5^2)*$C$10+$C$5*SQRT($C$10)*NORMINV(RAND(),0,1))</f>
        <v>108.81032271800326</v>
      </c>
      <c r="L567">
        <f t="shared" ca="1" si="598"/>
        <v>103.19155309190782</v>
      </c>
      <c r="M567">
        <f t="shared" ca="1" si="598"/>
        <v>99.935258969367624</v>
      </c>
      <c r="N567">
        <f t="shared" ca="1" si="598"/>
        <v>91.485636560081502</v>
      </c>
      <c r="O567">
        <f t="shared" ca="1" si="598"/>
        <v>103.15843461404617</v>
      </c>
      <c r="P567">
        <f t="shared" ca="1" si="598"/>
        <v>107.40882640713524</v>
      </c>
      <c r="Q567">
        <f t="shared" ca="1" si="548"/>
        <v>104.07723559068749</v>
      </c>
      <c r="R567">
        <f t="shared" ca="1" si="549"/>
        <v>4.0772355906874935</v>
      </c>
      <c r="S567">
        <f t="shared" ca="1" si="550"/>
        <v>3.8783864644834933</v>
      </c>
    </row>
    <row r="568" spans="5:19" x14ac:dyDescent="0.75">
      <c r="E568">
        <v>563</v>
      </c>
      <c r="F568">
        <v>100</v>
      </c>
      <c r="G568">
        <f t="shared" ca="1" si="546"/>
        <v>106.41597101760962</v>
      </c>
      <c r="H568">
        <f t="shared" ca="1" si="546"/>
        <v>115.16313486999974</v>
      </c>
      <c r="I568">
        <f t="shared" ca="1" si="546"/>
        <v>111.97897466038359</v>
      </c>
      <c r="J568">
        <f t="shared" ca="1" si="546"/>
        <v>117.12139881495337</v>
      </c>
      <c r="K568">
        <f t="shared" ref="K568:P568" ca="1" si="599">J568*EXP(($C$4-0.5*$C$5^2)*$C$10+$C$5*SQRT($C$10)*NORMINV(RAND(),0,1))</f>
        <v>123.48475766715825</v>
      </c>
      <c r="L568">
        <f t="shared" ca="1" si="599"/>
        <v>122.59755612004402</v>
      </c>
      <c r="M568">
        <f t="shared" ca="1" si="599"/>
        <v>137.72196118182177</v>
      </c>
      <c r="N568">
        <f t="shared" ca="1" si="599"/>
        <v>126.71805641321143</v>
      </c>
      <c r="O568">
        <f t="shared" ca="1" si="599"/>
        <v>120.86890768334489</v>
      </c>
      <c r="P568">
        <f t="shared" ca="1" si="599"/>
        <v>119.01746639936569</v>
      </c>
      <c r="Q568">
        <f t="shared" ca="1" si="548"/>
        <v>118.28074407526292</v>
      </c>
      <c r="R568">
        <f t="shared" ca="1" si="549"/>
        <v>18.280744075262916</v>
      </c>
      <c r="S568">
        <f t="shared" ca="1" si="550"/>
        <v>17.389181666157182</v>
      </c>
    </row>
    <row r="569" spans="5:19" x14ac:dyDescent="0.75">
      <c r="E569">
        <v>564</v>
      </c>
      <c r="F569">
        <v>100</v>
      </c>
      <c r="G569">
        <f t="shared" ca="1" si="546"/>
        <v>96.776436720627842</v>
      </c>
      <c r="H569">
        <f t="shared" ca="1" si="546"/>
        <v>94.617386884264008</v>
      </c>
      <c r="I569">
        <f t="shared" ca="1" si="546"/>
        <v>99.759443554188096</v>
      </c>
      <c r="J569">
        <f t="shared" ca="1" si="546"/>
        <v>93.598439888046272</v>
      </c>
      <c r="K569">
        <f t="shared" ref="K569:P569" ca="1" si="600">J569*EXP(($C$4-0.5*$C$5^2)*$C$10+$C$5*SQRT($C$10)*NORMINV(RAND(),0,1))</f>
        <v>91.165942270313607</v>
      </c>
      <c r="L569">
        <f t="shared" ca="1" si="600"/>
        <v>89.018762367602179</v>
      </c>
      <c r="M569">
        <f t="shared" ca="1" si="600"/>
        <v>92.235991749030987</v>
      </c>
      <c r="N569">
        <f t="shared" ca="1" si="600"/>
        <v>96.741857100257306</v>
      </c>
      <c r="O569">
        <f t="shared" ca="1" si="600"/>
        <v>101.21675519026552</v>
      </c>
      <c r="P569">
        <f t="shared" ca="1" si="600"/>
        <v>100.98154821719841</v>
      </c>
      <c r="Q569">
        <f t="shared" ca="1" si="548"/>
        <v>96.010233085617671</v>
      </c>
      <c r="R569">
        <f t="shared" ca="1" si="549"/>
        <v>0</v>
      </c>
      <c r="S569">
        <f t="shared" ca="1" si="550"/>
        <v>0</v>
      </c>
    </row>
    <row r="570" spans="5:19" x14ac:dyDescent="0.75">
      <c r="E570">
        <v>565</v>
      </c>
      <c r="F570">
        <v>100</v>
      </c>
      <c r="G570">
        <f t="shared" ca="1" si="546"/>
        <v>116.40759452064795</v>
      </c>
      <c r="H570">
        <f t="shared" ca="1" si="546"/>
        <v>120.77037282476313</v>
      </c>
      <c r="I570">
        <f t="shared" ca="1" si="546"/>
        <v>118.96444637210922</v>
      </c>
      <c r="J570">
        <f t="shared" ca="1" si="546"/>
        <v>119.82098048666812</v>
      </c>
      <c r="K570">
        <f t="shared" ref="K570:P570" ca="1" si="601">J570*EXP(($C$4-0.5*$C$5^2)*$C$10+$C$5*SQRT($C$10)*NORMINV(RAND(),0,1))</f>
        <v>111.67888107655489</v>
      </c>
      <c r="L570">
        <f t="shared" ca="1" si="601"/>
        <v>102.43500513707447</v>
      </c>
      <c r="M570">
        <f t="shared" ca="1" si="601"/>
        <v>92.33862381422594</v>
      </c>
      <c r="N570">
        <f t="shared" ca="1" si="601"/>
        <v>95.900557840615235</v>
      </c>
      <c r="O570">
        <f t="shared" ca="1" si="601"/>
        <v>100.73492513024674</v>
      </c>
      <c r="P570">
        <f t="shared" ca="1" si="601"/>
        <v>96.161628443167643</v>
      </c>
      <c r="Q570">
        <f t="shared" ca="1" si="548"/>
        <v>106.83754687691575</v>
      </c>
      <c r="R570">
        <f t="shared" ca="1" si="549"/>
        <v>6.8375468769157521</v>
      </c>
      <c r="S570">
        <f t="shared" ca="1" si="550"/>
        <v>6.5040757807252252</v>
      </c>
    </row>
    <row r="571" spans="5:19" x14ac:dyDescent="0.75">
      <c r="E571">
        <v>566</v>
      </c>
      <c r="F571">
        <v>100</v>
      </c>
      <c r="G571">
        <f t="shared" ca="1" si="546"/>
        <v>98.043449904214015</v>
      </c>
      <c r="H571">
        <f t="shared" ca="1" si="546"/>
        <v>112.9630369304831</v>
      </c>
      <c r="I571">
        <f t="shared" ca="1" si="546"/>
        <v>122.95767649531784</v>
      </c>
      <c r="J571">
        <f t="shared" ca="1" si="546"/>
        <v>117.1970601539992</v>
      </c>
      <c r="K571">
        <f t="shared" ref="K571:P571" ca="1" si="602">J571*EXP(($C$4-0.5*$C$5^2)*$C$10+$C$5*SQRT($C$10)*NORMINV(RAND(),0,1))</f>
        <v>126.65080218033367</v>
      </c>
      <c r="L571">
        <f t="shared" ca="1" si="602"/>
        <v>136.68056998765601</v>
      </c>
      <c r="M571">
        <f t="shared" ca="1" si="602"/>
        <v>139.87327456228817</v>
      </c>
      <c r="N571">
        <f t="shared" ca="1" si="602"/>
        <v>162.90347226500458</v>
      </c>
      <c r="O571">
        <f t="shared" ca="1" si="602"/>
        <v>171.00007410235889</v>
      </c>
      <c r="P571">
        <f t="shared" ca="1" si="602"/>
        <v>171.06446171637893</v>
      </c>
      <c r="Q571">
        <f t="shared" ca="1" si="548"/>
        <v>132.66671620891222</v>
      </c>
      <c r="R571">
        <f t="shared" ca="1" si="549"/>
        <v>32.66671620891222</v>
      </c>
      <c r="S571">
        <f t="shared" ca="1" si="550"/>
        <v>31.073541659731717</v>
      </c>
    </row>
    <row r="572" spans="5:19" x14ac:dyDescent="0.75">
      <c r="E572">
        <v>567</v>
      </c>
      <c r="F572">
        <v>100</v>
      </c>
      <c r="G572">
        <f t="shared" ca="1" si="546"/>
        <v>107.80317064521519</v>
      </c>
      <c r="H572">
        <f t="shared" ca="1" si="546"/>
        <v>98.869977766099296</v>
      </c>
      <c r="I572">
        <f t="shared" ca="1" si="546"/>
        <v>83.819939578986265</v>
      </c>
      <c r="J572">
        <f t="shared" ca="1" si="546"/>
        <v>84.276102327774083</v>
      </c>
      <c r="K572">
        <f t="shared" ref="K572:P572" ca="1" si="603">J572*EXP(($C$4-0.5*$C$5^2)*$C$10+$C$5*SQRT($C$10)*NORMINV(RAND(),0,1))</f>
        <v>88.061182618851518</v>
      </c>
      <c r="L572">
        <f t="shared" ca="1" si="603"/>
        <v>96.545597716077495</v>
      </c>
      <c r="M572">
        <f t="shared" ca="1" si="603"/>
        <v>90.169516369792333</v>
      </c>
      <c r="N572">
        <f t="shared" ca="1" si="603"/>
        <v>90.741826652823022</v>
      </c>
      <c r="O572">
        <f t="shared" ca="1" si="603"/>
        <v>97.678629372202664</v>
      </c>
      <c r="P572">
        <f t="shared" ca="1" si="603"/>
        <v>94.347455101107343</v>
      </c>
      <c r="Q572">
        <f t="shared" ca="1" si="548"/>
        <v>93.846672558993546</v>
      </c>
      <c r="R572">
        <f t="shared" ca="1" si="549"/>
        <v>0</v>
      </c>
      <c r="S572">
        <f t="shared" ca="1" si="550"/>
        <v>0</v>
      </c>
    </row>
    <row r="573" spans="5:19" x14ac:dyDescent="0.75">
      <c r="E573">
        <v>568</v>
      </c>
      <c r="F573">
        <v>100</v>
      </c>
      <c r="G573">
        <f t="shared" ca="1" si="546"/>
        <v>108.47974538867066</v>
      </c>
      <c r="H573">
        <f t="shared" ca="1" si="546"/>
        <v>97.818100929703576</v>
      </c>
      <c r="I573">
        <f t="shared" ca="1" si="546"/>
        <v>93.831620633675442</v>
      </c>
      <c r="J573">
        <f t="shared" ca="1" si="546"/>
        <v>101.89150584970281</v>
      </c>
      <c r="K573">
        <f t="shared" ref="K573:P573" ca="1" si="604">J573*EXP(($C$4-0.5*$C$5^2)*$C$10+$C$5*SQRT($C$10)*NORMINV(RAND(),0,1))</f>
        <v>98.534981071550774</v>
      </c>
      <c r="L573">
        <f t="shared" ca="1" si="604"/>
        <v>101.80433465720249</v>
      </c>
      <c r="M573">
        <f t="shared" ca="1" si="604"/>
        <v>101.20391495559817</v>
      </c>
      <c r="N573">
        <f t="shared" ca="1" si="604"/>
        <v>105.23153204338368</v>
      </c>
      <c r="O573">
        <f t="shared" ca="1" si="604"/>
        <v>107.45414463849738</v>
      </c>
      <c r="P573">
        <f t="shared" ca="1" si="604"/>
        <v>100.45012546686941</v>
      </c>
      <c r="Q573">
        <f t="shared" ca="1" si="548"/>
        <v>101.51818233044132</v>
      </c>
      <c r="R573">
        <f t="shared" ca="1" si="549"/>
        <v>1.51818233044132</v>
      </c>
      <c r="S573">
        <f t="shared" ca="1" si="550"/>
        <v>1.4441397044728497</v>
      </c>
    </row>
    <row r="574" spans="5:19" x14ac:dyDescent="0.75">
      <c r="E574">
        <v>569</v>
      </c>
      <c r="F574">
        <v>100</v>
      </c>
      <c r="G574">
        <f t="shared" ca="1" si="546"/>
        <v>103.89000957943841</v>
      </c>
      <c r="H574">
        <f t="shared" ca="1" si="546"/>
        <v>110.21863237097126</v>
      </c>
      <c r="I574">
        <f t="shared" ca="1" si="546"/>
        <v>116.89733080269698</v>
      </c>
      <c r="J574">
        <f t="shared" ca="1" si="546"/>
        <v>107.31655383912886</v>
      </c>
      <c r="K574">
        <f t="shared" ref="K574:P574" ca="1" si="605">J574*EXP(($C$4-0.5*$C$5^2)*$C$10+$C$5*SQRT($C$10)*NORMINV(RAND(),0,1))</f>
        <v>114.28865190057091</v>
      </c>
      <c r="L574">
        <f t="shared" ca="1" si="605"/>
        <v>129.25465231100017</v>
      </c>
      <c r="M574">
        <f t="shared" ca="1" si="605"/>
        <v>125.05530552519167</v>
      </c>
      <c r="N574">
        <f t="shared" ca="1" si="605"/>
        <v>150.42936691198469</v>
      </c>
      <c r="O574">
        <f t="shared" ca="1" si="605"/>
        <v>145.90126061003468</v>
      </c>
      <c r="P574">
        <f t="shared" ca="1" si="605"/>
        <v>144.73467000215805</v>
      </c>
      <c r="Q574">
        <f t="shared" ca="1" si="548"/>
        <v>122.5442212593796</v>
      </c>
      <c r="R574">
        <f t="shared" ca="1" si="549"/>
        <v>22.544221259379597</v>
      </c>
      <c r="S574">
        <f t="shared" ca="1" si="550"/>
        <v>21.444726614376417</v>
      </c>
    </row>
    <row r="575" spans="5:19" x14ac:dyDescent="0.75">
      <c r="E575">
        <v>570</v>
      </c>
      <c r="F575">
        <v>100</v>
      </c>
      <c r="G575">
        <f t="shared" ca="1" si="546"/>
        <v>96.537701697584623</v>
      </c>
      <c r="H575">
        <f t="shared" ca="1" si="546"/>
        <v>92.458223392745452</v>
      </c>
      <c r="I575">
        <f t="shared" ca="1" si="546"/>
        <v>97.170747414613516</v>
      </c>
      <c r="J575">
        <f t="shared" ca="1" si="546"/>
        <v>98.384371260094625</v>
      </c>
      <c r="K575">
        <f t="shared" ref="K575:P575" ca="1" si="606">J575*EXP(($C$4-0.5*$C$5^2)*$C$10+$C$5*SQRT($C$10)*NORMINV(RAND(),0,1))</f>
        <v>103.44914316907185</v>
      </c>
      <c r="L575">
        <f t="shared" ca="1" si="606"/>
        <v>105.86095145685432</v>
      </c>
      <c r="M575">
        <f t="shared" ca="1" si="606"/>
        <v>115.63624134341534</v>
      </c>
      <c r="N575">
        <f t="shared" ca="1" si="606"/>
        <v>123.82482988870898</v>
      </c>
      <c r="O575">
        <f t="shared" ca="1" si="606"/>
        <v>127.85788247023119</v>
      </c>
      <c r="P575">
        <f t="shared" ca="1" si="606"/>
        <v>124.85963595548459</v>
      </c>
      <c r="Q575">
        <f t="shared" ca="1" si="548"/>
        <v>107.82179345898224</v>
      </c>
      <c r="R575">
        <f t="shared" ca="1" si="549"/>
        <v>7.821793458982242</v>
      </c>
      <c r="S575">
        <f t="shared" ca="1" si="550"/>
        <v>7.4403200905511273</v>
      </c>
    </row>
    <row r="576" spans="5:19" x14ac:dyDescent="0.75">
      <c r="E576">
        <v>571</v>
      </c>
      <c r="F576">
        <v>100</v>
      </c>
      <c r="G576">
        <f t="shared" ca="1" si="546"/>
        <v>111.39590279811688</v>
      </c>
      <c r="H576">
        <f t="shared" ca="1" si="546"/>
        <v>107.38127256195118</v>
      </c>
      <c r="I576">
        <f t="shared" ca="1" si="546"/>
        <v>116.41647944606497</v>
      </c>
      <c r="J576">
        <f t="shared" ca="1" si="546"/>
        <v>138.95842997266504</v>
      </c>
      <c r="K576">
        <f t="shared" ref="K576:P576" ca="1" si="607">J576*EXP(($C$4-0.5*$C$5^2)*$C$10+$C$5*SQRT($C$10)*NORMINV(RAND(),0,1))</f>
        <v>147.97534696554402</v>
      </c>
      <c r="L576">
        <f t="shared" ca="1" si="607"/>
        <v>145.63562437007087</v>
      </c>
      <c r="M576">
        <f t="shared" ca="1" si="607"/>
        <v>160.95116517513918</v>
      </c>
      <c r="N576">
        <f t="shared" ca="1" si="607"/>
        <v>156.94185864294926</v>
      </c>
      <c r="O576">
        <f t="shared" ca="1" si="607"/>
        <v>140.50504603510271</v>
      </c>
      <c r="P576">
        <f t="shared" ca="1" si="607"/>
        <v>147.61477134215897</v>
      </c>
      <c r="Q576">
        <f t="shared" ca="1" si="548"/>
        <v>133.97962702816028</v>
      </c>
      <c r="R576">
        <f t="shared" ca="1" si="549"/>
        <v>33.97962702816028</v>
      </c>
      <c r="S576">
        <f t="shared" ca="1" si="550"/>
        <v>32.322421062745811</v>
      </c>
    </row>
    <row r="577" spans="5:19" x14ac:dyDescent="0.75">
      <c r="E577">
        <v>572</v>
      </c>
      <c r="F577">
        <v>100</v>
      </c>
      <c r="G577">
        <f t="shared" ca="1" si="546"/>
        <v>94.521808554819145</v>
      </c>
      <c r="H577">
        <f t="shared" ca="1" si="546"/>
        <v>92.791196269824027</v>
      </c>
      <c r="I577">
        <f t="shared" ca="1" si="546"/>
        <v>94.101693968215443</v>
      </c>
      <c r="J577">
        <f t="shared" ca="1" si="546"/>
        <v>94.580353409596626</v>
      </c>
      <c r="K577">
        <f t="shared" ref="K577:P577" ca="1" si="608">J577*EXP(($C$4-0.5*$C$5^2)*$C$10+$C$5*SQRT($C$10)*NORMINV(RAND(),0,1))</f>
        <v>99.759335963697282</v>
      </c>
      <c r="L577">
        <f t="shared" ca="1" si="608"/>
        <v>112.3280302231578</v>
      </c>
      <c r="M577">
        <f t="shared" ca="1" si="608"/>
        <v>109.29651783161596</v>
      </c>
      <c r="N577">
        <f t="shared" ca="1" si="608"/>
        <v>96.662083145191431</v>
      </c>
      <c r="O577">
        <f t="shared" ca="1" si="608"/>
        <v>106.004012015782</v>
      </c>
      <c r="P577">
        <f t="shared" ca="1" si="608"/>
        <v>103.00939234941514</v>
      </c>
      <c r="Q577">
        <f t="shared" ca="1" si="548"/>
        <v>100.27767488466498</v>
      </c>
      <c r="R577">
        <f t="shared" ca="1" si="549"/>
        <v>0.27767488466497525</v>
      </c>
      <c r="S577">
        <f t="shared" ca="1" si="550"/>
        <v>0.26413252073816657</v>
      </c>
    </row>
    <row r="578" spans="5:19" x14ac:dyDescent="0.75">
      <c r="E578">
        <v>573</v>
      </c>
      <c r="F578">
        <v>100</v>
      </c>
      <c r="G578">
        <f t="shared" ca="1" si="546"/>
        <v>101.68288570356916</v>
      </c>
      <c r="H578">
        <f t="shared" ca="1" si="546"/>
        <v>100.57946300446204</v>
      </c>
      <c r="I578">
        <f t="shared" ca="1" si="546"/>
        <v>98.773673333553887</v>
      </c>
      <c r="J578">
        <f t="shared" ca="1" si="546"/>
        <v>98.980104608641753</v>
      </c>
      <c r="K578">
        <f t="shared" ref="K578:P578" ca="1" si="609">J578*EXP(($C$4-0.5*$C$5^2)*$C$10+$C$5*SQRT($C$10)*NORMINV(RAND(),0,1))</f>
        <v>102.71582756646997</v>
      </c>
      <c r="L578">
        <f t="shared" ca="1" si="609"/>
        <v>97.673009047439606</v>
      </c>
      <c r="M578">
        <f t="shared" ca="1" si="609"/>
        <v>105.49635990116192</v>
      </c>
      <c r="N578">
        <f t="shared" ca="1" si="609"/>
        <v>114.20211542996628</v>
      </c>
      <c r="O578">
        <f t="shared" ca="1" si="609"/>
        <v>126.47655505373704</v>
      </c>
      <c r="P578">
        <f t="shared" ca="1" si="609"/>
        <v>122.94829474874226</v>
      </c>
      <c r="Q578">
        <f t="shared" ca="1" si="548"/>
        <v>106.32075349070398</v>
      </c>
      <c r="R578">
        <f t="shared" ca="1" si="549"/>
        <v>6.3207534907039786</v>
      </c>
      <c r="S578">
        <f t="shared" ca="1" si="550"/>
        <v>6.0124867053732247</v>
      </c>
    </row>
    <row r="579" spans="5:19" x14ac:dyDescent="0.75">
      <c r="E579">
        <v>574</v>
      </c>
      <c r="F579">
        <v>100</v>
      </c>
      <c r="G579">
        <f t="shared" ca="1" si="546"/>
        <v>110.83613778912405</v>
      </c>
      <c r="H579">
        <f t="shared" ca="1" si="546"/>
        <v>107.83731115525028</v>
      </c>
      <c r="I579">
        <f t="shared" ca="1" si="546"/>
        <v>121.95961285406284</v>
      </c>
      <c r="J579">
        <f t="shared" ca="1" si="546"/>
        <v>116.07026296300774</v>
      </c>
      <c r="K579">
        <f t="shared" ref="K579:P579" ca="1" si="610">J579*EXP(($C$4-0.5*$C$5^2)*$C$10+$C$5*SQRT($C$10)*NORMINV(RAND(),0,1))</f>
        <v>106.86554827634855</v>
      </c>
      <c r="L579">
        <f t="shared" ca="1" si="610"/>
        <v>100.95148977243088</v>
      </c>
      <c r="M579">
        <f t="shared" ca="1" si="610"/>
        <v>98.861173335726477</v>
      </c>
      <c r="N579">
        <f t="shared" ca="1" si="610"/>
        <v>98.075431187254921</v>
      </c>
      <c r="O579">
        <f t="shared" ca="1" si="610"/>
        <v>103.41524746627749</v>
      </c>
      <c r="P579">
        <f t="shared" ca="1" si="610"/>
        <v>112.62730478535275</v>
      </c>
      <c r="Q579">
        <f t="shared" ca="1" si="548"/>
        <v>107.04541087134872</v>
      </c>
      <c r="R579">
        <f t="shared" ca="1" si="549"/>
        <v>7.0454108713487216</v>
      </c>
      <c r="S579">
        <f t="shared" ca="1" si="550"/>
        <v>6.7018021285241183</v>
      </c>
    </row>
    <row r="580" spans="5:19" x14ac:dyDescent="0.75">
      <c r="E580">
        <v>575</v>
      </c>
      <c r="F580">
        <v>100</v>
      </c>
      <c r="G580">
        <f t="shared" ca="1" si="546"/>
        <v>108.08985890375314</v>
      </c>
      <c r="H580">
        <f t="shared" ca="1" si="546"/>
        <v>107.16472303841978</v>
      </c>
      <c r="I580">
        <f t="shared" ca="1" si="546"/>
        <v>102.81148197779736</v>
      </c>
      <c r="J580">
        <f t="shared" ca="1" si="546"/>
        <v>100.61553312255576</v>
      </c>
      <c r="K580">
        <f t="shared" ref="K580:P580" ca="1" si="611">J580*EXP(($C$4-0.5*$C$5^2)*$C$10+$C$5*SQRT($C$10)*NORMINV(RAND(),0,1))</f>
        <v>110.28957839359779</v>
      </c>
      <c r="L580">
        <f t="shared" ca="1" si="611"/>
        <v>100.5815889793094</v>
      </c>
      <c r="M580">
        <f t="shared" ca="1" si="611"/>
        <v>113.98881801007167</v>
      </c>
      <c r="N580">
        <f t="shared" ca="1" si="611"/>
        <v>113.16917783863396</v>
      </c>
      <c r="O580">
        <f t="shared" ca="1" si="611"/>
        <v>113.93764057939669</v>
      </c>
      <c r="P580">
        <f t="shared" ca="1" si="611"/>
        <v>109.53467964649005</v>
      </c>
      <c r="Q580">
        <f t="shared" ca="1" si="548"/>
        <v>107.28937095363871</v>
      </c>
      <c r="R580">
        <f t="shared" ca="1" si="549"/>
        <v>7.2893709536387092</v>
      </c>
      <c r="S580">
        <f t="shared" ca="1" si="550"/>
        <v>6.9338641372019705</v>
      </c>
    </row>
    <row r="581" spans="5:19" x14ac:dyDescent="0.75">
      <c r="E581">
        <v>576</v>
      </c>
      <c r="F581">
        <v>100</v>
      </c>
      <c r="G581">
        <f t="shared" ca="1" si="546"/>
        <v>109.82769635290477</v>
      </c>
      <c r="H581">
        <f t="shared" ca="1" si="546"/>
        <v>102.7522259597843</v>
      </c>
      <c r="I581">
        <f t="shared" ca="1" si="546"/>
        <v>95.547200819409568</v>
      </c>
      <c r="J581">
        <f t="shared" ca="1" si="546"/>
        <v>91.630865061403696</v>
      </c>
      <c r="K581">
        <f t="shared" ref="K581:P581" ca="1" si="612">J581*EXP(($C$4-0.5*$C$5^2)*$C$10+$C$5*SQRT($C$10)*NORMINV(RAND(),0,1))</f>
        <v>82.487427053934567</v>
      </c>
      <c r="L581">
        <f t="shared" ca="1" si="612"/>
        <v>82.119159634924543</v>
      </c>
      <c r="M581">
        <f t="shared" ca="1" si="612"/>
        <v>80.090646729875388</v>
      </c>
      <c r="N581">
        <f t="shared" ca="1" si="612"/>
        <v>81.42071568413084</v>
      </c>
      <c r="O581">
        <f t="shared" ca="1" si="612"/>
        <v>81.858489774275327</v>
      </c>
      <c r="P581">
        <f t="shared" ca="1" si="612"/>
        <v>86.346702866374301</v>
      </c>
      <c r="Q581">
        <f t="shared" ca="1" si="548"/>
        <v>90.371011812456118</v>
      </c>
      <c r="R581">
        <f t="shared" ca="1" si="549"/>
        <v>0</v>
      </c>
      <c r="S581">
        <f t="shared" ca="1" si="550"/>
        <v>0</v>
      </c>
    </row>
    <row r="582" spans="5:19" x14ac:dyDescent="0.75">
      <c r="E582">
        <v>577</v>
      </c>
      <c r="F582">
        <v>100</v>
      </c>
      <c r="G582">
        <f t="shared" ca="1" si="546"/>
        <v>99.563298390583128</v>
      </c>
      <c r="H582">
        <f t="shared" ca="1" si="546"/>
        <v>94.085623167181581</v>
      </c>
      <c r="I582">
        <f t="shared" ca="1" si="546"/>
        <v>88.186852182625799</v>
      </c>
      <c r="J582">
        <f t="shared" ref="J582:P582" ca="1" si="613">I582*EXP(($C$4-0.5*$C$5^2)*$C$10+$C$5*SQRT($C$10)*NORMINV(RAND(),0,1))</f>
        <v>84.791509922166995</v>
      </c>
      <c r="K582">
        <f t="shared" ca="1" si="613"/>
        <v>73.285279050848203</v>
      </c>
      <c r="L582">
        <f t="shared" ca="1" si="613"/>
        <v>82.705580622901209</v>
      </c>
      <c r="M582">
        <f t="shared" ca="1" si="613"/>
        <v>80.735551216736198</v>
      </c>
      <c r="N582">
        <f t="shared" ca="1" si="613"/>
        <v>83.981981613784939</v>
      </c>
      <c r="O582">
        <f t="shared" ca="1" si="613"/>
        <v>78.485891005932544</v>
      </c>
      <c r="P582">
        <f t="shared" ca="1" si="613"/>
        <v>80.754124777461413</v>
      </c>
      <c r="Q582">
        <f t="shared" ca="1" si="548"/>
        <v>86.052335631838375</v>
      </c>
      <c r="R582">
        <f t="shared" ca="1" si="549"/>
        <v>0</v>
      </c>
      <c r="S582">
        <f t="shared" ca="1" si="550"/>
        <v>0</v>
      </c>
    </row>
    <row r="583" spans="5:19" x14ac:dyDescent="0.75">
      <c r="E583">
        <v>578</v>
      </c>
      <c r="F583">
        <v>100</v>
      </c>
      <c r="G583">
        <f t="shared" ref="G583:J646" ca="1" si="614">F583*EXP(($C$4-0.5*$C$5^2)*$C$10+$C$5*SQRT($C$10)*NORMINV(RAND(),0,1))</f>
        <v>97.05346914583734</v>
      </c>
      <c r="H583">
        <f t="shared" ca="1" si="614"/>
        <v>96.268786063449298</v>
      </c>
      <c r="I583">
        <f t="shared" ca="1" si="614"/>
        <v>94.500060472905275</v>
      </c>
      <c r="J583">
        <f t="shared" ca="1" si="614"/>
        <v>90.413514177134516</v>
      </c>
      <c r="K583">
        <f t="shared" ref="K583:P583" ca="1" si="615">J583*EXP(($C$4-0.5*$C$5^2)*$C$10+$C$5*SQRT($C$10)*NORMINV(RAND(),0,1))</f>
        <v>85.783817066210446</v>
      </c>
      <c r="L583">
        <f t="shared" ca="1" si="615"/>
        <v>81.234648560957325</v>
      </c>
      <c r="M583">
        <f t="shared" ca="1" si="615"/>
        <v>80.450154603441774</v>
      </c>
      <c r="N583">
        <f t="shared" ca="1" si="615"/>
        <v>81.117848801168364</v>
      </c>
      <c r="O583">
        <f t="shared" ca="1" si="615"/>
        <v>76.920514572521427</v>
      </c>
      <c r="P583">
        <f t="shared" ca="1" si="615"/>
        <v>80.421365251960452</v>
      </c>
      <c r="Q583">
        <f t="shared" ref="Q583:Q646" ca="1" si="616">AVERAGE(F583:P583)</f>
        <v>87.651288974144208</v>
      </c>
      <c r="R583">
        <f t="shared" ref="R583:R646" ca="1" si="617">MAX(Q583-$C$7,0)</f>
        <v>0</v>
      </c>
      <c r="S583">
        <f t="shared" ref="S583:S646" ca="1" si="618">EXP(-$C$4*$C$6)*R583</f>
        <v>0</v>
      </c>
    </row>
    <row r="584" spans="5:19" x14ac:dyDescent="0.75">
      <c r="E584">
        <v>579</v>
      </c>
      <c r="F584">
        <v>100</v>
      </c>
      <c r="G584">
        <f t="shared" ca="1" si="614"/>
        <v>105.71155774778435</v>
      </c>
      <c r="H584">
        <f t="shared" ca="1" si="614"/>
        <v>92.700017503276754</v>
      </c>
      <c r="I584">
        <f t="shared" ca="1" si="614"/>
        <v>91.88540118181929</v>
      </c>
      <c r="J584">
        <f t="shared" ca="1" si="614"/>
        <v>100.92413126026122</v>
      </c>
      <c r="K584">
        <f t="shared" ref="K584:P584" ca="1" si="619">J584*EXP(($C$4-0.5*$C$5^2)*$C$10+$C$5*SQRT($C$10)*NORMINV(RAND(),0,1))</f>
        <v>98.221594804497229</v>
      </c>
      <c r="L584">
        <f t="shared" ca="1" si="619"/>
        <v>103.68880907926771</v>
      </c>
      <c r="M584">
        <f t="shared" ca="1" si="619"/>
        <v>98.393487420697127</v>
      </c>
      <c r="N584">
        <f t="shared" ca="1" si="619"/>
        <v>91.992999112385647</v>
      </c>
      <c r="O584">
        <f t="shared" ca="1" si="619"/>
        <v>100.3073260763732</v>
      </c>
      <c r="P584">
        <f t="shared" ca="1" si="619"/>
        <v>101.90319541532693</v>
      </c>
      <c r="Q584">
        <f t="shared" ca="1" si="616"/>
        <v>98.702592691062677</v>
      </c>
      <c r="R584">
        <f t="shared" ca="1" si="617"/>
        <v>0</v>
      </c>
      <c r="S584">
        <f t="shared" ca="1" si="618"/>
        <v>0</v>
      </c>
    </row>
    <row r="585" spans="5:19" x14ac:dyDescent="0.75">
      <c r="E585">
        <v>580</v>
      </c>
      <c r="F585">
        <v>100</v>
      </c>
      <c r="G585">
        <f t="shared" ca="1" si="614"/>
        <v>104.5465525656971</v>
      </c>
      <c r="H585">
        <f t="shared" ca="1" si="614"/>
        <v>109.63909717236554</v>
      </c>
      <c r="I585">
        <f t="shared" ca="1" si="614"/>
        <v>91.043126789115703</v>
      </c>
      <c r="J585">
        <f t="shared" ca="1" si="614"/>
        <v>92.768245375006728</v>
      </c>
      <c r="K585">
        <f t="shared" ref="K585:P585" ca="1" si="620">J585*EXP(($C$4-0.5*$C$5^2)*$C$10+$C$5*SQRT($C$10)*NORMINV(RAND(),0,1))</f>
        <v>101.84204151326354</v>
      </c>
      <c r="L585">
        <f t="shared" ca="1" si="620"/>
        <v>91.813564623220898</v>
      </c>
      <c r="M585">
        <f t="shared" ca="1" si="620"/>
        <v>91.324465246980594</v>
      </c>
      <c r="N585">
        <f t="shared" ca="1" si="620"/>
        <v>93.106808872981929</v>
      </c>
      <c r="O585">
        <f t="shared" ca="1" si="620"/>
        <v>98.905986937532191</v>
      </c>
      <c r="P585">
        <f t="shared" ca="1" si="620"/>
        <v>106.92528996476895</v>
      </c>
      <c r="Q585">
        <f t="shared" ca="1" si="616"/>
        <v>98.35592536917575</v>
      </c>
      <c r="R585">
        <f t="shared" ca="1" si="617"/>
        <v>0</v>
      </c>
      <c r="S585">
        <f t="shared" ca="1" si="618"/>
        <v>0</v>
      </c>
    </row>
    <row r="586" spans="5:19" x14ac:dyDescent="0.75">
      <c r="E586">
        <v>581</v>
      </c>
      <c r="F586">
        <v>100</v>
      </c>
      <c r="G586">
        <f t="shared" ca="1" si="614"/>
        <v>99.566920510369627</v>
      </c>
      <c r="H586">
        <f t="shared" ca="1" si="614"/>
        <v>96.266410004391915</v>
      </c>
      <c r="I586">
        <f t="shared" ca="1" si="614"/>
        <v>102.05050095619538</v>
      </c>
      <c r="J586">
        <f t="shared" ca="1" si="614"/>
        <v>101.05438435448463</v>
      </c>
      <c r="K586">
        <f t="shared" ref="K586:P586" ca="1" si="621">J586*EXP(($C$4-0.5*$C$5^2)*$C$10+$C$5*SQRT($C$10)*NORMINV(RAND(),0,1))</f>
        <v>102.95202028589762</v>
      </c>
      <c r="L586">
        <f t="shared" ca="1" si="621"/>
        <v>111.68549688243156</v>
      </c>
      <c r="M586">
        <f t="shared" ca="1" si="621"/>
        <v>110.97791702163232</v>
      </c>
      <c r="N586">
        <f t="shared" ca="1" si="621"/>
        <v>123.31612451092029</v>
      </c>
      <c r="O586">
        <f t="shared" ca="1" si="621"/>
        <v>117.49818169041559</v>
      </c>
      <c r="P586">
        <f t="shared" ca="1" si="621"/>
        <v>120.88403080449341</v>
      </c>
      <c r="Q586">
        <f t="shared" ca="1" si="616"/>
        <v>107.84108972920295</v>
      </c>
      <c r="R586">
        <f t="shared" ca="1" si="617"/>
        <v>7.8410897292029489</v>
      </c>
      <c r="S586">
        <f t="shared" ca="1" si="618"/>
        <v>7.4586752705681807</v>
      </c>
    </row>
    <row r="587" spans="5:19" x14ac:dyDescent="0.75">
      <c r="E587">
        <v>582</v>
      </c>
      <c r="F587">
        <v>100</v>
      </c>
      <c r="G587">
        <f t="shared" ca="1" si="614"/>
        <v>112.55056087839368</v>
      </c>
      <c r="H587">
        <f t="shared" ca="1" si="614"/>
        <v>110.48809370639511</v>
      </c>
      <c r="I587">
        <f t="shared" ca="1" si="614"/>
        <v>113.80092391486693</v>
      </c>
      <c r="J587">
        <f t="shared" ca="1" si="614"/>
        <v>127.02976804217451</v>
      </c>
      <c r="K587">
        <f t="shared" ref="K587:P587" ca="1" si="622">J587*EXP(($C$4-0.5*$C$5^2)*$C$10+$C$5*SQRT($C$10)*NORMINV(RAND(),0,1))</f>
        <v>134.36967488516385</v>
      </c>
      <c r="L587">
        <f t="shared" ca="1" si="622"/>
        <v>147.79420669245735</v>
      </c>
      <c r="M587">
        <f t="shared" ca="1" si="622"/>
        <v>159.89913668600016</v>
      </c>
      <c r="N587">
        <f t="shared" ca="1" si="622"/>
        <v>143.92593710111998</v>
      </c>
      <c r="O587">
        <f t="shared" ca="1" si="622"/>
        <v>137.06269417503054</v>
      </c>
      <c r="P587">
        <f t="shared" ca="1" si="622"/>
        <v>129.41354911457813</v>
      </c>
      <c r="Q587">
        <f t="shared" ca="1" si="616"/>
        <v>128.75768592692549</v>
      </c>
      <c r="R587">
        <f t="shared" ca="1" si="617"/>
        <v>28.75768592692549</v>
      </c>
      <c r="S587">
        <f t="shared" ca="1" si="618"/>
        <v>27.355157034241618</v>
      </c>
    </row>
    <row r="588" spans="5:19" x14ac:dyDescent="0.75">
      <c r="E588">
        <v>583</v>
      </c>
      <c r="F588">
        <v>100</v>
      </c>
      <c r="G588">
        <f t="shared" ca="1" si="614"/>
        <v>94.277714282392893</v>
      </c>
      <c r="H588">
        <f t="shared" ca="1" si="614"/>
        <v>99.987126072696299</v>
      </c>
      <c r="I588">
        <f t="shared" ca="1" si="614"/>
        <v>103.95991908392456</v>
      </c>
      <c r="J588">
        <f t="shared" ca="1" si="614"/>
        <v>103.45797077940789</v>
      </c>
      <c r="K588">
        <f t="shared" ref="K588:P588" ca="1" si="623">J588*EXP(($C$4-0.5*$C$5^2)*$C$10+$C$5*SQRT($C$10)*NORMINV(RAND(),0,1))</f>
        <v>88.489528910417775</v>
      </c>
      <c r="L588">
        <f t="shared" ca="1" si="623"/>
        <v>91.35092201250599</v>
      </c>
      <c r="M588">
        <f t="shared" ca="1" si="623"/>
        <v>86.208209526067776</v>
      </c>
      <c r="N588">
        <f t="shared" ca="1" si="623"/>
        <v>92.146913614989472</v>
      </c>
      <c r="O588">
        <f t="shared" ca="1" si="623"/>
        <v>91.559378809715213</v>
      </c>
      <c r="P588">
        <f t="shared" ca="1" si="623"/>
        <v>91.361846308058901</v>
      </c>
      <c r="Q588">
        <f t="shared" ca="1" si="616"/>
        <v>94.799957218197875</v>
      </c>
      <c r="R588">
        <f t="shared" ca="1" si="617"/>
        <v>0</v>
      </c>
      <c r="S588">
        <f t="shared" ca="1" si="618"/>
        <v>0</v>
      </c>
    </row>
    <row r="589" spans="5:19" x14ac:dyDescent="0.75">
      <c r="E589">
        <v>584</v>
      </c>
      <c r="F589">
        <v>100</v>
      </c>
      <c r="G589">
        <f t="shared" ca="1" si="614"/>
        <v>109.06179748720326</v>
      </c>
      <c r="H589">
        <f t="shared" ca="1" si="614"/>
        <v>110.3509147624878</v>
      </c>
      <c r="I589">
        <f t="shared" ca="1" si="614"/>
        <v>116.31914351449073</v>
      </c>
      <c r="J589">
        <f t="shared" ca="1" si="614"/>
        <v>111.96884153154754</v>
      </c>
      <c r="K589">
        <f t="shared" ref="K589:P589" ca="1" si="624">J589*EXP(($C$4-0.5*$C$5^2)*$C$10+$C$5*SQRT($C$10)*NORMINV(RAND(),0,1))</f>
        <v>108.9046722601889</v>
      </c>
      <c r="L589">
        <f t="shared" ca="1" si="624"/>
        <v>105.66655663468605</v>
      </c>
      <c r="M589">
        <f t="shared" ca="1" si="624"/>
        <v>112.06583589703241</v>
      </c>
      <c r="N589">
        <f t="shared" ca="1" si="624"/>
        <v>116.12860792076187</v>
      </c>
      <c r="O589">
        <f t="shared" ca="1" si="624"/>
        <v>98.780916129287078</v>
      </c>
      <c r="P589">
        <f t="shared" ca="1" si="624"/>
        <v>102.77333392727675</v>
      </c>
      <c r="Q589">
        <f t="shared" ca="1" si="616"/>
        <v>108.36551091499659</v>
      </c>
      <c r="R589">
        <f t="shared" ca="1" si="617"/>
        <v>8.3655109149965909</v>
      </c>
      <c r="S589">
        <f t="shared" ca="1" si="618"/>
        <v>7.957520133326649</v>
      </c>
    </row>
    <row r="590" spans="5:19" x14ac:dyDescent="0.75">
      <c r="E590">
        <v>585</v>
      </c>
      <c r="F590">
        <v>100</v>
      </c>
      <c r="G590">
        <f t="shared" ca="1" si="614"/>
        <v>102.42214750010244</v>
      </c>
      <c r="H590">
        <f t="shared" ca="1" si="614"/>
        <v>114.86321400862036</v>
      </c>
      <c r="I590">
        <f t="shared" ca="1" si="614"/>
        <v>125.30598796006946</v>
      </c>
      <c r="J590">
        <f t="shared" ca="1" si="614"/>
        <v>136.7255803317635</v>
      </c>
      <c r="K590">
        <f t="shared" ref="K590:P590" ca="1" si="625">J590*EXP(($C$4-0.5*$C$5^2)*$C$10+$C$5*SQRT($C$10)*NORMINV(RAND(),0,1))</f>
        <v>128.77154208692323</v>
      </c>
      <c r="L590">
        <f t="shared" ca="1" si="625"/>
        <v>143.59625478647243</v>
      </c>
      <c r="M590">
        <f t="shared" ca="1" si="625"/>
        <v>132.80769789120288</v>
      </c>
      <c r="N590">
        <f t="shared" ca="1" si="625"/>
        <v>134.56064839278523</v>
      </c>
      <c r="O590">
        <f t="shared" ca="1" si="625"/>
        <v>138.75491930437695</v>
      </c>
      <c r="P590">
        <f t="shared" ca="1" si="625"/>
        <v>131.56572584468628</v>
      </c>
      <c r="Q590">
        <f t="shared" ca="1" si="616"/>
        <v>126.30670164609116</v>
      </c>
      <c r="R590">
        <f t="shared" ca="1" si="617"/>
        <v>26.306701646091156</v>
      </c>
      <c r="S590">
        <f t="shared" ca="1" si="618"/>
        <v>25.023708667323277</v>
      </c>
    </row>
    <row r="591" spans="5:19" x14ac:dyDescent="0.75">
      <c r="E591">
        <v>586</v>
      </c>
      <c r="F591">
        <v>100</v>
      </c>
      <c r="G591">
        <f t="shared" ca="1" si="614"/>
        <v>99.52386405125192</v>
      </c>
      <c r="H591">
        <f t="shared" ca="1" si="614"/>
        <v>105.16265812971622</v>
      </c>
      <c r="I591">
        <f t="shared" ca="1" si="614"/>
        <v>105.70459813089047</v>
      </c>
      <c r="J591">
        <f t="shared" ca="1" si="614"/>
        <v>115.92495243380209</v>
      </c>
      <c r="K591">
        <f t="shared" ref="K591:P591" ca="1" si="626">J591*EXP(($C$4-0.5*$C$5^2)*$C$10+$C$5*SQRT($C$10)*NORMINV(RAND(),0,1))</f>
        <v>113.58829800937254</v>
      </c>
      <c r="L591">
        <f t="shared" ca="1" si="626"/>
        <v>103.51962822050263</v>
      </c>
      <c r="M591">
        <f t="shared" ca="1" si="626"/>
        <v>99.802193155708252</v>
      </c>
      <c r="N591">
        <f t="shared" ca="1" si="626"/>
        <v>100.46051802266599</v>
      </c>
      <c r="O591">
        <f t="shared" ca="1" si="626"/>
        <v>100.910100153993</v>
      </c>
      <c r="P591">
        <f t="shared" ca="1" si="626"/>
        <v>91.044759246438403</v>
      </c>
      <c r="Q591">
        <f t="shared" ca="1" si="616"/>
        <v>103.24014268675832</v>
      </c>
      <c r="R591">
        <f t="shared" ca="1" si="617"/>
        <v>3.2401426867583183</v>
      </c>
      <c r="S591">
        <f t="shared" ca="1" si="618"/>
        <v>3.0821190632253126</v>
      </c>
    </row>
    <row r="592" spans="5:19" x14ac:dyDescent="0.75">
      <c r="E592">
        <v>587</v>
      </c>
      <c r="F592">
        <v>100</v>
      </c>
      <c r="G592">
        <f t="shared" ca="1" si="614"/>
        <v>97.854812825940556</v>
      </c>
      <c r="H592">
        <f t="shared" ca="1" si="614"/>
        <v>96.922082770115736</v>
      </c>
      <c r="I592">
        <f t="shared" ca="1" si="614"/>
        <v>97.266539305081011</v>
      </c>
      <c r="J592">
        <f t="shared" ca="1" si="614"/>
        <v>95.893342566605469</v>
      </c>
      <c r="K592">
        <f t="shared" ref="K592:P592" ca="1" si="627">J592*EXP(($C$4-0.5*$C$5^2)*$C$10+$C$5*SQRT($C$10)*NORMINV(RAND(),0,1))</f>
        <v>89.999920750789556</v>
      </c>
      <c r="L592">
        <f t="shared" ca="1" si="627"/>
        <v>84.458044932256186</v>
      </c>
      <c r="M592">
        <f t="shared" ca="1" si="627"/>
        <v>91.941068006521093</v>
      </c>
      <c r="N592">
        <f t="shared" ca="1" si="627"/>
        <v>90.063454303010261</v>
      </c>
      <c r="O592">
        <f t="shared" ca="1" si="627"/>
        <v>91.621834077801694</v>
      </c>
      <c r="P592">
        <f t="shared" ca="1" si="627"/>
        <v>97.892157329642387</v>
      </c>
      <c r="Q592">
        <f t="shared" ca="1" si="616"/>
        <v>93.992114260705819</v>
      </c>
      <c r="R592">
        <f t="shared" ca="1" si="617"/>
        <v>0</v>
      </c>
      <c r="S592">
        <f t="shared" ca="1" si="618"/>
        <v>0</v>
      </c>
    </row>
    <row r="593" spans="5:19" x14ac:dyDescent="0.75">
      <c r="E593">
        <v>588</v>
      </c>
      <c r="F593">
        <v>100</v>
      </c>
      <c r="G593">
        <f t="shared" ca="1" si="614"/>
        <v>106.64051192810395</v>
      </c>
      <c r="H593">
        <f t="shared" ca="1" si="614"/>
        <v>118.11179418478007</v>
      </c>
      <c r="I593">
        <f t="shared" ca="1" si="614"/>
        <v>107.84662424398545</v>
      </c>
      <c r="J593">
        <f t="shared" ca="1" si="614"/>
        <v>116.60591952517221</v>
      </c>
      <c r="K593">
        <f t="shared" ref="K593:P593" ca="1" si="628">J593*EXP(($C$4-0.5*$C$5^2)*$C$10+$C$5*SQRT($C$10)*NORMINV(RAND(),0,1))</f>
        <v>120.39153828108562</v>
      </c>
      <c r="L593">
        <f t="shared" ca="1" si="628"/>
        <v>131.61015869660997</v>
      </c>
      <c r="M593">
        <f t="shared" ca="1" si="628"/>
        <v>136.3893480986294</v>
      </c>
      <c r="N593">
        <f t="shared" ca="1" si="628"/>
        <v>134.71068059211603</v>
      </c>
      <c r="O593">
        <f t="shared" ca="1" si="628"/>
        <v>128.06654184415825</v>
      </c>
      <c r="P593">
        <f t="shared" ca="1" si="628"/>
        <v>138.58528419814741</v>
      </c>
      <c r="Q593">
        <f t="shared" ca="1" si="616"/>
        <v>121.72349105388986</v>
      </c>
      <c r="R593">
        <f t="shared" ca="1" si="617"/>
        <v>21.723491053889859</v>
      </c>
      <c r="S593">
        <f t="shared" ca="1" si="618"/>
        <v>20.664023893338062</v>
      </c>
    </row>
    <row r="594" spans="5:19" x14ac:dyDescent="0.75">
      <c r="E594">
        <v>589</v>
      </c>
      <c r="F594">
        <v>100</v>
      </c>
      <c r="G594">
        <f t="shared" ca="1" si="614"/>
        <v>96.08509782526437</v>
      </c>
      <c r="H594">
        <f t="shared" ca="1" si="614"/>
        <v>86.050938133455077</v>
      </c>
      <c r="I594">
        <f t="shared" ca="1" si="614"/>
        <v>80.353641751917408</v>
      </c>
      <c r="J594">
        <f t="shared" ca="1" si="614"/>
        <v>74.675878299877624</v>
      </c>
      <c r="K594">
        <f t="shared" ref="K594:P594" ca="1" si="629">J594*EXP(($C$4-0.5*$C$5^2)*$C$10+$C$5*SQRT($C$10)*NORMINV(RAND(),0,1))</f>
        <v>72.125620965771105</v>
      </c>
      <c r="L594">
        <f t="shared" ca="1" si="629"/>
        <v>74.025870914228378</v>
      </c>
      <c r="M594">
        <f t="shared" ca="1" si="629"/>
        <v>77.475371267091774</v>
      </c>
      <c r="N594">
        <f t="shared" ca="1" si="629"/>
        <v>74.968871179140535</v>
      </c>
      <c r="O594">
        <f t="shared" ca="1" si="629"/>
        <v>82.022128938180714</v>
      </c>
      <c r="P594">
        <f t="shared" ca="1" si="629"/>
        <v>79.47295589974496</v>
      </c>
      <c r="Q594">
        <f t="shared" ca="1" si="616"/>
        <v>81.568761379515635</v>
      </c>
      <c r="R594">
        <f t="shared" ca="1" si="617"/>
        <v>0</v>
      </c>
      <c r="S594">
        <f t="shared" ca="1" si="618"/>
        <v>0</v>
      </c>
    </row>
    <row r="595" spans="5:19" x14ac:dyDescent="0.75">
      <c r="E595">
        <v>590</v>
      </c>
      <c r="F595">
        <v>100</v>
      </c>
      <c r="G595">
        <f t="shared" ca="1" si="614"/>
        <v>98.108243787760244</v>
      </c>
      <c r="H595">
        <f t="shared" ca="1" si="614"/>
        <v>109.35326419454289</v>
      </c>
      <c r="I595">
        <f t="shared" ca="1" si="614"/>
        <v>113.18567547103599</v>
      </c>
      <c r="J595">
        <f t="shared" ca="1" si="614"/>
        <v>103.3777157604448</v>
      </c>
      <c r="K595">
        <f t="shared" ref="K595:P595" ca="1" si="630">J595*EXP(($C$4-0.5*$C$5^2)*$C$10+$C$5*SQRT($C$10)*NORMINV(RAND(),0,1))</f>
        <v>102.25607224261869</v>
      </c>
      <c r="L595">
        <f t="shared" ca="1" si="630"/>
        <v>100.5046169244692</v>
      </c>
      <c r="M595">
        <f t="shared" ca="1" si="630"/>
        <v>103.82871338019058</v>
      </c>
      <c r="N595">
        <f t="shared" ca="1" si="630"/>
        <v>106.80146022098319</v>
      </c>
      <c r="O595">
        <f t="shared" ca="1" si="630"/>
        <v>100.84684444060137</v>
      </c>
      <c r="P595">
        <f t="shared" ca="1" si="630"/>
        <v>106.04937789484134</v>
      </c>
      <c r="Q595">
        <f t="shared" ca="1" si="616"/>
        <v>104.02836221068078</v>
      </c>
      <c r="R595">
        <f t="shared" ca="1" si="617"/>
        <v>4.0283622106807826</v>
      </c>
      <c r="S595">
        <f t="shared" ca="1" si="618"/>
        <v>3.8318966673463049</v>
      </c>
    </row>
    <row r="596" spans="5:19" x14ac:dyDescent="0.75">
      <c r="E596">
        <v>591</v>
      </c>
      <c r="F596">
        <v>100</v>
      </c>
      <c r="G596">
        <f t="shared" ca="1" si="614"/>
        <v>95.544642164726213</v>
      </c>
      <c r="H596">
        <f t="shared" ca="1" si="614"/>
        <v>97.673054818927881</v>
      </c>
      <c r="I596">
        <f t="shared" ca="1" si="614"/>
        <v>90.371617523817093</v>
      </c>
      <c r="J596">
        <f t="shared" ca="1" si="614"/>
        <v>85.055252008982151</v>
      </c>
      <c r="K596">
        <f t="shared" ref="K596:P596" ca="1" si="631">J596*EXP(($C$4-0.5*$C$5^2)*$C$10+$C$5*SQRT($C$10)*NORMINV(RAND(),0,1))</f>
        <v>85.194258852776045</v>
      </c>
      <c r="L596">
        <f t="shared" ca="1" si="631"/>
        <v>92.862927375436328</v>
      </c>
      <c r="M596">
        <f t="shared" ca="1" si="631"/>
        <v>93.961819055870492</v>
      </c>
      <c r="N596">
        <f t="shared" ca="1" si="631"/>
        <v>95.187274628373032</v>
      </c>
      <c r="O596">
        <f t="shared" ca="1" si="631"/>
        <v>98.725219979398318</v>
      </c>
      <c r="P596">
        <f t="shared" ca="1" si="631"/>
        <v>100.10861848599106</v>
      </c>
      <c r="Q596">
        <f t="shared" ca="1" si="616"/>
        <v>94.06224408129988</v>
      </c>
      <c r="R596">
        <f t="shared" ca="1" si="617"/>
        <v>0</v>
      </c>
      <c r="S596">
        <f t="shared" ca="1" si="618"/>
        <v>0</v>
      </c>
    </row>
    <row r="597" spans="5:19" x14ac:dyDescent="0.75">
      <c r="E597">
        <v>592</v>
      </c>
      <c r="F597">
        <v>100</v>
      </c>
      <c r="G597">
        <f t="shared" ca="1" si="614"/>
        <v>103.61554363479478</v>
      </c>
      <c r="H597">
        <f t="shared" ca="1" si="614"/>
        <v>103.73054616760093</v>
      </c>
      <c r="I597">
        <f t="shared" ca="1" si="614"/>
        <v>111.52972026698941</v>
      </c>
      <c r="J597">
        <f t="shared" ca="1" si="614"/>
        <v>103.77233973695363</v>
      </c>
      <c r="K597">
        <f t="shared" ref="K597:P597" ca="1" si="632">J597*EXP(($C$4-0.5*$C$5^2)*$C$10+$C$5*SQRT($C$10)*NORMINV(RAND(),0,1))</f>
        <v>101.3543221407969</v>
      </c>
      <c r="L597">
        <f t="shared" ca="1" si="632"/>
        <v>105.89812055767541</v>
      </c>
      <c r="M597">
        <f t="shared" ca="1" si="632"/>
        <v>112.49399687012293</v>
      </c>
      <c r="N597">
        <f t="shared" ca="1" si="632"/>
        <v>108.29934531754255</v>
      </c>
      <c r="O597">
        <f t="shared" ca="1" si="632"/>
        <v>107.03759116650259</v>
      </c>
      <c r="P597">
        <f t="shared" ca="1" si="632"/>
        <v>107.08260610384534</v>
      </c>
      <c r="Q597">
        <f t="shared" ca="1" si="616"/>
        <v>105.89219381480224</v>
      </c>
      <c r="R597">
        <f t="shared" ca="1" si="617"/>
        <v>5.8921938148022406</v>
      </c>
      <c r="S597">
        <f t="shared" ca="1" si="618"/>
        <v>5.6048281315010025</v>
      </c>
    </row>
    <row r="598" spans="5:19" x14ac:dyDescent="0.75">
      <c r="E598">
        <v>593</v>
      </c>
      <c r="F598">
        <v>100</v>
      </c>
      <c r="G598">
        <f t="shared" ca="1" si="614"/>
        <v>111.79467679963548</v>
      </c>
      <c r="H598">
        <f t="shared" ca="1" si="614"/>
        <v>118.59433809055616</v>
      </c>
      <c r="I598">
        <f t="shared" ca="1" si="614"/>
        <v>110.63466022565233</v>
      </c>
      <c r="J598">
        <f t="shared" ca="1" si="614"/>
        <v>115.24085452063552</v>
      </c>
      <c r="K598">
        <f t="shared" ref="K598:P598" ca="1" si="633">J598*EXP(($C$4-0.5*$C$5^2)*$C$10+$C$5*SQRT($C$10)*NORMINV(RAND(),0,1))</f>
        <v>105.04639308476112</v>
      </c>
      <c r="L598">
        <f t="shared" ca="1" si="633"/>
        <v>98.712062153989962</v>
      </c>
      <c r="M598">
        <f t="shared" ca="1" si="633"/>
        <v>102.62066970433142</v>
      </c>
      <c r="N598">
        <f t="shared" ca="1" si="633"/>
        <v>110.07780763754589</v>
      </c>
      <c r="O598">
        <f t="shared" ca="1" si="633"/>
        <v>113.2933437190438</v>
      </c>
      <c r="P598">
        <f t="shared" ca="1" si="633"/>
        <v>114.09210634819365</v>
      </c>
      <c r="Q598">
        <f t="shared" ca="1" si="616"/>
        <v>109.10062838948596</v>
      </c>
      <c r="R598">
        <f t="shared" ca="1" si="617"/>
        <v>9.1006283894859621</v>
      </c>
      <c r="S598">
        <f t="shared" ca="1" si="618"/>
        <v>8.6567855055255922</v>
      </c>
    </row>
    <row r="599" spans="5:19" x14ac:dyDescent="0.75">
      <c r="E599">
        <v>594</v>
      </c>
      <c r="F599">
        <v>100</v>
      </c>
      <c r="G599">
        <f t="shared" ca="1" si="614"/>
        <v>107.79076250678105</v>
      </c>
      <c r="H599">
        <f t="shared" ca="1" si="614"/>
        <v>109.21742671704312</v>
      </c>
      <c r="I599">
        <f t="shared" ca="1" si="614"/>
        <v>115.64041507504994</v>
      </c>
      <c r="J599">
        <f t="shared" ca="1" si="614"/>
        <v>110.68848601873171</v>
      </c>
      <c r="K599">
        <f t="shared" ref="K599:P599" ca="1" si="634">J599*EXP(($C$4-0.5*$C$5^2)*$C$10+$C$5*SQRT($C$10)*NORMINV(RAND(),0,1))</f>
        <v>101.55117043680526</v>
      </c>
      <c r="L599">
        <f t="shared" ca="1" si="634"/>
        <v>99.742470298101608</v>
      </c>
      <c r="M599">
        <f t="shared" ca="1" si="634"/>
        <v>94.210973432077779</v>
      </c>
      <c r="N599">
        <f t="shared" ca="1" si="634"/>
        <v>94.132774429811207</v>
      </c>
      <c r="O599">
        <f t="shared" ca="1" si="634"/>
        <v>102.39387332985855</v>
      </c>
      <c r="P599">
        <f t="shared" ca="1" si="634"/>
        <v>111.08464699682467</v>
      </c>
      <c r="Q599">
        <f t="shared" ca="1" si="616"/>
        <v>104.22299993100772</v>
      </c>
      <c r="R599">
        <f t="shared" ca="1" si="617"/>
        <v>4.2229999310077204</v>
      </c>
      <c r="S599">
        <f t="shared" ca="1" si="618"/>
        <v>4.0170417940390291</v>
      </c>
    </row>
    <row r="600" spans="5:19" x14ac:dyDescent="0.75">
      <c r="E600">
        <v>595</v>
      </c>
      <c r="F600">
        <v>100</v>
      </c>
      <c r="G600">
        <f t="shared" ca="1" si="614"/>
        <v>95.535221574799365</v>
      </c>
      <c r="H600">
        <f t="shared" ca="1" si="614"/>
        <v>100.47344838302828</v>
      </c>
      <c r="I600">
        <f t="shared" ca="1" si="614"/>
        <v>94.452475914797276</v>
      </c>
      <c r="J600">
        <f t="shared" ca="1" si="614"/>
        <v>94.325059331349635</v>
      </c>
      <c r="K600">
        <f t="shared" ref="K600:P600" ca="1" si="635">J600*EXP(($C$4-0.5*$C$5^2)*$C$10+$C$5*SQRT($C$10)*NORMINV(RAND(),0,1))</f>
        <v>94.814854388700155</v>
      </c>
      <c r="L600">
        <f t="shared" ca="1" si="635"/>
        <v>96.837746826934108</v>
      </c>
      <c r="M600">
        <f t="shared" ca="1" si="635"/>
        <v>102.45243888145855</v>
      </c>
      <c r="N600">
        <f t="shared" ca="1" si="635"/>
        <v>90.391774680955791</v>
      </c>
      <c r="O600">
        <f t="shared" ca="1" si="635"/>
        <v>84.256933004626816</v>
      </c>
      <c r="P600">
        <f t="shared" ca="1" si="635"/>
        <v>84.053849527446687</v>
      </c>
      <c r="Q600">
        <f t="shared" ca="1" si="616"/>
        <v>94.326709319463347</v>
      </c>
      <c r="R600">
        <f t="shared" ca="1" si="617"/>
        <v>0</v>
      </c>
      <c r="S600">
        <f t="shared" ca="1" si="618"/>
        <v>0</v>
      </c>
    </row>
    <row r="601" spans="5:19" x14ac:dyDescent="0.75">
      <c r="E601">
        <v>596</v>
      </c>
      <c r="F601">
        <v>100</v>
      </c>
      <c r="G601">
        <f t="shared" ca="1" si="614"/>
        <v>105.74858573480674</v>
      </c>
      <c r="H601">
        <f t="shared" ca="1" si="614"/>
        <v>105.30512684620557</v>
      </c>
      <c r="I601">
        <f t="shared" ca="1" si="614"/>
        <v>108.17110391796936</v>
      </c>
      <c r="J601">
        <f t="shared" ca="1" si="614"/>
        <v>106.75737082550499</v>
      </c>
      <c r="K601">
        <f t="shared" ref="K601:P601" ca="1" si="636">J601*EXP(($C$4-0.5*$C$5^2)*$C$10+$C$5*SQRT($C$10)*NORMINV(RAND(),0,1))</f>
        <v>103.59330421976829</v>
      </c>
      <c r="L601">
        <f t="shared" ca="1" si="636"/>
        <v>102.95785761075432</v>
      </c>
      <c r="M601">
        <f t="shared" ca="1" si="636"/>
        <v>100.6228979525203</v>
      </c>
      <c r="N601">
        <f t="shared" ca="1" si="636"/>
        <v>97.998418530787873</v>
      </c>
      <c r="O601">
        <f t="shared" ca="1" si="636"/>
        <v>90.424517544463654</v>
      </c>
      <c r="P601">
        <f t="shared" ca="1" si="636"/>
        <v>93.095478988340631</v>
      </c>
      <c r="Q601">
        <f t="shared" ca="1" si="616"/>
        <v>101.33406019737468</v>
      </c>
      <c r="R601">
        <f t="shared" ca="1" si="617"/>
        <v>1.3340601973746828</v>
      </c>
      <c r="S601">
        <f t="shared" ca="1" si="618"/>
        <v>1.2689973137980286</v>
      </c>
    </row>
    <row r="602" spans="5:19" x14ac:dyDescent="0.75">
      <c r="E602">
        <v>597</v>
      </c>
      <c r="F602">
        <v>100</v>
      </c>
      <c r="G602">
        <f t="shared" ca="1" si="614"/>
        <v>102.06846728442127</v>
      </c>
      <c r="H602">
        <f t="shared" ca="1" si="614"/>
        <v>109.72976157295757</v>
      </c>
      <c r="I602">
        <f t="shared" ca="1" si="614"/>
        <v>118.01347223115208</v>
      </c>
      <c r="J602">
        <f t="shared" ca="1" si="614"/>
        <v>121.84432101170921</v>
      </c>
      <c r="K602">
        <f t="shared" ref="K602:P602" ca="1" si="637">J602*EXP(($C$4-0.5*$C$5^2)*$C$10+$C$5*SQRT($C$10)*NORMINV(RAND(),0,1))</f>
        <v>120.27759556408893</v>
      </c>
      <c r="L602">
        <f t="shared" ca="1" si="637"/>
        <v>115.83220103282878</v>
      </c>
      <c r="M602">
        <f t="shared" ca="1" si="637"/>
        <v>112.20289286745464</v>
      </c>
      <c r="N602">
        <f t="shared" ca="1" si="637"/>
        <v>114.11409141891691</v>
      </c>
      <c r="O602">
        <f t="shared" ca="1" si="637"/>
        <v>100.1383253862343</v>
      </c>
      <c r="P602">
        <f t="shared" ca="1" si="637"/>
        <v>110.02566822643143</v>
      </c>
      <c r="Q602">
        <f t="shared" ca="1" si="616"/>
        <v>111.29516332692683</v>
      </c>
      <c r="R602">
        <f t="shared" ca="1" si="617"/>
        <v>11.295163326926826</v>
      </c>
      <c r="S602">
        <f t="shared" ca="1" si="618"/>
        <v>10.744291711114174</v>
      </c>
    </row>
    <row r="603" spans="5:19" x14ac:dyDescent="0.75">
      <c r="E603">
        <v>598</v>
      </c>
      <c r="F603">
        <v>100</v>
      </c>
      <c r="G603">
        <f t="shared" ca="1" si="614"/>
        <v>98.98630164518022</v>
      </c>
      <c r="H603">
        <f t="shared" ca="1" si="614"/>
        <v>93.491235472506631</v>
      </c>
      <c r="I603">
        <f t="shared" ca="1" si="614"/>
        <v>101.04647007883685</v>
      </c>
      <c r="J603">
        <f t="shared" ca="1" si="614"/>
        <v>107.98780751184617</v>
      </c>
      <c r="K603">
        <f t="shared" ref="K603:P603" ca="1" si="638">J603*EXP(($C$4-0.5*$C$5^2)*$C$10+$C$5*SQRT($C$10)*NORMINV(RAND(),0,1))</f>
        <v>127.10171939043359</v>
      </c>
      <c r="L603">
        <f t="shared" ca="1" si="638"/>
        <v>133.46531750856434</v>
      </c>
      <c r="M603">
        <f t="shared" ca="1" si="638"/>
        <v>147.09082791332986</v>
      </c>
      <c r="N603">
        <f t="shared" ca="1" si="638"/>
        <v>157.7723629397417</v>
      </c>
      <c r="O603">
        <f t="shared" ca="1" si="638"/>
        <v>174.91796951798412</v>
      </c>
      <c r="P603">
        <f t="shared" ca="1" si="638"/>
        <v>161.209582470051</v>
      </c>
      <c r="Q603">
        <f t="shared" ca="1" si="616"/>
        <v>127.55178131349767</v>
      </c>
      <c r="R603">
        <f t="shared" ca="1" si="617"/>
        <v>27.551781313497671</v>
      </c>
      <c r="S603">
        <f t="shared" ca="1" si="618"/>
        <v>26.208065082807916</v>
      </c>
    </row>
    <row r="604" spans="5:19" x14ac:dyDescent="0.75">
      <c r="E604">
        <v>599</v>
      </c>
      <c r="F604">
        <v>100</v>
      </c>
      <c r="G604">
        <f t="shared" ca="1" si="614"/>
        <v>87.7180716830199</v>
      </c>
      <c r="H604">
        <f t="shared" ca="1" si="614"/>
        <v>80.688372316932259</v>
      </c>
      <c r="I604">
        <f t="shared" ca="1" si="614"/>
        <v>82.716055058547198</v>
      </c>
      <c r="J604">
        <f t="shared" ca="1" si="614"/>
        <v>75.688841044089813</v>
      </c>
      <c r="K604">
        <f t="shared" ref="K604:P604" ca="1" si="639">J604*EXP(($C$4-0.5*$C$5^2)*$C$10+$C$5*SQRT($C$10)*NORMINV(RAND(),0,1))</f>
        <v>78.332971989929646</v>
      </c>
      <c r="L604">
        <f t="shared" ca="1" si="639"/>
        <v>72.131571510006225</v>
      </c>
      <c r="M604">
        <f t="shared" ca="1" si="639"/>
        <v>66.074439303330635</v>
      </c>
      <c r="N604">
        <f t="shared" ca="1" si="639"/>
        <v>69.210287761261384</v>
      </c>
      <c r="O604">
        <f t="shared" ca="1" si="639"/>
        <v>68.97749151415546</v>
      </c>
      <c r="P604">
        <f t="shared" ca="1" si="639"/>
        <v>71.20532942706437</v>
      </c>
      <c r="Q604">
        <f t="shared" ca="1" si="616"/>
        <v>77.522130146212447</v>
      </c>
      <c r="R604">
        <f t="shared" ca="1" si="617"/>
        <v>0</v>
      </c>
      <c r="S604">
        <f t="shared" ca="1" si="618"/>
        <v>0</v>
      </c>
    </row>
    <row r="605" spans="5:19" x14ac:dyDescent="0.75">
      <c r="E605">
        <v>600</v>
      </c>
      <c r="F605">
        <v>100</v>
      </c>
      <c r="G605">
        <f t="shared" ca="1" si="614"/>
        <v>95.034335979697886</v>
      </c>
      <c r="H605">
        <f t="shared" ca="1" si="614"/>
        <v>83.93273096769336</v>
      </c>
      <c r="I605">
        <f t="shared" ca="1" si="614"/>
        <v>89.970025244072957</v>
      </c>
      <c r="J605">
        <f t="shared" ca="1" si="614"/>
        <v>83.839967420599919</v>
      </c>
      <c r="K605">
        <f t="shared" ref="K605:P605" ca="1" si="640">J605*EXP(($C$4-0.5*$C$5^2)*$C$10+$C$5*SQRT($C$10)*NORMINV(RAND(),0,1))</f>
        <v>81.342079383367391</v>
      </c>
      <c r="L605">
        <f t="shared" ca="1" si="640"/>
        <v>84.518966254788225</v>
      </c>
      <c r="M605">
        <f t="shared" ca="1" si="640"/>
        <v>88.680219818272846</v>
      </c>
      <c r="N605">
        <f t="shared" ca="1" si="640"/>
        <v>97.48440905239805</v>
      </c>
      <c r="O605">
        <f t="shared" ca="1" si="640"/>
        <v>91.168711509689061</v>
      </c>
      <c r="P605">
        <f t="shared" ca="1" si="640"/>
        <v>90.772826635467439</v>
      </c>
      <c r="Q605">
        <f t="shared" ca="1" si="616"/>
        <v>89.704024751458832</v>
      </c>
      <c r="R605">
        <f t="shared" ca="1" si="617"/>
        <v>0</v>
      </c>
      <c r="S605">
        <f t="shared" ca="1" si="618"/>
        <v>0</v>
      </c>
    </row>
    <row r="606" spans="5:19" x14ac:dyDescent="0.75">
      <c r="E606">
        <v>601</v>
      </c>
      <c r="F606">
        <v>100</v>
      </c>
      <c r="G606">
        <f t="shared" ca="1" si="614"/>
        <v>96.674229512246896</v>
      </c>
      <c r="H606">
        <f t="shared" ca="1" si="614"/>
        <v>94.162017140577049</v>
      </c>
      <c r="I606">
        <f t="shared" ca="1" si="614"/>
        <v>84.837618952494594</v>
      </c>
      <c r="J606">
        <f t="shared" ca="1" si="614"/>
        <v>91.330287942869987</v>
      </c>
      <c r="K606">
        <f t="shared" ref="K606:P606" ca="1" si="641">J606*EXP(($C$4-0.5*$C$5^2)*$C$10+$C$5*SQRT($C$10)*NORMINV(RAND(),0,1))</f>
        <v>93.249947351434813</v>
      </c>
      <c r="L606">
        <f t="shared" ca="1" si="641"/>
        <v>92.378884360162317</v>
      </c>
      <c r="M606">
        <f t="shared" ca="1" si="641"/>
        <v>93.461588031810479</v>
      </c>
      <c r="N606">
        <f t="shared" ca="1" si="641"/>
        <v>100.65237813270565</v>
      </c>
      <c r="O606">
        <f t="shared" ca="1" si="641"/>
        <v>114.10118052484509</v>
      </c>
      <c r="P606">
        <f t="shared" ca="1" si="641"/>
        <v>119.85070722534338</v>
      </c>
      <c r="Q606">
        <f t="shared" ca="1" si="616"/>
        <v>98.245349015862757</v>
      </c>
      <c r="R606">
        <f t="shared" ca="1" si="617"/>
        <v>0</v>
      </c>
      <c r="S606">
        <f t="shared" ca="1" si="618"/>
        <v>0</v>
      </c>
    </row>
    <row r="607" spans="5:19" x14ac:dyDescent="0.75">
      <c r="E607">
        <v>602</v>
      </c>
      <c r="F607">
        <v>100</v>
      </c>
      <c r="G607">
        <f t="shared" ca="1" si="614"/>
        <v>101.96512394439029</v>
      </c>
      <c r="H607">
        <f t="shared" ca="1" si="614"/>
        <v>102.80325506799981</v>
      </c>
      <c r="I607">
        <f t="shared" ca="1" si="614"/>
        <v>108.8296575418519</v>
      </c>
      <c r="J607">
        <f t="shared" ca="1" si="614"/>
        <v>99.331601099353804</v>
      </c>
      <c r="K607">
        <f t="shared" ref="K607:P607" ca="1" si="642">J607*EXP(($C$4-0.5*$C$5^2)*$C$10+$C$5*SQRT($C$10)*NORMINV(RAND(),0,1))</f>
        <v>103.89960150441394</v>
      </c>
      <c r="L607">
        <f t="shared" ca="1" si="642"/>
        <v>93.863042661281369</v>
      </c>
      <c r="M607">
        <f t="shared" ca="1" si="642"/>
        <v>94.786510434043038</v>
      </c>
      <c r="N607">
        <f t="shared" ca="1" si="642"/>
        <v>91.794260778324698</v>
      </c>
      <c r="O607">
        <f t="shared" ca="1" si="642"/>
        <v>94.737349822236979</v>
      </c>
      <c r="P607">
        <f t="shared" ca="1" si="642"/>
        <v>92.333676586233778</v>
      </c>
      <c r="Q607">
        <f t="shared" ca="1" si="616"/>
        <v>98.576734494557243</v>
      </c>
      <c r="R607">
        <f t="shared" ca="1" si="617"/>
        <v>0</v>
      </c>
      <c r="S607">
        <f t="shared" ca="1" si="618"/>
        <v>0</v>
      </c>
    </row>
    <row r="608" spans="5:19" x14ac:dyDescent="0.75">
      <c r="E608">
        <v>603</v>
      </c>
      <c r="F608">
        <v>100</v>
      </c>
      <c r="G608">
        <f t="shared" ca="1" si="614"/>
        <v>104.05529530662434</v>
      </c>
      <c r="H608">
        <f t="shared" ca="1" si="614"/>
        <v>102.02565542498027</v>
      </c>
      <c r="I608">
        <f t="shared" ca="1" si="614"/>
        <v>86.885301175591337</v>
      </c>
      <c r="J608">
        <f t="shared" ca="1" si="614"/>
        <v>86.38007560523792</v>
      </c>
      <c r="K608">
        <f t="shared" ref="K608:P608" ca="1" si="643">J608*EXP(($C$4-0.5*$C$5^2)*$C$10+$C$5*SQRT($C$10)*NORMINV(RAND(),0,1))</f>
        <v>89.469897434090882</v>
      </c>
      <c r="L608">
        <f t="shared" ca="1" si="643"/>
        <v>88.769269105402287</v>
      </c>
      <c r="M608">
        <f t="shared" ca="1" si="643"/>
        <v>88.207179153072346</v>
      </c>
      <c r="N608">
        <f t="shared" ca="1" si="643"/>
        <v>79.554860266699279</v>
      </c>
      <c r="O608">
        <f t="shared" ca="1" si="643"/>
        <v>86.88065882144835</v>
      </c>
      <c r="P608">
        <f t="shared" ca="1" si="643"/>
        <v>92.002438866159991</v>
      </c>
      <c r="Q608">
        <f t="shared" ca="1" si="616"/>
        <v>91.293693741755177</v>
      </c>
      <c r="R608">
        <f t="shared" ca="1" si="617"/>
        <v>0</v>
      </c>
      <c r="S608">
        <f t="shared" ca="1" si="618"/>
        <v>0</v>
      </c>
    </row>
    <row r="609" spans="5:19" x14ac:dyDescent="0.75">
      <c r="E609">
        <v>604</v>
      </c>
      <c r="F609">
        <v>100</v>
      </c>
      <c r="G609">
        <f t="shared" ca="1" si="614"/>
        <v>103.80416186858629</v>
      </c>
      <c r="H609">
        <f t="shared" ca="1" si="614"/>
        <v>106.40432399611956</v>
      </c>
      <c r="I609">
        <f t="shared" ca="1" si="614"/>
        <v>120.4219290196102</v>
      </c>
      <c r="J609">
        <f t="shared" ca="1" si="614"/>
        <v>122.95568347445878</v>
      </c>
      <c r="K609">
        <f t="shared" ref="K609:P609" ca="1" si="644">J609*EXP(($C$4-0.5*$C$5^2)*$C$10+$C$5*SQRT($C$10)*NORMINV(RAND(),0,1))</f>
        <v>113.87760821359215</v>
      </c>
      <c r="L609">
        <f t="shared" ca="1" si="644"/>
        <v>121.04229181060442</v>
      </c>
      <c r="M609">
        <f t="shared" ca="1" si="644"/>
        <v>120.74402668289677</v>
      </c>
      <c r="N609">
        <f t="shared" ca="1" si="644"/>
        <v>120.44579004080114</v>
      </c>
      <c r="O609">
        <f t="shared" ca="1" si="644"/>
        <v>118.21787150887434</v>
      </c>
      <c r="P609">
        <f t="shared" ca="1" si="644"/>
        <v>114.1446913447884</v>
      </c>
      <c r="Q609">
        <f t="shared" ca="1" si="616"/>
        <v>114.73257981457564</v>
      </c>
      <c r="R609">
        <f t="shared" ca="1" si="617"/>
        <v>14.732579814575644</v>
      </c>
      <c r="S609">
        <f t="shared" ca="1" si="618"/>
        <v>14.014063418429625</v>
      </c>
    </row>
    <row r="610" spans="5:19" x14ac:dyDescent="0.75">
      <c r="E610">
        <v>605</v>
      </c>
      <c r="F610">
        <v>100</v>
      </c>
      <c r="G610">
        <f t="shared" ca="1" si="614"/>
        <v>110.7070755255198</v>
      </c>
      <c r="H610">
        <f t="shared" ca="1" si="614"/>
        <v>114.84149755267677</v>
      </c>
      <c r="I610">
        <f t="shared" ca="1" si="614"/>
        <v>117.01032640185247</v>
      </c>
      <c r="J610">
        <f t="shared" ca="1" si="614"/>
        <v>110.68536576436942</v>
      </c>
      <c r="K610">
        <f t="shared" ref="K610:P610" ca="1" si="645">J610*EXP(($C$4-0.5*$C$5^2)*$C$10+$C$5*SQRT($C$10)*NORMINV(RAND(),0,1))</f>
        <v>119.48115082218526</v>
      </c>
      <c r="L610">
        <f t="shared" ca="1" si="645"/>
        <v>125.3205187908266</v>
      </c>
      <c r="M610">
        <f t="shared" ca="1" si="645"/>
        <v>127.90129243100159</v>
      </c>
      <c r="N610">
        <f t="shared" ca="1" si="645"/>
        <v>132.2901021750699</v>
      </c>
      <c r="O610">
        <f t="shared" ca="1" si="645"/>
        <v>123.83138533350532</v>
      </c>
      <c r="P610">
        <f t="shared" ca="1" si="645"/>
        <v>120.29461357663745</v>
      </c>
      <c r="Q610">
        <f t="shared" ca="1" si="616"/>
        <v>118.39666621578586</v>
      </c>
      <c r="R610">
        <f t="shared" ca="1" si="617"/>
        <v>18.396666215785856</v>
      </c>
      <c r="S610">
        <f t="shared" ca="1" si="618"/>
        <v>17.49945021717371</v>
      </c>
    </row>
    <row r="611" spans="5:19" x14ac:dyDescent="0.75">
      <c r="E611">
        <v>606</v>
      </c>
      <c r="F611">
        <v>100</v>
      </c>
      <c r="G611">
        <f t="shared" ca="1" si="614"/>
        <v>97.893713038527622</v>
      </c>
      <c r="H611">
        <f t="shared" ca="1" si="614"/>
        <v>94.919725039306371</v>
      </c>
      <c r="I611">
        <f t="shared" ca="1" si="614"/>
        <v>101.63741499182041</v>
      </c>
      <c r="J611">
        <f t="shared" ca="1" si="614"/>
        <v>113.05590763413181</v>
      </c>
      <c r="K611">
        <f t="shared" ref="K611:P611" ca="1" si="646">J611*EXP(($C$4-0.5*$C$5^2)*$C$10+$C$5*SQRT($C$10)*NORMINV(RAND(),0,1))</f>
        <v>102.51640117020428</v>
      </c>
      <c r="L611">
        <f t="shared" ca="1" si="646"/>
        <v>96.78859461775464</v>
      </c>
      <c r="M611">
        <f t="shared" ca="1" si="646"/>
        <v>106.82451799023346</v>
      </c>
      <c r="N611">
        <f t="shared" ca="1" si="646"/>
        <v>109.75740556355971</v>
      </c>
      <c r="O611">
        <f t="shared" ca="1" si="646"/>
        <v>109.68756145931052</v>
      </c>
      <c r="P611">
        <f t="shared" ca="1" si="646"/>
        <v>107.40890905690219</v>
      </c>
      <c r="Q611">
        <f t="shared" ca="1" si="616"/>
        <v>103.68092277834099</v>
      </c>
      <c r="R611">
        <f t="shared" ca="1" si="617"/>
        <v>3.6809227783409852</v>
      </c>
      <c r="S611">
        <f t="shared" ca="1" si="618"/>
        <v>3.5014020560728647</v>
      </c>
    </row>
    <row r="612" spans="5:19" x14ac:dyDescent="0.75">
      <c r="E612">
        <v>607</v>
      </c>
      <c r="F612">
        <v>100</v>
      </c>
      <c r="G612">
        <f t="shared" ca="1" si="614"/>
        <v>107.51259245049869</v>
      </c>
      <c r="H612">
        <f t="shared" ca="1" si="614"/>
        <v>100.5349706598401</v>
      </c>
      <c r="I612">
        <f t="shared" ca="1" si="614"/>
        <v>98.613176429091766</v>
      </c>
      <c r="J612">
        <f t="shared" ca="1" si="614"/>
        <v>104.47630744453491</v>
      </c>
      <c r="K612">
        <f t="shared" ref="K612:P612" ca="1" si="647">J612*EXP(($C$4-0.5*$C$5^2)*$C$10+$C$5*SQRT($C$10)*NORMINV(RAND(),0,1))</f>
        <v>116.06373671923254</v>
      </c>
      <c r="L612">
        <f t="shared" ca="1" si="647"/>
        <v>127.99854227224725</v>
      </c>
      <c r="M612">
        <f t="shared" ca="1" si="647"/>
        <v>138.27086200418239</v>
      </c>
      <c r="N612">
        <f t="shared" ca="1" si="647"/>
        <v>133.89440339674968</v>
      </c>
      <c r="O612">
        <f t="shared" ca="1" si="647"/>
        <v>125.65599113570265</v>
      </c>
      <c r="P612">
        <f t="shared" ca="1" si="647"/>
        <v>126.91943721081213</v>
      </c>
      <c r="Q612">
        <f t="shared" ca="1" si="616"/>
        <v>116.358183611172</v>
      </c>
      <c r="R612">
        <f t="shared" ca="1" si="617"/>
        <v>16.358183611171995</v>
      </c>
      <c r="S612">
        <f t="shared" ca="1" si="618"/>
        <v>15.560385582332149</v>
      </c>
    </row>
    <row r="613" spans="5:19" x14ac:dyDescent="0.75">
      <c r="E613">
        <v>608</v>
      </c>
      <c r="F613">
        <v>100</v>
      </c>
      <c r="G613">
        <f t="shared" ca="1" si="614"/>
        <v>101.53714711733986</v>
      </c>
      <c r="H613">
        <f t="shared" ca="1" si="614"/>
        <v>89.819495125071953</v>
      </c>
      <c r="I613">
        <f t="shared" ca="1" si="614"/>
        <v>99.79841564114713</v>
      </c>
      <c r="J613">
        <f t="shared" ca="1" si="614"/>
        <v>91.754157292833199</v>
      </c>
      <c r="K613">
        <f t="shared" ref="K613:P613" ca="1" si="648">J613*EXP(($C$4-0.5*$C$5^2)*$C$10+$C$5*SQRT($C$10)*NORMINV(RAND(),0,1))</f>
        <v>92.154861519375544</v>
      </c>
      <c r="L613">
        <f t="shared" ca="1" si="648"/>
        <v>102.2917630325172</v>
      </c>
      <c r="M613">
        <f t="shared" ca="1" si="648"/>
        <v>95.924045638724962</v>
      </c>
      <c r="N613">
        <f t="shared" ca="1" si="648"/>
        <v>96.162956418454399</v>
      </c>
      <c r="O613">
        <f t="shared" ca="1" si="648"/>
        <v>96.079814957021554</v>
      </c>
      <c r="P613">
        <f t="shared" ca="1" si="648"/>
        <v>100.08372687088054</v>
      </c>
      <c r="Q613">
        <f t="shared" ca="1" si="616"/>
        <v>96.873307601215117</v>
      </c>
      <c r="R613">
        <f t="shared" ca="1" si="617"/>
        <v>0</v>
      </c>
      <c r="S613">
        <f t="shared" ca="1" si="618"/>
        <v>0</v>
      </c>
    </row>
    <row r="614" spans="5:19" x14ac:dyDescent="0.75">
      <c r="E614">
        <v>609</v>
      </c>
      <c r="F614">
        <v>100</v>
      </c>
      <c r="G614">
        <f t="shared" ca="1" si="614"/>
        <v>96.621769843899116</v>
      </c>
      <c r="H614">
        <f t="shared" ca="1" si="614"/>
        <v>96.700383229470745</v>
      </c>
      <c r="I614">
        <f t="shared" ca="1" si="614"/>
        <v>100.02926535984851</v>
      </c>
      <c r="J614">
        <f t="shared" ca="1" si="614"/>
        <v>101.76194265743865</v>
      </c>
      <c r="K614">
        <f t="shared" ref="K614:P614" ca="1" si="649">J614*EXP(($C$4-0.5*$C$5^2)*$C$10+$C$5*SQRT($C$10)*NORMINV(RAND(),0,1))</f>
        <v>111.63519994303577</v>
      </c>
      <c r="L614">
        <f t="shared" ca="1" si="649"/>
        <v>116.04936149359514</v>
      </c>
      <c r="M614">
        <f t="shared" ca="1" si="649"/>
        <v>141.57862785062929</v>
      </c>
      <c r="N614">
        <f t="shared" ca="1" si="649"/>
        <v>136.59472838298612</v>
      </c>
      <c r="O614">
        <f t="shared" ca="1" si="649"/>
        <v>126.50553556846323</v>
      </c>
      <c r="P614">
        <f t="shared" ca="1" si="649"/>
        <v>125.13036222896277</v>
      </c>
      <c r="Q614">
        <f t="shared" ca="1" si="616"/>
        <v>113.87337968712085</v>
      </c>
      <c r="R614">
        <f t="shared" ca="1" si="617"/>
        <v>13.873379687120845</v>
      </c>
      <c r="S614">
        <f t="shared" ca="1" si="618"/>
        <v>13.196766975659857</v>
      </c>
    </row>
    <row r="615" spans="5:19" x14ac:dyDescent="0.75">
      <c r="E615">
        <v>610</v>
      </c>
      <c r="F615">
        <v>100</v>
      </c>
      <c r="G615">
        <f t="shared" ca="1" si="614"/>
        <v>108.89571791602364</v>
      </c>
      <c r="H615">
        <f t="shared" ca="1" si="614"/>
        <v>113.36392793959301</v>
      </c>
      <c r="I615">
        <f t="shared" ca="1" si="614"/>
        <v>113.47344403907813</v>
      </c>
      <c r="J615">
        <f t="shared" ca="1" si="614"/>
        <v>114.88765217739663</v>
      </c>
      <c r="K615">
        <f t="shared" ref="K615:P615" ca="1" si="650">J615*EXP(($C$4-0.5*$C$5^2)*$C$10+$C$5*SQRT($C$10)*NORMINV(RAND(),0,1))</f>
        <v>123.37338969123716</v>
      </c>
      <c r="L615">
        <f t="shared" ca="1" si="650"/>
        <v>124.06466128971579</v>
      </c>
      <c r="M615">
        <f t="shared" ca="1" si="650"/>
        <v>138.64648103540472</v>
      </c>
      <c r="N615">
        <f t="shared" ca="1" si="650"/>
        <v>132.67273089981381</v>
      </c>
      <c r="O615">
        <f t="shared" ca="1" si="650"/>
        <v>120.55936928539192</v>
      </c>
      <c r="P615">
        <f t="shared" ca="1" si="650"/>
        <v>123.92243247119846</v>
      </c>
      <c r="Q615">
        <f t="shared" ca="1" si="616"/>
        <v>119.44180061316848</v>
      </c>
      <c r="R615">
        <f t="shared" ca="1" si="617"/>
        <v>19.441800613168482</v>
      </c>
      <c r="S615">
        <f t="shared" ca="1" si="618"/>
        <v>18.493612808521885</v>
      </c>
    </row>
    <row r="616" spans="5:19" x14ac:dyDescent="0.75">
      <c r="E616">
        <v>611</v>
      </c>
      <c r="F616">
        <v>100</v>
      </c>
      <c r="G616">
        <f t="shared" ca="1" si="614"/>
        <v>101.29825111324686</v>
      </c>
      <c r="H616">
        <f t="shared" ca="1" si="614"/>
        <v>91.726822687436069</v>
      </c>
      <c r="I616">
        <f t="shared" ca="1" si="614"/>
        <v>92.515597214748951</v>
      </c>
      <c r="J616">
        <f t="shared" ca="1" si="614"/>
        <v>91.715696862921433</v>
      </c>
      <c r="K616">
        <f t="shared" ref="K616:P616" ca="1" si="651">J616*EXP(($C$4-0.5*$C$5^2)*$C$10+$C$5*SQRT($C$10)*NORMINV(RAND(),0,1))</f>
        <v>88.311850410532386</v>
      </c>
      <c r="L616">
        <f t="shared" ca="1" si="651"/>
        <v>88.807767033869879</v>
      </c>
      <c r="M616">
        <f t="shared" ca="1" si="651"/>
        <v>95.904005531469011</v>
      </c>
      <c r="N616">
        <f t="shared" ca="1" si="651"/>
        <v>97.860267935929926</v>
      </c>
      <c r="O616">
        <f t="shared" ca="1" si="651"/>
        <v>86.845606572072171</v>
      </c>
      <c r="P616">
        <f t="shared" ca="1" si="651"/>
        <v>81.441295794010728</v>
      </c>
      <c r="Q616">
        <f t="shared" ca="1" si="616"/>
        <v>92.402469196021585</v>
      </c>
      <c r="R616">
        <f t="shared" ca="1" si="617"/>
        <v>0</v>
      </c>
      <c r="S616">
        <f t="shared" ca="1" si="618"/>
        <v>0</v>
      </c>
    </row>
    <row r="617" spans="5:19" x14ac:dyDescent="0.75">
      <c r="E617">
        <v>612</v>
      </c>
      <c r="F617">
        <v>100</v>
      </c>
      <c r="G617">
        <f t="shared" ca="1" si="614"/>
        <v>99.235451372709278</v>
      </c>
      <c r="H617">
        <f t="shared" ca="1" si="614"/>
        <v>100.41417705051316</v>
      </c>
      <c r="I617">
        <f t="shared" ca="1" si="614"/>
        <v>96.15945380445217</v>
      </c>
      <c r="J617">
        <f t="shared" ca="1" si="614"/>
        <v>97.899209313208715</v>
      </c>
      <c r="K617">
        <f t="shared" ref="K617:P617" ca="1" si="652">J617*EXP(($C$4-0.5*$C$5^2)*$C$10+$C$5*SQRT($C$10)*NORMINV(RAND(),0,1))</f>
        <v>99.19222025125579</v>
      </c>
      <c r="L617">
        <f t="shared" ca="1" si="652"/>
        <v>97.361091401926174</v>
      </c>
      <c r="M617">
        <f t="shared" ca="1" si="652"/>
        <v>115.40678924032726</v>
      </c>
      <c r="N617">
        <f t="shared" ca="1" si="652"/>
        <v>112.41700591999104</v>
      </c>
      <c r="O617">
        <f t="shared" ca="1" si="652"/>
        <v>127.97176198135837</v>
      </c>
      <c r="P617">
        <f t="shared" ca="1" si="652"/>
        <v>112.68324102096904</v>
      </c>
      <c r="Q617">
        <f t="shared" ca="1" si="616"/>
        <v>105.34003648697374</v>
      </c>
      <c r="R617">
        <f t="shared" ca="1" si="617"/>
        <v>5.3400364869737444</v>
      </c>
      <c r="S617">
        <f t="shared" ca="1" si="618"/>
        <v>5.0795998343168494</v>
      </c>
    </row>
    <row r="618" spans="5:19" x14ac:dyDescent="0.75">
      <c r="E618">
        <v>613</v>
      </c>
      <c r="F618">
        <v>100</v>
      </c>
      <c r="G618">
        <f t="shared" ca="1" si="614"/>
        <v>93.253678964678912</v>
      </c>
      <c r="H618">
        <f t="shared" ca="1" si="614"/>
        <v>96.268709389377008</v>
      </c>
      <c r="I618">
        <f t="shared" ca="1" si="614"/>
        <v>93.475383928179511</v>
      </c>
      <c r="J618">
        <f t="shared" ca="1" si="614"/>
        <v>90.796270911186369</v>
      </c>
      <c r="K618">
        <f t="shared" ref="K618:P618" ca="1" si="653">J618*EXP(($C$4-0.5*$C$5^2)*$C$10+$C$5*SQRT($C$10)*NORMINV(RAND(),0,1))</f>
        <v>93.019429695362746</v>
      </c>
      <c r="L618">
        <f t="shared" ca="1" si="653"/>
        <v>90.34565739832972</v>
      </c>
      <c r="M618">
        <f t="shared" ca="1" si="653"/>
        <v>86.795749440317692</v>
      </c>
      <c r="N618">
        <f t="shared" ca="1" si="653"/>
        <v>96.007261198408457</v>
      </c>
      <c r="O618">
        <f t="shared" ca="1" si="653"/>
        <v>104.59662867764378</v>
      </c>
      <c r="P618">
        <f t="shared" ca="1" si="653"/>
        <v>105.30333665506329</v>
      </c>
      <c r="Q618">
        <f t="shared" ca="1" si="616"/>
        <v>95.442009659867963</v>
      </c>
      <c r="R618">
        <f t="shared" ca="1" si="617"/>
        <v>0</v>
      </c>
      <c r="S618">
        <f t="shared" ca="1" si="618"/>
        <v>0</v>
      </c>
    </row>
    <row r="619" spans="5:19" x14ac:dyDescent="0.75">
      <c r="E619">
        <v>614</v>
      </c>
      <c r="F619">
        <v>100</v>
      </c>
      <c r="G619">
        <f t="shared" ca="1" si="614"/>
        <v>101.98715064050168</v>
      </c>
      <c r="H619">
        <f t="shared" ca="1" si="614"/>
        <v>97.785443415266826</v>
      </c>
      <c r="I619">
        <f t="shared" ca="1" si="614"/>
        <v>85.731206774001237</v>
      </c>
      <c r="J619">
        <f t="shared" ca="1" si="614"/>
        <v>90.389947323403391</v>
      </c>
      <c r="K619">
        <f t="shared" ref="K619:P619" ca="1" si="654">J619*EXP(($C$4-0.5*$C$5^2)*$C$10+$C$5*SQRT($C$10)*NORMINV(RAND(),0,1))</f>
        <v>94.224546143936109</v>
      </c>
      <c r="L619">
        <f t="shared" ca="1" si="654"/>
        <v>96.078856129915337</v>
      </c>
      <c r="M619">
        <f t="shared" ca="1" si="654"/>
        <v>87.369833125924501</v>
      </c>
      <c r="N619">
        <f t="shared" ca="1" si="654"/>
        <v>83.66320503003287</v>
      </c>
      <c r="O619">
        <f t="shared" ca="1" si="654"/>
        <v>88.459800755315683</v>
      </c>
      <c r="P619">
        <f t="shared" ca="1" si="654"/>
        <v>86.372887968339654</v>
      </c>
      <c r="Q619">
        <f t="shared" ca="1" si="616"/>
        <v>92.005716118785216</v>
      </c>
      <c r="R619">
        <f t="shared" ca="1" si="617"/>
        <v>0</v>
      </c>
      <c r="S619">
        <f t="shared" ca="1" si="618"/>
        <v>0</v>
      </c>
    </row>
    <row r="620" spans="5:19" x14ac:dyDescent="0.75">
      <c r="E620">
        <v>615</v>
      </c>
      <c r="F620">
        <v>100</v>
      </c>
      <c r="G620">
        <f t="shared" ca="1" si="614"/>
        <v>98.874653836627829</v>
      </c>
      <c r="H620">
        <f t="shared" ca="1" si="614"/>
        <v>118.64007664837523</v>
      </c>
      <c r="I620">
        <f t="shared" ca="1" si="614"/>
        <v>114.75566299747774</v>
      </c>
      <c r="J620">
        <f t="shared" ca="1" si="614"/>
        <v>116.58240539828354</v>
      </c>
      <c r="K620">
        <f t="shared" ref="K620:P620" ca="1" si="655">J620*EXP(($C$4-0.5*$C$5^2)*$C$10+$C$5*SQRT($C$10)*NORMINV(RAND(),0,1))</f>
        <v>126.92219948106086</v>
      </c>
      <c r="L620">
        <f t="shared" ca="1" si="655"/>
        <v>133.4076617380035</v>
      </c>
      <c r="M620">
        <f t="shared" ca="1" si="655"/>
        <v>127.05539894293766</v>
      </c>
      <c r="N620">
        <f t="shared" ca="1" si="655"/>
        <v>127.34093008954788</v>
      </c>
      <c r="O620">
        <f t="shared" ca="1" si="655"/>
        <v>130.32523006763969</v>
      </c>
      <c r="P620">
        <f t="shared" ca="1" si="655"/>
        <v>138.12238418379252</v>
      </c>
      <c r="Q620">
        <f t="shared" ca="1" si="616"/>
        <v>121.0933275803406</v>
      </c>
      <c r="R620">
        <f t="shared" ca="1" si="617"/>
        <v>21.093327580340599</v>
      </c>
      <c r="S620">
        <f t="shared" ca="1" si="618"/>
        <v>20.064593855052426</v>
      </c>
    </row>
    <row r="621" spans="5:19" x14ac:dyDescent="0.75">
      <c r="E621">
        <v>616</v>
      </c>
      <c r="F621">
        <v>100</v>
      </c>
      <c r="G621">
        <f t="shared" ca="1" si="614"/>
        <v>90.386938588291713</v>
      </c>
      <c r="H621">
        <f t="shared" ca="1" si="614"/>
        <v>92.255511036925569</v>
      </c>
      <c r="I621">
        <f t="shared" ca="1" si="614"/>
        <v>98.016999152816936</v>
      </c>
      <c r="J621">
        <f t="shared" ca="1" si="614"/>
        <v>97.068517890860321</v>
      </c>
      <c r="K621">
        <f t="shared" ref="K621:P621" ca="1" si="656">J621*EXP(($C$4-0.5*$C$5^2)*$C$10+$C$5*SQRT($C$10)*NORMINV(RAND(),0,1))</f>
        <v>105.38662391406278</v>
      </c>
      <c r="L621">
        <f t="shared" ca="1" si="656"/>
        <v>104.40895441117519</v>
      </c>
      <c r="M621">
        <f t="shared" ca="1" si="656"/>
        <v>104.62374310790835</v>
      </c>
      <c r="N621">
        <f t="shared" ca="1" si="656"/>
        <v>106.94725428197681</v>
      </c>
      <c r="O621">
        <f t="shared" ca="1" si="656"/>
        <v>120.10915135477269</v>
      </c>
      <c r="P621">
        <f t="shared" ca="1" si="656"/>
        <v>113.1766382192577</v>
      </c>
      <c r="Q621">
        <f t="shared" ca="1" si="616"/>
        <v>102.94366654164074</v>
      </c>
      <c r="R621">
        <f t="shared" ca="1" si="617"/>
        <v>2.9436665416407379</v>
      </c>
      <c r="S621">
        <f t="shared" ca="1" si="618"/>
        <v>2.8001022303269263</v>
      </c>
    </row>
    <row r="622" spans="5:19" x14ac:dyDescent="0.75">
      <c r="E622">
        <v>617</v>
      </c>
      <c r="F622">
        <v>100</v>
      </c>
      <c r="G622">
        <f t="shared" ca="1" si="614"/>
        <v>93.063089831421323</v>
      </c>
      <c r="H622">
        <f t="shared" ca="1" si="614"/>
        <v>96.080916120931604</v>
      </c>
      <c r="I622">
        <f t="shared" ca="1" si="614"/>
        <v>92.952372878089008</v>
      </c>
      <c r="J622">
        <f t="shared" ca="1" si="614"/>
        <v>92.909730183171675</v>
      </c>
      <c r="K622">
        <f t="shared" ref="K622:P622" ca="1" si="657">J622*EXP(($C$4-0.5*$C$5^2)*$C$10+$C$5*SQRT($C$10)*NORMINV(RAND(),0,1))</f>
        <v>99.149694541078716</v>
      </c>
      <c r="L622">
        <f t="shared" ca="1" si="657"/>
        <v>101.33809150129659</v>
      </c>
      <c r="M622">
        <f t="shared" ca="1" si="657"/>
        <v>97.29357409266747</v>
      </c>
      <c r="N622">
        <f t="shared" ca="1" si="657"/>
        <v>101.88848142036852</v>
      </c>
      <c r="O622">
        <f t="shared" ca="1" si="657"/>
        <v>103.3438414566937</v>
      </c>
      <c r="P622">
        <f t="shared" ca="1" si="657"/>
        <v>108.98595987821685</v>
      </c>
      <c r="Q622">
        <f t="shared" ca="1" si="616"/>
        <v>98.818704718539593</v>
      </c>
      <c r="R622">
        <f t="shared" ca="1" si="617"/>
        <v>0</v>
      </c>
      <c r="S622">
        <f t="shared" ca="1" si="618"/>
        <v>0</v>
      </c>
    </row>
    <row r="623" spans="5:19" x14ac:dyDescent="0.75">
      <c r="E623">
        <v>618</v>
      </c>
      <c r="F623">
        <v>100</v>
      </c>
      <c r="G623">
        <f t="shared" ca="1" si="614"/>
        <v>103.08919811283283</v>
      </c>
      <c r="H623">
        <f t="shared" ca="1" si="614"/>
        <v>102.72545504706994</v>
      </c>
      <c r="I623">
        <f t="shared" ca="1" si="614"/>
        <v>108.55609983228229</v>
      </c>
      <c r="J623">
        <f t="shared" ca="1" si="614"/>
        <v>120.99956211288087</v>
      </c>
      <c r="K623">
        <f t="shared" ref="K623:P623" ca="1" si="658">J623*EXP(($C$4-0.5*$C$5^2)*$C$10+$C$5*SQRT($C$10)*NORMINV(RAND(),0,1))</f>
        <v>126.58213688661708</v>
      </c>
      <c r="L623">
        <f t="shared" ca="1" si="658"/>
        <v>128.90805321586075</v>
      </c>
      <c r="M623">
        <f t="shared" ca="1" si="658"/>
        <v>124.1488285035781</v>
      </c>
      <c r="N623">
        <f t="shared" ca="1" si="658"/>
        <v>122.27483862034967</v>
      </c>
      <c r="O623">
        <f t="shared" ca="1" si="658"/>
        <v>139.0561731018185</v>
      </c>
      <c r="P623">
        <f t="shared" ca="1" si="658"/>
        <v>154.40381802965047</v>
      </c>
      <c r="Q623">
        <f t="shared" ca="1" si="616"/>
        <v>120.97674213299457</v>
      </c>
      <c r="R623">
        <f t="shared" ca="1" si="617"/>
        <v>20.976742132994573</v>
      </c>
      <c r="S623">
        <f t="shared" ca="1" si="618"/>
        <v>19.953694347068307</v>
      </c>
    </row>
    <row r="624" spans="5:19" x14ac:dyDescent="0.75">
      <c r="E624">
        <v>619</v>
      </c>
      <c r="F624">
        <v>100</v>
      </c>
      <c r="G624">
        <f t="shared" ca="1" si="614"/>
        <v>102.58413188175312</v>
      </c>
      <c r="H624">
        <f t="shared" ca="1" si="614"/>
        <v>92.717148374870746</v>
      </c>
      <c r="I624">
        <f t="shared" ca="1" si="614"/>
        <v>98.212799422005247</v>
      </c>
      <c r="J624">
        <f t="shared" ca="1" si="614"/>
        <v>96.069026177189258</v>
      </c>
      <c r="K624">
        <f t="shared" ref="K624:P624" ca="1" si="659">J624*EXP(($C$4-0.5*$C$5^2)*$C$10+$C$5*SQRT($C$10)*NORMINV(RAND(),0,1))</f>
        <v>100.94980439277288</v>
      </c>
      <c r="L624">
        <f t="shared" ca="1" si="659"/>
        <v>97.841348615528943</v>
      </c>
      <c r="M624">
        <f t="shared" ca="1" si="659"/>
        <v>96.784553872937622</v>
      </c>
      <c r="N624">
        <f t="shared" ca="1" si="659"/>
        <v>92.817636327133613</v>
      </c>
      <c r="O624">
        <f t="shared" ca="1" si="659"/>
        <v>94.720557743951417</v>
      </c>
      <c r="P624">
        <f t="shared" ca="1" si="659"/>
        <v>104.37988335560176</v>
      </c>
      <c r="Q624">
        <f t="shared" ca="1" si="616"/>
        <v>97.916080923976793</v>
      </c>
      <c r="R624">
        <f t="shared" ca="1" si="617"/>
        <v>0</v>
      </c>
      <c r="S624">
        <f t="shared" ca="1" si="618"/>
        <v>0</v>
      </c>
    </row>
    <row r="625" spans="5:19" x14ac:dyDescent="0.75">
      <c r="E625">
        <v>620</v>
      </c>
      <c r="F625">
        <v>100</v>
      </c>
      <c r="G625">
        <f t="shared" ca="1" si="614"/>
        <v>103.25518440007227</v>
      </c>
      <c r="H625">
        <f t="shared" ca="1" si="614"/>
        <v>101.91293453953571</v>
      </c>
      <c r="I625">
        <f t="shared" ca="1" si="614"/>
        <v>107.22959898435909</v>
      </c>
      <c r="J625">
        <f t="shared" ca="1" si="614"/>
        <v>118.66319280038003</v>
      </c>
      <c r="K625">
        <f t="shared" ref="K625:P625" ca="1" si="660">J625*EXP(($C$4-0.5*$C$5^2)*$C$10+$C$5*SQRT($C$10)*NORMINV(RAND(),0,1))</f>
        <v>125.60155996606265</v>
      </c>
      <c r="L625">
        <f t="shared" ca="1" si="660"/>
        <v>132.2276635791541</v>
      </c>
      <c r="M625">
        <f t="shared" ca="1" si="660"/>
        <v>135.09612407172872</v>
      </c>
      <c r="N625">
        <f t="shared" ca="1" si="660"/>
        <v>136.79347627141209</v>
      </c>
      <c r="O625">
        <f t="shared" ca="1" si="660"/>
        <v>140.10527172016165</v>
      </c>
      <c r="P625">
        <f t="shared" ca="1" si="660"/>
        <v>141.24492446646099</v>
      </c>
      <c r="Q625">
        <f t="shared" ca="1" si="616"/>
        <v>122.01181189084792</v>
      </c>
      <c r="R625">
        <f t="shared" ca="1" si="617"/>
        <v>22.011811890847923</v>
      </c>
      <c r="S625">
        <f t="shared" ca="1" si="618"/>
        <v>20.938283157149243</v>
      </c>
    </row>
    <row r="626" spans="5:19" x14ac:dyDescent="0.75">
      <c r="E626">
        <v>621</v>
      </c>
      <c r="F626">
        <v>100</v>
      </c>
      <c r="G626">
        <f t="shared" ca="1" si="614"/>
        <v>93.757634818986119</v>
      </c>
      <c r="H626">
        <f t="shared" ca="1" si="614"/>
        <v>99.186665560062124</v>
      </c>
      <c r="I626">
        <f t="shared" ca="1" si="614"/>
        <v>94.371535315717296</v>
      </c>
      <c r="J626">
        <f t="shared" ca="1" si="614"/>
        <v>93.608475772554527</v>
      </c>
      <c r="K626">
        <f t="shared" ref="K626:P626" ca="1" si="661">J626*EXP(($C$4-0.5*$C$5^2)*$C$10+$C$5*SQRT($C$10)*NORMINV(RAND(),0,1))</f>
        <v>92.309559728122082</v>
      </c>
      <c r="L626">
        <f t="shared" ca="1" si="661"/>
        <v>85.623305216809811</v>
      </c>
      <c r="M626">
        <f t="shared" ca="1" si="661"/>
        <v>73.55971575599051</v>
      </c>
      <c r="N626">
        <f t="shared" ca="1" si="661"/>
        <v>75.278360860187291</v>
      </c>
      <c r="O626">
        <f t="shared" ca="1" si="661"/>
        <v>85.452631849967688</v>
      </c>
      <c r="P626">
        <f t="shared" ca="1" si="661"/>
        <v>86.419228527030711</v>
      </c>
      <c r="Q626">
        <f t="shared" ca="1" si="616"/>
        <v>89.05155576412983</v>
      </c>
      <c r="R626">
        <f t="shared" ca="1" si="617"/>
        <v>0</v>
      </c>
      <c r="S626">
        <f t="shared" ca="1" si="618"/>
        <v>0</v>
      </c>
    </row>
    <row r="627" spans="5:19" x14ac:dyDescent="0.75">
      <c r="E627">
        <v>622</v>
      </c>
      <c r="F627">
        <v>100</v>
      </c>
      <c r="G627">
        <f t="shared" ca="1" si="614"/>
        <v>102.82018164178959</v>
      </c>
      <c r="H627">
        <f t="shared" ca="1" si="614"/>
        <v>102.71576534672766</v>
      </c>
      <c r="I627">
        <f t="shared" ca="1" si="614"/>
        <v>102.02695512017536</v>
      </c>
      <c r="J627">
        <f t="shared" ca="1" si="614"/>
        <v>107.91727734674018</v>
      </c>
      <c r="K627">
        <f t="shared" ref="K627:P627" ca="1" si="662">J627*EXP(($C$4-0.5*$C$5^2)*$C$10+$C$5*SQRT($C$10)*NORMINV(RAND(),0,1))</f>
        <v>95.871054447584683</v>
      </c>
      <c r="L627">
        <f t="shared" ca="1" si="662"/>
        <v>94.508147700454117</v>
      </c>
      <c r="M627">
        <f t="shared" ca="1" si="662"/>
        <v>92.339411662079755</v>
      </c>
      <c r="N627">
        <f t="shared" ca="1" si="662"/>
        <v>93.826704513256928</v>
      </c>
      <c r="O627">
        <f t="shared" ca="1" si="662"/>
        <v>101.29009516439051</v>
      </c>
      <c r="P627">
        <f t="shared" ca="1" si="662"/>
        <v>97.775604581473004</v>
      </c>
      <c r="Q627">
        <f t="shared" ca="1" si="616"/>
        <v>99.190108865879253</v>
      </c>
      <c r="R627">
        <f t="shared" ca="1" si="617"/>
        <v>0</v>
      </c>
      <c r="S627">
        <f t="shared" ca="1" si="618"/>
        <v>0</v>
      </c>
    </row>
    <row r="628" spans="5:19" x14ac:dyDescent="0.75">
      <c r="E628">
        <v>623</v>
      </c>
      <c r="F628">
        <v>100</v>
      </c>
      <c r="G628">
        <f t="shared" ca="1" si="614"/>
        <v>102.63094405508745</v>
      </c>
      <c r="H628">
        <f t="shared" ca="1" si="614"/>
        <v>107.51845460476281</v>
      </c>
      <c r="I628">
        <f t="shared" ca="1" si="614"/>
        <v>110.69400608973071</v>
      </c>
      <c r="J628">
        <f t="shared" ca="1" si="614"/>
        <v>108.37087591518862</v>
      </c>
      <c r="K628">
        <f t="shared" ref="K628:P628" ca="1" si="663">J628*EXP(($C$4-0.5*$C$5^2)*$C$10+$C$5*SQRT($C$10)*NORMINV(RAND(),0,1))</f>
        <v>106.31649717808847</v>
      </c>
      <c r="L628">
        <f t="shared" ca="1" si="663"/>
        <v>104.68777846185549</v>
      </c>
      <c r="M628">
        <f t="shared" ca="1" si="663"/>
        <v>99.743952369574089</v>
      </c>
      <c r="N628">
        <f t="shared" ca="1" si="663"/>
        <v>98.241611992839552</v>
      </c>
      <c r="O628">
        <f t="shared" ca="1" si="663"/>
        <v>97.183626076210686</v>
      </c>
      <c r="P628">
        <f t="shared" ca="1" si="663"/>
        <v>101.80321117288614</v>
      </c>
      <c r="Q628">
        <f t="shared" ca="1" si="616"/>
        <v>103.3809961742022</v>
      </c>
      <c r="R628">
        <f t="shared" ca="1" si="617"/>
        <v>3.3809961742021954</v>
      </c>
      <c r="S628">
        <f t="shared" ca="1" si="618"/>
        <v>3.2161030450254704</v>
      </c>
    </row>
    <row r="629" spans="5:19" x14ac:dyDescent="0.75">
      <c r="E629">
        <v>624</v>
      </c>
      <c r="F629">
        <v>100</v>
      </c>
      <c r="G629">
        <f t="shared" ca="1" si="614"/>
        <v>89.514217808432889</v>
      </c>
      <c r="H629">
        <f t="shared" ca="1" si="614"/>
        <v>83.822832342149098</v>
      </c>
      <c r="I629">
        <f t="shared" ca="1" si="614"/>
        <v>81.535666571655085</v>
      </c>
      <c r="J629">
        <f t="shared" ca="1" si="614"/>
        <v>82.655366173047028</v>
      </c>
      <c r="K629">
        <f t="shared" ref="K629:P629" ca="1" si="664">J629*EXP(($C$4-0.5*$C$5^2)*$C$10+$C$5*SQRT($C$10)*NORMINV(RAND(),0,1))</f>
        <v>90.654590621794981</v>
      </c>
      <c r="L629">
        <f t="shared" ca="1" si="664"/>
        <v>91.969624824401038</v>
      </c>
      <c r="M629">
        <f t="shared" ca="1" si="664"/>
        <v>95.598611736993959</v>
      </c>
      <c r="N629">
        <f t="shared" ca="1" si="664"/>
        <v>106.09195342994899</v>
      </c>
      <c r="O629">
        <f t="shared" ca="1" si="664"/>
        <v>109.2240687608998</v>
      </c>
      <c r="P629">
        <f t="shared" ca="1" si="664"/>
        <v>119.57576932881814</v>
      </c>
      <c r="Q629">
        <f t="shared" ca="1" si="616"/>
        <v>95.512972872558251</v>
      </c>
      <c r="R629">
        <f t="shared" ca="1" si="617"/>
        <v>0</v>
      </c>
      <c r="S629">
        <f t="shared" ca="1" si="618"/>
        <v>0</v>
      </c>
    </row>
    <row r="630" spans="5:19" x14ac:dyDescent="0.75">
      <c r="E630">
        <v>625</v>
      </c>
      <c r="F630">
        <v>100</v>
      </c>
      <c r="G630">
        <f t="shared" ca="1" si="614"/>
        <v>99.871516024302181</v>
      </c>
      <c r="H630">
        <f t="shared" ca="1" si="614"/>
        <v>113.34417809510182</v>
      </c>
      <c r="I630">
        <f t="shared" ca="1" si="614"/>
        <v>118.31536697940257</v>
      </c>
      <c r="J630">
        <f t="shared" ca="1" si="614"/>
        <v>111.83270176311814</v>
      </c>
      <c r="K630">
        <f t="shared" ref="K630:P630" ca="1" si="665">J630*EXP(($C$4-0.5*$C$5^2)*$C$10+$C$5*SQRT($C$10)*NORMINV(RAND(),0,1))</f>
        <v>116.73945884934476</v>
      </c>
      <c r="L630">
        <f t="shared" ca="1" si="665"/>
        <v>125.96394362584773</v>
      </c>
      <c r="M630">
        <f t="shared" ca="1" si="665"/>
        <v>132.03570506451476</v>
      </c>
      <c r="N630">
        <f t="shared" ca="1" si="665"/>
        <v>133.48530333571208</v>
      </c>
      <c r="O630">
        <f t="shared" ca="1" si="665"/>
        <v>139.95519994017408</v>
      </c>
      <c r="P630">
        <f t="shared" ca="1" si="665"/>
        <v>128.5303334439443</v>
      </c>
      <c r="Q630">
        <f t="shared" ca="1" si="616"/>
        <v>120.00670064740567</v>
      </c>
      <c r="R630">
        <f t="shared" ca="1" si="617"/>
        <v>20.006700647405665</v>
      </c>
      <c r="S630">
        <f t="shared" ca="1" si="618"/>
        <v>19.030962342989753</v>
      </c>
    </row>
    <row r="631" spans="5:19" x14ac:dyDescent="0.75">
      <c r="E631">
        <v>626</v>
      </c>
      <c r="F631">
        <v>100</v>
      </c>
      <c r="G631">
        <f t="shared" ca="1" si="614"/>
        <v>110.52439205166571</v>
      </c>
      <c r="H631">
        <f t="shared" ca="1" si="614"/>
        <v>114.72772548833923</v>
      </c>
      <c r="I631">
        <f t="shared" ca="1" si="614"/>
        <v>121.06004431666587</v>
      </c>
      <c r="J631">
        <f t="shared" ca="1" si="614"/>
        <v>129.39473503260828</v>
      </c>
      <c r="K631">
        <f t="shared" ref="K631:P631" ca="1" si="666">J631*EXP(($C$4-0.5*$C$5^2)*$C$10+$C$5*SQRT($C$10)*NORMINV(RAND(),0,1))</f>
        <v>130.6272325156485</v>
      </c>
      <c r="L631">
        <f t="shared" ca="1" si="666"/>
        <v>131.47069458662125</v>
      </c>
      <c r="M631">
        <f t="shared" ca="1" si="666"/>
        <v>135.2264800712704</v>
      </c>
      <c r="N631">
        <f t="shared" ca="1" si="666"/>
        <v>138.2249856951895</v>
      </c>
      <c r="O631">
        <f t="shared" ca="1" si="666"/>
        <v>126.56860388559272</v>
      </c>
      <c r="P631">
        <f t="shared" ca="1" si="666"/>
        <v>121.21588860575946</v>
      </c>
      <c r="Q631">
        <f t="shared" ca="1" si="616"/>
        <v>123.54916202266917</v>
      </c>
      <c r="R631">
        <f t="shared" ca="1" si="617"/>
        <v>23.549162022669165</v>
      </c>
      <c r="S631">
        <f t="shared" ca="1" si="618"/>
        <v>22.400655838297659</v>
      </c>
    </row>
    <row r="632" spans="5:19" x14ac:dyDescent="0.75">
      <c r="E632">
        <v>627</v>
      </c>
      <c r="F632">
        <v>100</v>
      </c>
      <c r="G632">
        <f t="shared" ca="1" si="614"/>
        <v>95.182534271745396</v>
      </c>
      <c r="H632">
        <f t="shared" ca="1" si="614"/>
        <v>97.064147008508655</v>
      </c>
      <c r="I632">
        <f t="shared" ca="1" si="614"/>
        <v>95.836844339100253</v>
      </c>
      <c r="J632">
        <f t="shared" ca="1" si="614"/>
        <v>98.604021634560098</v>
      </c>
      <c r="K632">
        <f t="shared" ref="K632:P632" ca="1" si="667">J632*EXP(($C$4-0.5*$C$5^2)*$C$10+$C$5*SQRT($C$10)*NORMINV(RAND(),0,1))</f>
        <v>102.14455517027037</v>
      </c>
      <c r="L632">
        <f t="shared" ca="1" si="667"/>
        <v>99.088567843425096</v>
      </c>
      <c r="M632">
        <f t="shared" ca="1" si="667"/>
        <v>105.02876706490471</v>
      </c>
      <c r="N632">
        <f t="shared" ca="1" si="667"/>
        <v>101.88550394791369</v>
      </c>
      <c r="O632">
        <f t="shared" ca="1" si="667"/>
        <v>115.11650646890241</v>
      </c>
      <c r="P632">
        <f t="shared" ca="1" si="667"/>
        <v>117.12856409588727</v>
      </c>
      <c r="Q632">
        <f t="shared" ca="1" si="616"/>
        <v>102.46181925865618</v>
      </c>
      <c r="R632">
        <f t="shared" ca="1" si="617"/>
        <v>2.4618192586561776</v>
      </c>
      <c r="S632">
        <f t="shared" ca="1" si="618"/>
        <v>2.3417549166362903</v>
      </c>
    </row>
    <row r="633" spans="5:19" x14ac:dyDescent="0.75">
      <c r="E633">
        <v>628</v>
      </c>
      <c r="F633">
        <v>100</v>
      </c>
      <c r="G633">
        <f t="shared" ca="1" si="614"/>
        <v>98.2520012553681</v>
      </c>
      <c r="H633">
        <f t="shared" ca="1" si="614"/>
        <v>85.805358885575416</v>
      </c>
      <c r="I633">
        <f t="shared" ca="1" si="614"/>
        <v>85.003106932752175</v>
      </c>
      <c r="J633">
        <f t="shared" ca="1" si="614"/>
        <v>73.738805128987408</v>
      </c>
      <c r="K633">
        <f t="shared" ref="K633:P633" ca="1" si="668">J633*EXP(($C$4-0.5*$C$5^2)*$C$10+$C$5*SQRT($C$10)*NORMINV(RAND(),0,1))</f>
        <v>79.187300214828255</v>
      </c>
      <c r="L633">
        <f t="shared" ca="1" si="668"/>
        <v>78.190675051520884</v>
      </c>
      <c r="M633">
        <f t="shared" ca="1" si="668"/>
        <v>76.420520821292541</v>
      </c>
      <c r="N633">
        <f t="shared" ca="1" si="668"/>
        <v>79.459836261501124</v>
      </c>
      <c r="O633">
        <f t="shared" ca="1" si="668"/>
        <v>74.352540221135527</v>
      </c>
      <c r="P633">
        <f t="shared" ca="1" si="668"/>
        <v>68.623895576845186</v>
      </c>
      <c r="Q633">
        <f t="shared" ca="1" si="616"/>
        <v>81.73036730452786</v>
      </c>
      <c r="R633">
        <f t="shared" ca="1" si="617"/>
        <v>0</v>
      </c>
      <c r="S633">
        <f t="shared" ca="1" si="618"/>
        <v>0</v>
      </c>
    </row>
    <row r="634" spans="5:19" x14ac:dyDescent="0.75">
      <c r="E634">
        <v>629</v>
      </c>
      <c r="F634">
        <v>100</v>
      </c>
      <c r="G634">
        <f t="shared" ca="1" si="614"/>
        <v>117.67451343466153</v>
      </c>
      <c r="H634">
        <f t="shared" ca="1" si="614"/>
        <v>112.91162310184563</v>
      </c>
      <c r="I634">
        <f t="shared" ca="1" si="614"/>
        <v>109.74089304490151</v>
      </c>
      <c r="J634">
        <f t="shared" ca="1" si="614"/>
        <v>124.51423066767336</v>
      </c>
      <c r="K634">
        <f t="shared" ref="K634:P634" ca="1" si="669">J634*EXP(($C$4-0.5*$C$5^2)*$C$10+$C$5*SQRT($C$10)*NORMINV(RAND(),0,1))</f>
        <v>123.82710474627756</v>
      </c>
      <c r="L634">
        <f t="shared" ca="1" si="669"/>
        <v>140.43245575133719</v>
      </c>
      <c r="M634">
        <f t="shared" ca="1" si="669"/>
        <v>141.86414532069722</v>
      </c>
      <c r="N634">
        <f t="shared" ca="1" si="669"/>
        <v>147.815068116205</v>
      </c>
      <c r="O634">
        <f t="shared" ca="1" si="669"/>
        <v>153.83818294491545</v>
      </c>
      <c r="P634">
        <f t="shared" ca="1" si="669"/>
        <v>150.25210721119271</v>
      </c>
      <c r="Q634">
        <f t="shared" ca="1" si="616"/>
        <v>129.35184766724612</v>
      </c>
      <c r="R634">
        <f t="shared" ca="1" si="617"/>
        <v>29.351847667246119</v>
      </c>
      <c r="S634">
        <f t="shared" ca="1" si="618"/>
        <v>27.92034116454715</v>
      </c>
    </row>
    <row r="635" spans="5:19" x14ac:dyDescent="0.75">
      <c r="E635">
        <v>630</v>
      </c>
      <c r="F635">
        <v>100</v>
      </c>
      <c r="G635">
        <f t="shared" ca="1" si="614"/>
        <v>92.345190160325558</v>
      </c>
      <c r="H635">
        <f t="shared" ca="1" si="614"/>
        <v>96.270645091442802</v>
      </c>
      <c r="I635">
        <f t="shared" ca="1" si="614"/>
        <v>99.355942030026796</v>
      </c>
      <c r="J635">
        <f t="shared" ca="1" si="614"/>
        <v>103.77735066831475</v>
      </c>
      <c r="K635">
        <f t="shared" ref="K635:P635" ca="1" si="670">J635*EXP(($C$4-0.5*$C$5^2)*$C$10+$C$5*SQRT($C$10)*NORMINV(RAND(),0,1))</f>
        <v>100.46681115300817</v>
      </c>
      <c r="L635">
        <f t="shared" ca="1" si="670"/>
        <v>106.07871362275395</v>
      </c>
      <c r="M635">
        <f t="shared" ca="1" si="670"/>
        <v>111.9132004543638</v>
      </c>
      <c r="N635">
        <f t="shared" ca="1" si="670"/>
        <v>115.07841086519603</v>
      </c>
      <c r="O635">
        <f t="shared" ca="1" si="670"/>
        <v>115.4412568449836</v>
      </c>
      <c r="P635">
        <f t="shared" ca="1" si="670"/>
        <v>114.14932267330765</v>
      </c>
      <c r="Q635">
        <f t="shared" ca="1" si="616"/>
        <v>104.98880396033846</v>
      </c>
      <c r="R635">
        <f t="shared" ca="1" si="617"/>
        <v>4.9888039603384584</v>
      </c>
      <c r="S635">
        <f t="shared" ca="1" si="618"/>
        <v>4.7454971201396345</v>
      </c>
    </row>
    <row r="636" spans="5:19" x14ac:dyDescent="0.75">
      <c r="E636">
        <v>631</v>
      </c>
      <c r="F636">
        <v>100</v>
      </c>
      <c r="G636">
        <f t="shared" ca="1" si="614"/>
        <v>99.204736129823701</v>
      </c>
      <c r="H636">
        <f t="shared" ca="1" si="614"/>
        <v>105.02498424815138</v>
      </c>
      <c r="I636">
        <f t="shared" ca="1" si="614"/>
        <v>107.61446430972789</v>
      </c>
      <c r="J636">
        <f t="shared" ca="1" si="614"/>
        <v>104.33931845489464</v>
      </c>
      <c r="K636">
        <f t="shared" ref="K636:P636" ca="1" si="671">J636*EXP(($C$4-0.5*$C$5^2)*$C$10+$C$5*SQRT($C$10)*NORMINV(RAND(),0,1))</f>
        <v>106.21948970471378</v>
      </c>
      <c r="L636">
        <f t="shared" ca="1" si="671"/>
        <v>118.30063124476588</v>
      </c>
      <c r="M636">
        <f t="shared" ca="1" si="671"/>
        <v>118.4008817908334</v>
      </c>
      <c r="N636">
        <f t="shared" ca="1" si="671"/>
        <v>115.14744818312955</v>
      </c>
      <c r="O636">
        <f t="shared" ca="1" si="671"/>
        <v>113.58773009351772</v>
      </c>
      <c r="P636">
        <f t="shared" ca="1" si="671"/>
        <v>109.81283110263041</v>
      </c>
      <c r="Q636">
        <f t="shared" ca="1" si="616"/>
        <v>108.87750138747168</v>
      </c>
      <c r="R636">
        <f t="shared" ca="1" si="617"/>
        <v>8.8775013874716819</v>
      </c>
      <c r="S636">
        <f t="shared" ca="1" si="618"/>
        <v>8.4445405358089776</v>
      </c>
    </row>
    <row r="637" spans="5:19" x14ac:dyDescent="0.75">
      <c r="E637">
        <v>632</v>
      </c>
      <c r="F637">
        <v>100</v>
      </c>
      <c r="G637">
        <f t="shared" ca="1" si="614"/>
        <v>109.14219632611504</v>
      </c>
      <c r="H637">
        <f t="shared" ca="1" si="614"/>
        <v>99.082513145450548</v>
      </c>
      <c r="I637">
        <f t="shared" ca="1" si="614"/>
        <v>94.473364906830014</v>
      </c>
      <c r="J637">
        <f t="shared" ca="1" si="614"/>
        <v>88.724029109835826</v>
      </c>
      <c r="K637">
        <f t="shared" ref="K637:P637" ca="1" si="672">J637*EXP(($C$4-0.5*$C$5^2)*$C$10+$C$5*SQRT($C$10)*NORMINV(RAND(),0,1))</f>
        <v>81.673989443060961</v>
      </c>
      <c r="L637">
        <f t="shared" ca="1" si="672"/>
        <v>83.999253620230007</v>
      </c>
      <c r="M637">
        <f t="shared" ca="1" si="672"/>
        <v>86.852188791146546</v>
      </c>
      <c r="N637">
        <f t="shared" ca="1" si="672"/>
        <v>78.392664268073105</v>
      </c>
      <c r="O637">
        <f t="shared" ca="1" si="672"/>
        <v>80.15892846168569</v>
      </c>
      <c r="P637">
        <f t="shared" ca="1" si="672"/>
        <v>81.887212575000021</v>
      </c>
      <c r="Q637">
        <f t="shared" ca="1" si="616"/>
        <v>89.489667331584329</v>
      </c>
      <c r="R637">
        <f t="shared" ca="1" si="617"/>
        <v>0</v>
      </c>
      <c r="S637">
        <f t="shared" ca="1" si="618"/>
        <v>0</v>
      </c>
    </row>
    <row r="638" spans="5:19" x14ac:dyDescent="0.75">
      <c r="E638">
        <v>633</v>
      </c>
      <c r="F638">
        <v>100</v>
      </c>
      <c r="G638">
        <f t="shared" ca="1" si="614"/>
        <v>84.46326961496186</v>
      </c>
      <c r="H638">
        <f t="shared" ca="1" si="614"/>
        <v>86.919166292799119</v>
      </c>
      <c r="I638">
        <f t="shared" ca="1" si="614"/>
        <v>86.799184308259328</v>
      </c>
      <c r="J638">
        <f t="shared" ca="1" si="614"/>
        <v>82.982669555583399</v>
      </c>
      <c r="K638">
        <f t="shared" ref="K638:P638" ca="1" si="673">J638*EXP(($C$4-0.5*$C$5^2)*$C$10+$C$5*SQRT($C$10)*NORMINV(RAND(),0,1))</f>
        <v>87.121016966880163</v>
      </c>
      <c r="L638">
        <f t="shared" ca="1" si="673"/>
        <v>79.520290855020875</v>
      </c>
      <c r="M638">
        <f t="shared" ca="1" si="673"/>
        <v>74.931816081927494</v>
      </c>
      <c r="N638">
        <f t="shared" ca="1" si="673"/>
        <v>82.343029413052378</v>
      </c>
      <c r="O638">
        <f t="shared" ca="1" si="673"/>
        <v>78.509248794239738</v>
      </c>
      <c r="P638">
        <f t="shared" ca="1" si="673"/>
        <v>81.126730872749974</v>
      </c>
      <c r="Q638">
        <f t="shared" ca="1" si="616"/>
        <v>84.06512934140676</v>
      </c>
      <c r="R638">
        <f t="shared" ca="1" si="617"/>
        <v>0</v>
      </c>
      <c r="S638">
        <f t="shared" ca="1" si="618"/>
        <v>0</v>
      </c>
    </row>
    <row r="639" spans="5:19" x14ac:dyDescent="0.75">
      <c r="E639">
        <v>634</v>
      </c>
      <c r="F639">
        <v>100</v>
      </c>
      <c r="G639">
        <f t="shared" ca="1" si="614"/>
        <v>100.22043437251517</v>
      </c>
      <c r="H639">
        <f t="shared" ca="1" si="614"/>
        <v>97.917657629578088</v>
      </c>
      <c r="I639">
        <f t="shared" ca="1" si="614"/>
        <v>98.392735666957094</v>
      </c>
      <c r="J639">
        <f t="shared" ca="1" si="614"/>
        <v>105.477806997494</v>
      </c>
      <c r="K639">
        <f t="shared" ref="K639:P639" ca="1" si="674">J639*EXP(($C$4-0.5*$C$5^2)*$C$10+$C$5*SQRT($C$10)*NORMINV(RAND(),0,1))</f>
        <v>114.30474593188474</v>
      </c>
      <c r="L639">
        <f t="shared" ca="1" si="674"/>
        <v>113.36854368593214</v>
      </c>
      <c r="M639">
        <f t="shared" ca="1" si="674"/>
        <v>116.22525910545988</v>
      </c>
      <c r="N639">
        <f t="shared" ca="1" si="674"/>
        <v>116.50743754725451</v>
      </c>
      <c r="O639">
        <f t="shared" ca="1" si="674"/>
        <v>122.33340945001456</v>
      </c>
      <c r="P639">
        <f t="shared" ca="1" si="674"/>
        <v>123.2266456803205</v>
      </c>
      <c r="Q639">
        <f t="shared" ca="1" si="616"/>
        <v>109.81587964249188</v>
      </c>
      <c r="R639">
        <f t="shared" ca="1" si="617"/>
        <v>9.8158796424918791</v>
      </c>
      <c r="S639">
        <f t="shared" ca="1" si="618"/>
        <v>9.337153543295825</v>
      </c>
    </row>
    <row r="640" spans="5:19" x14ac:dyDescent="0.75">
      <c r="E640">
        <v>635</v>
      </c>
      <c r="F640">
        <v>100</v>
      </c>
      <c r="G640">
        <f t="shared" ca="1" si="614"/>
        <v>110.82692943140636</v>
      </c>
      <c r="H640">
        <f t="shared" ca="1" si="614"/>
        <v>116.30645925463882</v>
      </c>
      <c r="I640">
        <f t="shared" ca="1" si="614"/>
        <v>115.48250165958348</v>
      </c>
      <c r="J640">
        <f t="shared" ca="1" si="614"/>
        <v>124.09272872567522</v>
      </c>
      <c r="K640">
        <f t="shared" ref="K640:P640" ca="1" si="675">J640*EXP(($C$4-0.5*$C$5^2)*$C$10+$C$5*SQRT($C$10)*NORMINV(RAND(),0,1))</f>
        <v>115.93801255172079</v>
      </c>
      <c r="L640">
        <f t="shared" ca="1" si="675"/>
        <v>119.16607609465088</v>
      </c>
      <c r="M640">
        <f t="shared" ca="1" si="675"/>
        <v>122.50754268543582</v>
      </c>
      <c r="N640">
        <f t="shared" ca="1" si="675"/>
        <v>125.41572137595163</v>
      </c>
      <c r="O640">
        <f t="shared" ca="1" si="675"/>
        <v>119.67161324628474</v>
      </c>
      <c r="P640">
        <f t="shared" ca="1" si="675"/>
        <v>105.34829153945874</v>
      </c>
      <c r="Q640">
        <f t="shared" ca="1" si="616"/>
        <v>115.88689786952787</v>
      </c>
      <c r="R640">
        <f t="shared" ca="1" si="617"/>
        <v>15.886897869527871</v>
      </c>
      <c r="S640">
        <f t="shared" ca="1" si="618"/>
        <v>15.112084717532616</v>
      </c>
    </row>
    <row r="641" spans="5:19" x14ac:dyDescent="0.75">
      <c r="E641">
        <v>636</v>
      </c>
      <c r="F641">
        <v>100</v>
      </c>
      <c r="G641">
        <f t="shared" ca="1" si="614"/>
        <v>105.70344619034262</v>
      </c>
      <c r="H641">
        <f t="shared" ca="1" si="614"/>
        <v>117.70579992062183</v>
      </c>
      <c r="I641">
        <f t="shared" ca="1" si="614"/>
        <v>103.15047269054442</v>
      </c>
      <c r="J641">
        <f t="shared" ca="1" si="614"/>
        <v>107.03014336185849</v>
      </c>
      <c r="K641">
        <f t="shared" ref="K641:P641" ca="1" si="676">J641*EXP(($C$4-0.5*$C$5^2)*$C$10+$C$5*SQRT($C$10)*NORMINV(RAND(),0,1))</f>
        <v>103.40675031255665</v>
      </c>
      <c r="L641">
        <f t="shared" ca="1" si="676"/>
        <v>100.13686308019649</v>
      </c>
      <c r="M641">
        <f t="shared" ca="1" si="676"/>
        <v>106.55505579732647</v>
      </c>
      <c r="N641">
        <f t="shared" ca="1" si="676"/>
        <v>97.465813026779784</v>
      </c>
      <c r="O641">
        <f t="shared" ca="1" si="676"/>
        <v>89.859302686799055</v>
      </c>
      <c r="P641">
        <f t="shared" ca="1" si="676"/>
        <v>88.280864337244722</v>
      </c>
      <c r="Q641">
        <f t="shared" ca="1" si="616"/>
        <v>101.75404649129732</v>
      </c>
      <c r="R641">
        <f t="shared" ca="1" si="617"/>
        <v>1.7540464912973164</v>
      </c>
      <c r="S641">
        <f t="shared" ca="1" si="618"/>
        <v>1.668500634464243</v>
      </c>
    </row>
    <row r="642" spans="5:19" x14ac:dyDescent="0.75">
      <c r="E642">
        <v>637</v>
      </c>
      <c r="F642">
        <v>100</v>
      </c>
      <c r="G642">
        <f t="shared" ca="1" si="614"/>
        <v>99.423907391735028</v>
      </c>
      <c r="H642">
        <f t="shared" ca="1" si="614"/>
        <v>97.429465626978711</v>
      </c>
      <c r="I642">
        <f t="shared" ca="1" si="614"/>
        <v>96.473745274857919</v>
      </c>
      <c r="J642">
        <f t="shared" ca="1" si="614"/>
        <v>95.100810016514316</v>
      </c>
      <c r="K642">
        <f t="shared" ref="K642:P642" ca="1" si="677">J642*EXP(($C$4-0.5*$C$5^2)*$C$10+$C$5*SQRT($C$10)*NORMINV(RAND(),0,1))</f>
        <v>87.508142500044244</v>
      </c>
      <c r="L642">
        <f t="shared" ca="1" si="677"/>
        <v>90.333820589643011</v>
      </c>
      <c r="M642">
        <f t="shared" ca="1" si="677"/>
        <v>90.593792226490734</v>
      </c>
      <c r="N642">
        <f t="shared" ca="1" si="677"/>
        <v>83.378744372944084</v>
      </c>
      <c r="O642">
        <f t="shared" ca="1" si="677"/>
        <v>81.711842808570125</v>
      </c>
      <c r="P642">
        <f t="shared" ca="1" si="677"/>
        <v>87.808103551512474</v>
      </c>
      <c r="Q642">
        <f t="shared" ca="1" si="616"/>
        <v>91.79657948720822</v>
      </c>
      <c r="R642">
        <f t="shared" ca="1" si="617"/>
        <v>0</v>
      </c>
      <c r="S642">
        <f t="shared" ca="1" si="618"/>
        <v>0</v>
      </c>
    </row>
    <row r="643" spans="5:19" x14ac:dyDescent="0.75">
      <c r="E643">
        <v>638</v>
      </c>
      <c r="F643">
        <v>100</v>
      </c>
      <c r="G643">
        <f t="shared" ca="1" si="614"/>
        <v>101.94847678159138</v>
      </c>
      <c r="H643">
        <f t="shared" ca="1" si="614"/>
        <v>104.68885866594609</v>
      </c>
      <c r="I643">
        <f t="shared" ca="1" si="614"/>
        <v>105.31516279291719</v>
      </c>
      <c r="J643">
        <f t="shared" ca="1" si="614"/>
        <v>98.013116785007938</v>
      </c>
      <c r="K643">
        <f t="shared" ref="K643:P643" ca="1" si="678">J643*EXP(($C$4-0.5*$C$5^2)*$C$10+$C$5*SQRT($C$10)*NORMINV(RAND(),0,1))</f>
        <v>98.544147576049383</v>
      </c>
      <c r="L643">
        <f t="shared" ca="1" si="678"/>
        <v>92.940710884989571</v>
      </c>
      <c r="M643">
        <f t="shared" ca="1" si="678"/>
        <v>91.229362977299829</v>
      </c>
      <c r="N643">
        <f t="shared" ca="1" si="678"/>
        <v>85.618841296603421</v>
      </c>
      <c r="O643">
        <f t="shared" ca="1" si="678"/>
        <v>80.283429557781162</v>
      </c>
      <c r="P643">
        <f t="shared" ca="1" si="678"/>
        <v>79.588109183939721</v>
      </c>
      <c r="Q643">
        <f t="shared" ca="1" si="616"/>
        <v>94.379110591102332</v>
      </c>
      <c r="R643">
        <f t="shared" ca="1" si="617"/>
        <v>0</v>
      </c>
      <c r="S643">
        <f t="shared" ca="1" si="618"/>
        <v>0</v>
      </c>
    </row>
    <row r="644" spans="5:19" x14ac:dyDescent="0.75">
      <c r="E644">
        <v>639</v>
      </c>
      <c r="F644">
        <v>100</v>
      </c>
      <c r="G644">
        <f t="shared" ca="1" si="614"/>
        <v>104.54435416512065</v>
      </c>
      <c r="H644">
        <f t="shared" ca="1" si="614"/>
        <v>113.22769713564799</v>
      </c>
      <c r="I644">
        <f t="shared" ca="1" si="614"/>
        <v>123.33185377110529</v>
      </c>
      <c r="J644">
        <f t="shared" ca="1" si="614"/>
        <v>134.59348840490307</v>
      </c>
      <c r="K644">
        <f t="shared" ref="K644:P644" ca="1" si="679">J644*EXP(($C$4-0.5*$C$5^2)*$C$10+$C$5*SQRT($C$10)*NORMINV(RAND(),0,1))</f>
        <v>139.2123968899285</v>
      </c>
      <c r="L644">
        <f t="shared" ca="1" si="679"/>
        <v>136.37847393930809</v>
      </c>
      <c r="M644">
        <f t="shared" ca="1" si="679"/>
        <v>129.0698532975936</v>
      </c>
      <c r="N644">
        <f t="shared" ca="1" si="679"/>
        <v>137.76730461305914</v>
      </c>
      <c r="O644">
        <f t="shared" ca="1" si="679"/>
        <v>143.7488993379944</v>
      </c>
      <c r="P644">
        <f t="shared" ca="1" si="679"/>
        <v>140.21551186388643</v>
      </c>
      <c r="Q644">
        <f t="shared" ca="1" si="616"/>
        <v>127.46271212895881</v>
      </c>
      <c r="R644">
        <f t="shared" ca="1" si="617"/>
        <v>27.462712128958813</v>
      </c>
      <c r="S644">
        <f t="shared" ca="1" si="618"/>
        <v>26.123339853658269</v>
      </c>
    </row>
    <row r="645" spans="5:19" x14ac:dyDescent="0.75">
      <c r="E645">
        <v>640</v>
      </c>
      <c r="F645">
        <v>100</v>
      </c>
      <c r="G645">
        <f t="shared" ca="1" si="614"/>
        <v>92.178320914073851</v>
      </c>
      <c r="H645">
        <f t="shared" ca="1" si="614"/>
        <v>91.453078544825431</v>
      </c>
      <c r="I645">
        <f t="shared" ca="1" si="614"/>
        <v>104.5735212917714</v>
      </c>
      <c r="J645">
        <f t="shared" ca="1" si="614"/>
        <v>105.99847778679474</v>
      </c>
      <c r="K645">
        <f t="shared" ref="K645:P645" ca="1" si="680">J645*EXP(($C$4-0.5*$C$5^2)*$C$10+$C$5*SQRT($C$10)*NORMINV(RAND(),0,1))</f>
        <v>107.44981167382427</v>
      </c>
      <c r="L645">
        <f t="shared" ca="1" si="680"/>
        <v>113.34908478330537</v>
      </c>
      <c r="M645">
        <f t="shared" ca="1" si="680"/>
        <v>119.38981624596461</v>
      </c>
      <c r="N645">
        <f t="shared" ca="1" si="680"/>
        <v>120.7803201941084</v>
      </c>
      <c r="O645">
        <f t="shared" ca="1" si="680"/>
        <v>115.75182038004615</v>
      </c>
      <c r="P645">
        <f t="shared" ca="1" si="680"/>
        <v>115.77829059284299</v>
      </c>
      <c r="Q645">
        <f t="shared" ca="1" si="616"/>
        <v>107.88204930977791</v>
      </c>
      <c r="R645">
        <f t="shared" ca="1" si="617"/>
        <v>7.8820493097779121</v>
      </c>
      <c r="S645">
        <f t="shared" ca="1" si="618"/>
        <v>7.4976372288262931</v>
      </c>
    </row>
    <row r="646" spans="5:19" x14ac:dyDescent="0.75">
      <c r="E646">
        <v>641</v>
      </c>
      <c r="F646">
        <v>100</v>
      </c>
      <c r="G646">
        <f t="shared" ca="1" si="614"/>
        <v>103.68773395054906</v>
      </c>
      <c r="H646">
        <f t="shared" ca="1" si="614"/>
        <v>99.937675851115984</v>
      </c>
      <c r="I646">
        <f t="shared" ca="1" si="614"/>
        <v>93.916467997325938</v>
      </c>
      <c r="J646">
        <f t="shared" ref="J646:P646" ca="1" si="681">I646*EXP(($C$4-0.5*$C$5^2)*$C$10+$C$5*SQRT($C$10)*NORMINV(RAND(),0,1))</f>
        <v>102.59795500925441</v>
      </c>
      <c r="K646">
        <f t="shared" ca="1" si="681"/>
        <v>103.93061441124307</v>
      </c>
      <c r="L646">
        <f t="shared" ca="1" si="681"/>
        <v>99.017299828662132</v>
      </c>
      <c r="M646">
        <f t="shared" ca="1" si="681"/>
        <v>107.05989960450698</v>
      </c>
      <c r="N646">
        <f t="shared" ca="1" si="681"/>
        <v>117.01335098011556</v>
      </c>
      <c r="O646">
        <f t="shared" ca="1" si="681"/>
        <v>124.77524211608524</v>
      </c>
      <c r="P646">
        <f t="shared" ca="1" si="681"/>
        <v>120.86949327805044</v>
      </c>
      <c r="Q646">
        <f t="shared" ca="1" si="616"/>
        <v>106.61870300244624</v>
      </c>
      <c r="R646">
        <f t="shared" ca="1" si="617"/>
        <v>6.6187030024462388</v>
      </c>
      <c r="S646">
        <f t="shared" ca="1" si="618"/>
        <v>6.295905047958084</v>
      </c>
    </row>
    <row r="647" spans="5:19" x14ac:dyDescent="0.75">
      <c r="E647">
        <v>642</v>
      </c>
      <c r="F647">
        <v>100</v>
      </c>
      <c r="G647">
        <f t="shared" ref="G647:J710" ca="1" si="682">F647*EXP(($C$4-0.5*$C$5^2)*$C$10+$C$5*SQRT($C$10)*NORMINV(RAND(),0,1))</f>
        <v>98.054924898886995</v>
      </c>
      <c r="H647">
        <f t="shared" ca="1" si="682"/>
        <v>103.52183793722898</v>
      </c>
      <c r="I647">
        <f t="shared" ca="1" si="682"/>
        <v>103.44236429495363</v>
      </c>
      <c r="J647">
        <f t="shared" ca="1" si="682"/>
        <v>104.33985868516535</v>
      </c>
      <c r="K647">
        <f t="shared" ref="K647:P647" ca="1" si="683">J647*EXP(($C$4-0.5*$C$5^2)*$C$10+$C$5*SQRT($C$10)*NORMINV(RAND(),0,1))</f>
        <v>95.447901017974417</v>
      </c>
      <c r="L647">
        <f t="shared" ca="1" si="683"/>
        <v>99.260284160555813</v>
      </c>
      <c r="M647">
        <f t="shared" ca="1" si="683"/>
        <v>97.540802730444824</v>
      </c>
      <c r="N647">
        <f t="shared" ca="1" si="683"/>
        <v>98.04827007613693</v>
      </c>
      <c r="O647">
        <f t="shared" ca="1" si="683"/>
        <v>107.05558819039514</v>
      </c>
      <c r="P647">
        <f t="shared" ca="1" si="683"/>
        <v>111.20619570259758</v>
      </c>
      <c r="Q647">
        <f t="shared" ref="Q647:Q710" ca="1" si="684">AVERAGE(F647:P647)</f>
        <v>101.62891160857635</v>
      </c>
      <c r="R647">
        <f t="shared" ref="R647:R710" ca="1" si="685">MAX(Q647-$C$7,0)</f>
        <v>1.6289116085763453</v>
      </c>
      <c r="S647">
        <f t="shared" ref="S647:S710" ca="1" si="686">EXP(-$C$4*$C$6)*R647</f>
        <v>1.5494686519886094</v>
      </c>
    </row>
    <row r="648" spans="5:19" x14ac:dyDescent="0.75">
      <c r="E648">
        <v>643</v>
      </c>
      <c r="F648">
        <v>100</v>
      </c>
      <c r="G648">
        <f t="shared" ca="1" si="682"/>
        <v>109.10075700837902</v>
      </c>
      <c r="H648">
        <f t="shared" ca="1" si="682"/>
        <v>111.68348660866931</v>
      </c>
      <c r="I648">
        <f t="shared" ca="1" si="682"/>
        <v>120.92193503769862</v>
      </c>
      <c r="J648">
        <f t="shared" ca="1" si="682"/>
        <v>126.3385580995004</v>
      </c>
      <c r="K648">
        <f t="shared" ref="K648:P648" ca="1" si="687">J648*EXP(($C$4-0.5*$C$5^2)*$C$10+$C$5*SQRT($C$10)*NORMINV(RAND(),0,1))</f>
        <v>121.51175254759318</v>
      </c>
      <c r="L648">
        <f t="shared" ca="1" si="687"/>
        <v>119.19948299785094</v>
      </c>
      <c r="M648">
        <f t="shared" ca="1" si="687"/>
        <v>113.88095622022536</v>
      </c>
      <c r="N648">
        <f t="shared" ca="1" si="687"/>
        <v>112.73969260740414</v>
      </c>
      <c r="O648">
        <f t="shared" ca="1" si="687"/>
        <v>111.26450417917026</v>
      </c>
      <c r="P648">
        <f t="shared" ca="1" si="687"/>
        <v>110.59336424723058</v>
      </c>
      <c r="Q648">
        <f t="shared" ca="1" si="684"/>
        <v>114.29404450488381</v>
      </c>
      <c r="R648">
        <f t="shared" ca="1" si="685"/>
        <v>14.294044504883814</v>
      </c>
      <c r="S648">
        <f t="shared" ca="1" si="686"/>
        <v>13.596915728168224</v>
      </c>
    </row>
    <row r="649" spans="5:19" x14ac:dyDescent="0.75">
      <c r="E649">
        <v>644</v>
      </c>
      <c r="F649">
        <v>100</v>
      </c>
      <c r="G649">
        <f t="shared" ca="1" si="682"/>
        <v>101.6568677942149</v>
      </c>
      <c r="H649">
        <f t="shared" ca="1" si="682"/>
        <v>92.314055245941972</v>
      </c>
      <c r="I649">
        <f t="shared" ca="1" si="682"/>
        <v>91.846229484352591</v>
      </c>
      <c r="J649">
        <f t="shared" ca="1" si="682"/>
        <v>82.406868393643862</v>
      </c>
      <c r="K649">
        <f t="shared" ref="K649:P649" ca="1" si="688">J649*EXP(($C$4-0.5*$C$5^2)*$C$10+$C$5*SQRT($C$10)*NORMINV(RAND(),0,1))</f>
        <v>79.95506650189941</v>
      </c>
      <c r="L649">
        <f t="shared" ca="1" si="688"/>
        <v>80.996813037448916</v>
      </c>
      <c r="M649">
        <f t="shared" ca="1" si="688"/>
        <v>83.009621576406502</v>
      </c>
      <c r="N649">
        <f t="shared" ca="1" si="688"/>
        <v>84.17026717986711</v>
      </c>
      <c r="O649">
        <f t="shared" ca="1" si="688"/>
        <v>85.212518794413796</v>
      </c>
      <c r="P649">
        <f t="shared" ca="1" si="688"/>
        <v>81.676741453719799</v>
      </c>
      <c r="Q649">
        <f t="shared" ca="1" si="684"/>
        <v>87.567731769264441</v>
      </c>
      <c r="R649">
        <f t="shared" ca="1" si="685"/>
        <v>0</v>
      </c>
      <c r="S649">
        <f t="shared" ca="1" si="686"/>
        <v>0</v>
      </c>
    </row>
    <row r="650" spans="5:19" x14ac:dyDescent="0.75">
      <c r="E650">
        <v>645</v>
      </c>
      <c r="F650">
        <v>100</v>
      </c>
      <c r="G650">
        <f t="shared" ca="1" si="682"/>
        <v>102.32168819394516</v>
      </c>
      <c r="H650">
        <f t="shared" ca="1" si="682"/>
        <v>95.411872414854543</v>
      </c>
      <c r="I650">
        <f t="shared" ca="1" si="682"/>
        <v>103.00360861966411</v>
      </c>
      <c r="J650">
        <f t="shared" ca="1" si="682"/>
        <v>101.69176077982571</v>
      </c>
      <c r="K650">
        <f t="shared" ref="K650:P650" ca="1" si="689">J650*EXP(($C$4-0.5*$C$5^2)*$C$10+$C$5*SQRT($C$10)*NORMINV(RAND(),0,1))</f>
        <v>107.05034452175956</v>
      </c>
      <c r="L650">
        <f t="shared" ca="1" si="689"/>
        <v>105.84872265129673</v>
      </c>
      <c r="M650">
        <f t="shared" ca="1" si="689"/>
        <v>106.89179639967526</v>
      </c>
      <c r="N650">
        <f t="shared" ca="1" si="689"/>
        <v>113.00377328670473</v>
      </c>
      <c r="O650">
        <f t="shared" ca="1" si="689"/>
        <v>113.64198220840829</v>
      </c>
      <c r="P650">
        <f t="shared" ca="1" si="689"/>
        <v>115.97101366400324</v>
      </c>
      <c r="Q650">
        <f t="shared" ca="1" si="684"/>
        <v>105.89423297637613</v>
      </c>
      <c r="R650">
        <f t="shared" ca="1" si="685"/>
        <v>5.8942329763761308</v>
      </c>
      <c r="S650">
        <f t="shared" ca="1" si="686"/>
        <v>5.6067678419913971</v>
      </c>
    </row>
    <row r="651" spans="5:19" x14ac:dyDescent="0.75">
      <c r="E651">
        <v>646</v>
      </c>
      <c r="F651">
        <v>100</v>
      </c>
      <c r="G651">
        <f t="shared" ca="1" si="682"/>
        <v>100.20009650058357</v>
      </c>
      <c r="H651">
        <f t="shared" ca="1" si="682"/>
        <v>94.96616076691825</v>
      </c>
      <c r="I651">
        <f t="shared" ca="1" si="682"/>
        <v>97.930114358180901</v>
      </c>
      <c r="J651">
        <f t="shared" ca="1" si="682"/>
        <v>99.232309206962896</v>
      </c>
      <c r="K651">
        <f t="shared" ref="K651:P651" ca="1" si="690">J651*EXP(($C$4-0.5*$C$5^2)*$C$10+$C$5*SQRT($C$10)*NORMINV(RAND(),0,1))</f>
        <v>99.510228385664291</v>
      </c>
      <c r="L651">
        <f t="shared" ca="1" si="690"/>
        <v>103.07417296711483</v>
      </c>
      <c r="M651">
        <f t="shared" ca="1" si="690"/>
        <v>96.799530275595856</v>
      </c>
      <c r="N651">
        <f t="shared" ca="1" si="690"/>
        <v>108.29403670281478</v>
      </c>
      <c r="O651">
        <f t="shared" ca="1" si="690"/>
        <v>116.363491517306</v>
      </c>
      <c r="P651">
        <f t="shared" ca="1" si="690"/>
        <v>105.00279086617023</v>
      </c>
      <c r="Q651">
        <f t="shared" ca="1" si="684"/>
        <v>101.94299377702832</v>
      </c>
      <c r="R651">
        <f t="shared" ca="1" si="685"/>
        <v>1.9429937770283203</v>
      </c>
      <c r="S651">
        <f t="shared" ca="1" si="686"/>
        <v>1.8482328523311178</v>
      </c>
    </row>
    <row r="652" spans="5:19" x14ac:dyDescent="0.75">
      <c r="E652">
        <v>647</v>
      </c>
      <c r="F652">
        <v>100</v>
      </c>
      <c r="G652">
        <f t="shared" ca="1" si="682"/>
        <v>104.41588711028662</v>
      </c>
      <c r="H652">
        <f t="shared" ca="1" si="682"/>
        <v>106.74457526194705</v>
      </c>
      <c r="I652">
        <f t="shared" ca="1" si="682"/>
        <v>119.35274462549906</v>
      </c>
      <c r="J652">
        <f t="shared" ca="1" si="682"/>
        <v>123.08518924518985</v>
      </c>
      <c r="K652">
        <f t="shared" ref="K652:P652" ca="1" si="691">J652*EXP(($C$4-0.5*$C$5^2)*$C$10+$C$5*SQRT($C$10)*NORMINV(RAND(),0,1))</f>
        <v>125.8368591101233</v>
      </c>
      <c r="L652">
        <f t="shared" ca="1" si="691"/>
        <v>137.88558033711828</v>
      </c>
      <c r="M652">
        <f t="shared" ca="1" si="691"/>
        <v>153.32529521473325</v>
      </c>
      <c r="N652">
        <f t="shared" ca="1" si="691"/>
        <v>144.7349001888183</v>
      </c>
      <c r="O652">
        <f t="shared" ca="1" si="691"/>
        <v>144.919270210609</v>
      </c>
      <c r="P652">
        <f t="shared" ca="1" si="691"/>
        <v>155.57610173842954</v>
      </c>
      <c r="Q652">
        <f t="shared" ca="1" si="684"/>
        <v>128.71603664025039</v>
      </c>
      <c r="R652">
        <f t="shared" ca="1" si="685"/>
        <v>28.716036640250394</v>
      </c>
      <c r="S652">
        <f t="shared" ca="1" si="686"/>
        <v>27.315539007246798</v>
      </c>
    </row>
    <row r="653" spans="5:19" x14ac:dyDescent="0.75">
      <c r="E653">
        <v>648</v>
      </c>
      <c r="F653">
        <v>100</v>
      </c>
      <c r="G653">
        <f t="shared" ca="1" si="682"/>
        <v>88.571007146292743</v>
      </c>
      <c r="H653">
        <f t="shared" ca="1" si="682"/>
        <v>84.849021869567792</v>
      </c>
      <c r="I653">
        <f t="shared" ca="1" si="682"/>
        <v>88.978753581539053</v>
      </c>
      <c r="J653">
        <f t="shared" ca="1" si="682"/>
        <v>95.572920272563707</v>
      </c>
      <c r="K653">
        <f t="shared" ref="K653:P653" ca="1" si="692">J653*EXP(($C$4-0.5*$C$5^2)*$C$10+$C$5*SQRT($C$10)*NORMINV(RAND(),0,1))</f>
        <v>102.37727412395678</v>
      </c>
      <c r="L653">
        <f t="shared" ca="1" si="692"/>
        <v>95.776018527944373</v>
      </c>
      <c r="M653">
        <f t="shared" ca="1" si="692"/>
        <v>89.619538216184381</v>
      </c>
      <c r="N653">
        <f t="shared" ca="1" si="692"/>
        <v>91.295044785541776</v>
      </c>
      <c r="O653">
        <f t="shared" ca="1" si="692"/>
        <v>95.225033340109931</v>
      </c>
      <c r="P653">
        <f t="shared" ca="1" si="692"/>
        <v>94.850735722044149</v>
      </c>
      <c r="Q653">
        <f t="shared" ca="1" si="684"/>
        <v>93.374122507794979</v>
      </c>
      <c r="R653">
        <f t="shared" ca="1" si="685"/>
        <v>0</v>
      </c>
      <c r="S653">
        <f t="shared" ca="1" si="686"/>
        <v>0</v>
      </c>
    </row>
    <row r="654" spans="5:19" x14ac:dyDescent="0.75">
      <c r="E654">
        <v>649</v>
      </c>
      <c r="F654">
        <v>100</v>
      </c>
      <c r="G654">
        <f t="shared" ca="1" si="682"/>
        <v>97.680061525300871</v>
      </c>
      <c r="H654">
        <f t="shared" ca="1" si="682"/>
        <v>103.51420066185551</v>
      </c>
      <c r="I654">
        <f t="shared" ca="1" si="682"/>
        <v>106.04094226078033</v>
      </c>
      <c r="J654">
        <f t="shared" ca="1" si="682"/>
        <v>99.030104678000697</v>
      </c>
      <c r="K654">
        <f t="shared" ref="K654:P654" ca="1" si="693">J654*EXP(($C$4-0.5*$C$5^2)*$C$10+$C$5*SQRT($C$10)*NORMINV(RAND(),0,1))</f>
        <v>98.830792207314715</v>
      </c>
      <c r="L654">
        <f t="shared" ca="1" si="693"/>
        <v>98.751839203685918</v>
      </c>
      <c r="M654">
        <f t="shared" ca="1" si="693"/>
        <v>99.08904961623368</v>
      </c>
      <c r="N654">
        <f t="shared" ca="1" si="693"/>
        <v>100.91021646586886</v>
      </c>
      <c r="O654">
        <f t="shared" ca="1" si="693"/>
        <v>102.54573498296033</v>
      </c>
      <c r="P654">
        <f t="shared" ca="1" si="693"/>
        <v>103.27358169954535</v>
      </c>
      <c r="Q654">
        <f t="shared" ca="1" si="684"/>
        <v>100.87877484559512</v>
      </c>
      <c r="R654">
        <f t="shared" ca="1" si="685"/>
        <v>0.87877484559511743</v>
      </c>
      <c r="S654">
        <f t="shared" ca="1" si="686"/>
        <v>0.83591649064114737</v>
      </c>
    </row>
    <row r="655" spans="5:19" x14ac:dyDescent="0.75">
      <c r="E655">
        <v>650</v>
      </c>
      <c r="F655">
        <v>100</v>
      </c>
      <c r="G655">
        <f t="shared" ca="1" si="682"/>
        <v>99.379342287606605</v>
      </c>
      <c r="H655">
        <f t="shared" ca="1" si="682"/>
        <v>103.19101133730723</v>
      </c>
      <c r="I655">
        <f t="shared" ca="1" si="682"/>
        <v>104.74488497311108</v>
      </c>
      <c r="J655">
        <f t="shared" ca="1" si="682"/>
        <v>116.22050556966364</v>
      </c>
      <c r="K655">
        <f t="shared" ref="K655:P655" ca="1" si="694">J655*EXP(($C$4-0.5*$C$5^2)*$C$10+$C$5*SQRT($C$10)*NORMINV(RAND(),0,1))</f>
        <v>108.49333563314049</v>
      </c>
      <c r="L655">
        <f t="shared" ca="1" si="694"/>
        <v>109.61311447412238</v>
      </c>
      <c r="M655">
        <f t="shared" ca="1" si="694"/>
        <v>107.67015425084065</v>
      </c>
      <c r="N655">
        <f t="shared" ca="1" si="694"/>
        <v>109.42263649239509</v>
      </c>
      <c r="O655">
        <f t="shared" ca="1" si="694"/>
        <v>112.94156791073509</v>
      </c>
      <c r="P655">
        <f t="shared" ca="1" si="694"/>
        <v>119.91208320379839</v>
      </c>
      <c r="Q655">
        <f t="shared" ca="1" si="684"/>
        <v>108.32623964842915</v>
      </c>
      <c r="R655">
        <f t="shared" ca="1" si="685"/>
        <v>8.3262396484291514</v>
      </c>
      <c r="S655">
        <f t="shared" ca="1" si="686"/>
        <v>7.9201641490302892</v>
      </c>
    </row>
    <row r="656" spans="5:19" x14ac:dyDescent="0.75">
      <c r="E656">
        <v>651</v>
      </c>
      <c r="F656">
        <v>100</v>
      </c>
      <c r="G656">
        <f t="shared" ca="1" si="682"/>
        <v>109.0485480965002</v>
      </c>
      <c r="H656">
        <f t="shared" ca="1" si="682"/>
        <v>109.81039856607487</v>
      </c>
      <c r="I656">
        <f t="shared" ca="1" si="682"/>
        <v>104.81149508930763</v>
      </c>
      <c r="J656">
        <f t="shared" ca="1" si="682"/>
        <v>100.26707126084131</v>
      </c>
      <c r="K656">
        <f t="shared" ref="K656:P656" ca="1" si="695">J656*EXP(($C$4-0.5*$C$5^2)*$C$10+$C$5*SQRT($C$10)*NORMINV(RAND(),0,1))</f>
        <v>112.06215119200681</v>
      </c>
      <c r="L656">
        <f t="shared" ca="1" si="695"/>
        <v>116.05425223834062</v>
      </c>
      <c r="M656">
        <f t="shared" ca="1" si="695"/>
        <v>115.85052666382434</v>
      </c>
      <c r="N656">
        <f t="shared" ca="1" si="695"/>
        <v>114.15165023673983</v>
      </c>
      <c r="O656">
        <f t="shared" ca="1" si="695"/>
        <v>118.14592945415158</v>
      </c>
      <c r="P656">
        <f t="shared" ca="1" si="695"/>
        <v>117.11050620633972</v>
      </c>
      <c r="Q656">
        <f t="shared" ca="1" si="684"/>
        <v>110.66477536401153</v>
      </c>
      <c r="R656">
        <f t="shared" ca="1" si="685"/>
        <v>10.664775364011533</v>
      </c>
      <c r="S656">
        <f t="shared" ca="1" si="686"/>
        <v>10.144648131938084</v>
      </c>
    </row>
    <row r="657" spans="5:19" x14ac:dyDescent="0.75">
      <c r="E657">
        <v>652</v>
      </c>
      <c r="F657">
        <v>100</v>
      </c>
      <c r="G657">
        <f t="shared" ca="1" si="682"/>
        <v>103.78278395577448</v>
      </c>
      <c r="H657">
        <f t="shared" ca="1" si="682"/>
        <v>101.92173169136424</v>
      </c>
      <c r="I657">
        <f t="shared" ca="1" si="682"/>
        <v>103.81560122903977</v>
      </c>
      <c r="J657">
        <f t="shared" ca="1" si="682"/>
        <v>112.63334837797727</v>
      </c>
      <c r="K657">
        <f t="shared" ref="K657:P657" ca="1" si="696">J657*EXP(($C$4-0.5*$C$5^2)*$C$10+$C$5*SQRT($C$10)*NORMINV(RAND(),0,1))</f>
        <v>96.045872059862205</v>
      </c>
      <c r="L657">
        <f t="shared" ca="1" si="696"/>
        <v>115.20225910946489</v>
      </c>
      <c r="M657">
        <f t="shared" ca="1" si="696"/>
        <v>111.06265610965039</v>
      </c>
      <c r="N657">
        <f t="shared" ca="1" si="696"/>
        <v>117.93642000946116</v>
      </c>
      <c r="O657">
        <f t="shared" ca="1" si="696"/>
        <v>107.73799027112523</v>
      </c>
      <c r="P657">
        <f t="shared" ca="1" si="696"/>
        <v>108.39567443050238</v>
      </c>
      <c r="Q657">
        <f t="shared" ca="1" si="684"/>
        <v>107.13948520402019</v>
      </c>
      <c r="R657">
        <f t="shared" ca="1" si="685"/>
        <v>7.1394852040201897</v>
      </c>
      <c r="S657">
        <f t="shared" ca="1" si="686"/>
        <v>6.7912884018514879</v>
      </c>
    </row>
    <row r="658" spans="5:19" x14ac:dyDescent="0.75">
      <c r="E658">
        <v>653</v>
      </c>
      <c r="F658">
        <v>100</v>
      </c>
      <c r="G658">
        <f t="shared" ca="1" si="682"/>
        <v>101.45456252656086</v>
      </c>
      <c r="H658">
        <f t="shared" ca="1" si="682"/>
        <v>103.90890564352534</v>
      </c>
      <c r="I658">
        <f t="shared" ca="1" si="682"/>
        <v>101.78134336645027</v>
      </c>
      <c r="J658">
        <f t="shared" ca="1" si="682"/>
        <v>116.11186852263496</v>
      </c>
      <c r="K658">
        <f t="shared" ref="K658:P658" ca="1" si="697">J658*EXP(($C$4-0.5*$C$5^2)*$C$10+$C$5*SQRT($C$10)*NORMINV(RAND(),0,1))</f>
        <v>123.33813625621477</v>
      </c>
      <c r="L658">
        <f t="shared" ca="1" si="697"/>
        <v>133.44228999186765</v>
      </c>
      <c r="M658">
        <f t="shared" ca="1" si="697"/>
        <v>118.27427593282464</v>
      </c>
      <c r="N658">
        <f t="shared" ca="1" si="697"/>
        <v>117.08799045474304</v>
      </c>
      <c r="O658">
        <f t="shared" ca="1" si="697"/>
        <v>106.77505220704964</v>
      </c>
      <c r="P658">
        <f t="shared" ca="1" si="697"/>
        <v>107.01356279479623</v>
      </c>
      <c r="Q658">
        <f t="shared" ca="1" si="684"/>
        <v>111.74436251787884</v>
      </c>
      <c r="R658">
        <f t="shared" ca="1" si="685"/>
        <v>11.744362517878841</v>
      </c>
      <c r="S658">
        <f t="shared" ca="1" si="686"/>
        <v>11.171583199009646</v>
      </c>
    </row>
    <row r="659" spans="5:19" x14ac:dyDescent="0.75">
      <c r="E659">
        <v>654</v>
      </c>
      <c r="F659">
        <v>100</v>
      </c>
      <c r="G659">
        <f t="shared" ca="1" si="682"/>
        <v>103.35446931274018</v>
      </c>
      <c r="H659">
        <f t="shared" ca="1" si="682"/>
        <v>94.232503370198202</v>
      </c>
      <c r="I659">
        <f t="shared" ca="1" si="682"/>
        <v>85.545594014546026</v>
      </c>
      <c r="J659">
        <f t="shared" ca="1" si="682"/>
        <v>93.464118661459253</v>
      </c>
      <c r="K659">
        <f t="shared" ref="K659:P659" ca="1" si="698">J659*EXP(($C$4-0.5*$C$5^2)*$C$10+$C$5*SQRT($C$10)*NORMINV(RAND(),0,1))</f>
        <v>94.510768190724207</v>
      </c>
      <c r="L659">
        <f t="shared" ca="1" si="698"/>
        <v>99.44977735165314</v>
      </c>
      <c r="M659">
        <f t="shared" ca="1" si="698"/>
        <v>101.3109185659637</v>
      </c>
      <c r="N659">
        <f t="shared" ca="1" si="698"/>
        <v>94.195330166242286</v>
      </c>
      <c r="O659">
        <f t="shared" ca="1" si="698"/>
        <v>100.26325151908834</v>
      </c>
      <c r="P659">
        <f t="shared" ca="1" si="698"/>
        <v>99.849831337252866</v>
      </c>
      <c r="Q659">
        <f t="shared" ca="1" si="684"/>
        <v>96.925142044533459</v>
      </c>
      <c r="R659">
        <f t="shared" ca="1" si="685"/>
        <v>0</v>
      </c>
      <c r="S659">
        <f t="shared" ca="1" si="686"/>
        <v>0</v>
      </c>
    </row>
    <row r="660" spans="5:19" x14ac:dyDescent="0.75">
      <c r="E660">
        <v>655</v>
      </c>
      <c r="F660">
        <v>100</v>
      </c>
      <c r="G660">
        <f t="shared" ca="1" si="682"/>
        <v>100.55918150308744</v>
      </c>
      <c r="H660">
        <f t="shared" ca="1" si="682"/>
        <v>105.55399076128481</v>
      </c>
      <c r="I660">
        <f t="shared" ca="1" si="682"/>
        <v>123.91149944117355</v>
      </c>
      <c r="J660">
        <f t="shared" ca="1" si="682"/>
        <v>111.41940703411814</v>
      </c>
      <c r="K660">
        <f t="shared" ref="K660:P660" ca="1" si="699">J660*EXP(($C$4-0.5*$C$5^2)*$C$10+$C$5*SQRT($C$10)*NORMINV(RAND(),0,1))</f>
        <v>104.14757899437593</v>
      </c>
      <c r="L660">
        <f t="shared" ca="1" si="699"/>
        <v>112.81439476249352</v>
      </c>
      <c r="M660">
        <f t="shared" ca="1" si="699"/>
        <v>110.21221319574215</v>
      </c>
      <c r="N660">
        <f t="shared" ca="1" si="699"/>
        <v>108.50082846274968</v>
      </c>
      <c r="O660">
        <f t="shared" ca="1" si="699"/>
        <v>108.15558285542402</v>
      </c>
      <c r="P660">
        <f t="shared" ca="1" si="699"/>
        <v>109.30010614582098</v>
      </c>
      <c r="Q660">
        <f t="shared" ca="1" si="684"/>
        <v>108.59770755966093</v>
      </c>
      <c r="R660">
        <f t="shared" ca="1" si="685"/>
        <v>8.5977075596609325</v>
      </c>
      <c r="S660">
        <f t="shared" ca="1" si="686"/>
        <v>8.1783924140017064</v>
      </c>
    </row>
    <row r="661" spans="5:19" x14ac:dyDescent="0.75">
      <c r="E661">
        <v>656</v>
      </c>
      <c r="F661">
        <v>100</v>
      </c>
      <c r="G661">
        <f t="shared" ca="1" si="682"/>
        <v>96.908088053730594</v>
      </c>
      <c r="H661">
        <f t="shared" ca="1" si="682"/>
        <v>98.851282705610103</v>
      </c>
      <c r="I661">
        <f t="shared" ca="1" si="682"/>
        <v>110.05598004274854</v>
      </c>
      <c r="J661">
        <f t="shared" ca="1" si="682"/>
        <v>110.14241507663668</v>
      </c>
      <c r="K661">
        <f t="shared" ref="K661:P661" ca="1" si="700">J661*EXP(($C$4-0.5*$C$5^2)*$C$10+$C$5*SQRT($C$10)*NORMINV(RAND(),0,1))</f>
        <v>103.72993257055849</v>
      </c>
      <c r="L661">
        <f t="shared" ca="1" si="700"/>
        <v>95.225696106263072</v>
      </c>
      <c r="M661">
        <f t="shared" ca="1" si="700"/>
        <v>98.292365888936885</v>
      </c>
      <c r="N661">
        <f t="shared" ca="1" si="700"/>
        <v>99.795838957831549</v>
      </c>
      <c r="O661">
        <f t="shared" ca="1" si="700"/>
        <v>86.240925422563819</v>
      </c>
      <c r="P661">
        <f t="shared" ca="1" si="700"/>
        <v>83.806495304104587</v>
      </c>
      <c r="Q661">
        <f t="shared" ca="1" si="684"/>
        <v>98.459001829907663</v>
      </c>
      <c r="R661">
        <f t="shared" ca="1" si="685"/>
        <v>0</v>
      </c>
      <c r="S661">
        <f t="shared" ca="1" si="686"/>
        <v>0</v>
      </c>
    </row>
    <row r="662" spans="5:19" x14ac:dyDescent="0.75">
      <c r="E662">
        <v>657</v>
      </c>
      <c r="F662">
        <v>100</v>
      </c>
      <c r="G662">
        <f t="shared" ca="1" si="682"/>
        <v>100.61482221477418</v>
      </c>
      <c r="H662">
        <f t="shared" ca="1" si="682"/>
        <v>100.21097957019649</v>
      </c>
      <c r="I662">
        <f t="shared" ca="1" si="682"/>
        <v>107.99321514331596</v>
      </c>
      <c r="J662">
        <f t="shared" ca="1" si="682"/>
        <v>110.8914004890345</v>
      </c>
      <c r="K662">
        <f t="shared" ref="K662:P662" ca="1" si="701">J662*EXP(($C$4-0.5*$C$5^2)*$C$10+$C$5*SQRT($C$10)*NORMINV(RAND(),0,1))</f>
        <v>104.82033034551874</v>
      </c>
      <c r="L662">
        <f t="shared" ca="1" si="701"/>
        <v>99.931900495040196</v>
      </c>
      <c r="M662">
        <f t="shared" ca="1" si="701"/>
        <v>82.902418067228325</v>
      </c>
      <c r="N662">
        <f t="shared" ca="1" si="701"/>
        <v>90.236336808687454</v>
      </c>
      <c r="O662">
        <f t="shared" ca="1" si="701"/>
        <v>87.228462900519062</v>
      </c>
      <c r="P662">
        <f t="shared" ca="1" si="701"/>
        <v>81.402701403269447</v>
      </c>
      <c r="Q662">
        <f t="shared" ca="1" si="684"/>
        <v>96.93023340341675</v>
      </c>
      <c r="R662">
        <f t="shared" ca="1" si="685"/>
        <v>0</v>
      </c>
      <c r="S662">
        <f t="shared" ca="1" si="686"/>
        <v>0</v>
      </c>
    </row>
    <row r="663" spans="5:19" x14ac:dyDescent="0.75">
      <c r="E663">
        <v>658</v>
      </c>
      <c r="F663">
        <v>100</v>
      </c>
      <c r="G663">
        <f t="shared" ca="1" si="682"/>
        <v>90.33372110096677</v>
      </c>
      <c r="H663">
        <f t="shared" ca="1" si="682"/>
        <v>81.228145232045534</v>
      </c>
      <c r="I663">
        <f t="shared" ca="1" si="682"/>
        <v>85.291055728347899</v>
      </c>
      <c r="J663">
        <f t="shared" ca="1" si="682"/>
        <v>86.962269452354249</v>
      </c>
      <c r="K663">
        <f t="shared" ref="K663:P663" ca="1" si="702">J663*EXP(($C$4-0.5*$C$5^2)*$C$10+$C$5*SQRT($C$10)*NORMINV(RAND(),0,1))</f>
        <v>82.352572797290009</v>
      </c>
      <c r="L663">
        <f t="shared" ca="1" si="702"/>
        <v>84.983162865916498</v>
      </c>
      <c r="M663">
        <f t="shared" ca="1" si="702"/>
        <v>80.57390060703537</v>
      </c>
      <c r="N663">
        <f t="shared" ca="1" si="702"/>
        <v>77.343745010197708</v>
      </c>
      <c r="O663">
        <f t="shared" ca="1" si="702"/>
        <v>74.891759000970282</v>
      </c>
      <c r="P663">
        <f t="shared" ca="1" si="702"/>
        <v>77.111605725352149</v>
      </c>
      <c r="Q663">
        <f t="shared" ca="1" si="684"/>
        <v>83.733812501861493</v>
      </c>
      <c r="R663">
        <f t="shared" ca="1" si="685"/>
        <v>0</v>
      </c>
      <c r="S663">
        <f t="shared" ca="1" si="686"/>
        <v>0</v>
      </c>
    </row>
    <row r="664" spans="5:19" x14ac:dyDescent="0.75">
      <c r="E664">
        <v>659</v>
      </c>
      <c r="F664">
        <v>100</v>
      </c>
      <c r="G664">
        <f t="shared" ca="1" si="682"/>
        <v>101.48069021032026</v>
      </c>
      <c r="H664">
        <f t="shared" ca="1" si="682"/>
        <v>100.98750648925599</v>
      </c>
      <c r="I664">
        <f t="shared" ca="1" si="682"/>
        <v>96.249016060689158</v>
      </c>
      <c r="J664">
        <f t="shared" ca="1" si="682"/>
        <v>106.27360766651456</v>
      </c>
      <c r="K664">
        <f t="shared" ref="K664:P664" ca="1" si="703">J664*EXP(($C$4-0.5*$C$5^2)*$C$10+$C$5*SQRT($C$10)*NORMINV(RAND(),0,1))</f>
        <v>105.86627265911784</v>
      </c>
      <c r="L664">
        <f t="shared" ca="1" si="703"/>
        <v>104.46130402606664</v>
      </c>
      <c r="M664">
        <f t="shared" ca="1" si="703"/>
        <v>98.374188840369101</v>
      </c>
      <c r="N664">
        <f t="shared" ca="1" si="703"/>
        <v>94.819877679322232</v>
      </c>
      <c r="O664">
        <f t="shared" ca="1" si="703"/>
        <v>101.5145290950848</v>
      </c>
      <c r="P664">
        <f t="shared" ca="1" si="703"/>
        <v>114.76157130611435</v>
      </c>
      <c r="Q664">
        <f t="shared" ca="1" si="684"/>
        <v>102.25350582116862</v>
      </c>
      <c r="R664">
        <f t="shared" ca="1" si="685"/>
        <v>2.2535058211686163</v>
      </c>
      <c r="S664">
        <f t="shared" ca="1" si="686"/>
        <v>2.1436010453792318</v>
      </c>
    </row>
    <row r="665" spans="5:19" x14ac:dyDescent="0.75">
      <c r="E665">
        <v>660</v>
      </c>
      <c r="F665">
        <v>100</v>
      </c>
      <c r="G665">
        <f t="shared" ca="1" si="682"/>
        <v>99.092558928975279</v>
      </c>
      <c r="H665">
        <f t="shared" ca="1" si="682"/>
        <v>85.971015700645893</v>
      </c>
      <c r="I665">
        <f t="shared" ca="1" si="682"/>
        <v>87.187414571198389</v>
      </c>
      <c r="J665">
        <f t="shared" ca="1" si="682"/>
        <v>88.042808941675474</v>
      </c>
      <c r="K665">
        <f t="shared" ref="K665:P665" ca="1" si="704">J665*EXP(($C$4-0.5*$C$5^2)*$C$10+$C$5*SQRT($C$10)*NORMINV(RAND(),0,1))</f>
        <v>81.559955237833407</v>
      </c>
      <c r="L665">
        <f t="shared" ca="1" si="704"/>
        <v>86.217136625487115</v>
      </c>
      <c r="M665">
        <f t="shared" ca="1" si="704"/>
        <v>90.370726071871573</v>
      </c>
      <c r="N665">
        <f t="shared" ca="1" si="704"/>
        <v>93.66091022244548</v>
      </c>
      <c r="O665">
        <f t="shared" ca="1" si="704"/>
        <v>83.014980852851124</v>
      </c>
      <c r="P665">
        <f t="shared" ca="1" si="704"/>
        <v>85.056892607428878</v>
      </c>
      <c r="Q665">
        <f t="shared" ca="1" si="684"/>
        <v>89.10676361458296</v>
      </c>
      <c r="R665">
        <f t="shared" ca="1" si="685"/>
        <v>0</v>
      </c>
      <c r="S665">
        <f t="shared" ca="1" si="686"/>
        <v>0</v>
      </c>
    </row>
    <row r="666" spans="5:19" x14ac:dyDescent="0.75">
      <c r="E666">
        <v>661</v>
      </c>
      <c r="F666">
        <v>100</v>
      </c>
      <c r="G666">
        <f t="shared" ca="1" si="682"/>
        <v>106.99739274154759</v>
      </c>
      <c r="H666">
        <f t="shared" ca="1" si="682"/>
        <v>102.40670030835084</v>
      </c>
      <c r="I666">
        <f t="shared" ca="1" si="682"/>
        <v>100.70204746562017</v>
      </c>
      <c r="J666">
        <f t="shared" ca="1" si="682"/>
        <v>114.0879349023853</v>
      </c>
      <c r="K666">
        <f t="shared" ref="K666:P666" ca="1" si="705">J666*EXP(($C$4-0.5*$C$5^2)*$C$10+$C$5*SQRT($C$10)*NORMINV(RAND(),0,1))</f>
        <v>127.64295211557283</v>
      </c>
      <c r="L666">
        <f t="shared" ca="1" si="705"/>
        <v>139.3411269330141</v>
      </c>
      <c r="M666">
        <f t="shared" ca="1" si="705"/>
        <v>136.96861404735992</v>
      </c>
      <c r="N666">
        <f t="shared" ca="1" si="705"/>
        <v>122.88038977672582</v>
      </c>
      <c r="O666">
        <f t="shared" ca="1" si="705"/>
        <v>127.05749197171841</v>
      </c>
      <c r="P666">
        <f t="shared" ca="1" si="705"/>
        <v>114.21136303938262</v>
      </c>
      <c r="Q666">
        <f t="shared" ca="1" si="684"/>
        <v>117.48145575469795</v>
      </c>
      <c r="R666">
        <f t="shared" ca="1" si="685"/>
        <v>17.481455754697947</v>
      </c>
      <c r="S666">
        <f t="shared" ca="1" si="686"/>
        <v>16.628875096976024</v>
      </c>
    </row>
    <row r="667" spans="5:19" x14ac:dyDescent="0.75">
      <c r="E667">
        <v>662</v>
      </c>
      <c r="F667">
        <v>100</v>
      </c>
      <c r="G667">
        <f t="shared" ca="1" si="682"/>
        <v>100.98709741329326</v>
      </c>
      <c r="H667">
        <f t="shared" ca="1" si="682"/>
        <v>98.128644340549059</v>
      </c>
      <c r="I667">
        <f t="shared" ca="1" si="682"/>
        <v>97.258628278759872</v>
      </c>
      <c r="J667">
        <f t="shared" ca="1" si="682"/>
        <v>93.822783248077769</v>
      </c>
      <c r="K667">
        <f t="shared" ref="K667:P667" ca="1" si="706">J667*EXP(($C$4-0.5*$C$5^2)*$C$10+$C$5*SQRT($C$10)*NORMINV(RAND(),0,1))</f>
        <v>102.99076312000599</v>
      </c>
      <c r="L667">
        <f t="shared" ca="1" si="706"/>
        <v>94.884782798356113</v>
      </c>
      <c r="M667">
        <f t="shared" ca="1" si="706"/>
        <v>97.731888058914564</v>
      </c>
      <c r="N667">
        <f t="shared" ca="1" si="706"/>
        <v>100.12319515278503</v>
      </c>
      <c r="O667">
        <f t="shared" ca="1" si="706"/>
        <v>99.511850186021547</v>
      </c>
      <c r="P667">
        <f t="shared" ca="1" si="706"/>
        <v>108.34856851726163</v>
      </c>
      <c r="Q667">
        <f t="shared" ca="1" si="684"/>
        <v>99.435291010365887</v>
      </c>
      <c r="R667">
        <f t="shared" ca="1" si="685"/>
        <v>0</v>
      </c>
      <c r="S667">
        <f t="shared" ca="1" si="686"/>
        <v>0</v>
      </c>
    </row>
    <row r="668" spans="5:19" x14ac:dyDescent="0.75">
      <c r="E668">
        <v>663</v>
      </c>
      <c r="F668">
        <v>100</v>
      </c>
      <c r="G668">
        <f t="shared" ca="1" si="682"/>
        <v>96.680216480140274</v>
      </c>
      <c r="H668">
        <f t="shared" ca="1" si="682"/>
        <v>85.556661223303919</v>
      </c>
      <c r="I668">
        <f t="shared" ca="1" si="682"/>
        <v>89.944551072352937</v>
      </c>
      <c r="J668">
        <f t="shared" ca="1" si="682"/>
        <v>93.945833288138374</v>
      </c>
      <c r="K668">
        <f t="shared" ref="K668:P668" ca="1" si="707">J668*EXP(($C$4-0.5*$C$5^2)*$C$10+$C$5*SQRT($C$10)*NORMINV(RAND(),0,1))</f>
        <v>92.0595097793517</v>
      </c>
      <c r="L668">
        <f t="shared" ca="1" si="707"/>
        <v>84.683530324460918</v>
      </c>
      <c r="M668">
        <f t="shared" ca="1" si="707"/>
        <v>90.961128379409246</v>
      </c>
      <c r="N668">
        <f t="shared" ca="1" si="707"/>
        <v>100.41665947670685</v>
      </c>
      <c r="O668">
        <f t="shared" ca="1" si="707"/>
        <v>93.597411267963622</v>
      </c>
      <c r="P668">
        <f t="shared" ca="1" si="707"/>
        <v>84.23607092017636</v>
      </c>
      <c r="Q668">
        <f t="shared" ca="1" si="684"/>
        <v>92.007415655636748</v>
      </c>
      <c r="R668">
        <f t="shared" ca="1" si="685"/>
        <v>0</v>
      </c>
      <c r="S668">
        <f t="shared" ca="1" si="686"/>
        <v>0</v>
      </c>
    </row>
    <row r="669" spans="5:19" x14ac:dyDescent="0.75">
      <c r="E669">
        <v>664</v>
      </c>
      <c r="F669">
        <v>100</v>
      </c>
      <c r="G669">
        <f t="shared" ca="1" si="682"/>
        <v>97.650199144308559</v>
      </c>
      <c r="H669">
        <f t="shared" ca="1" si="682"/>
        <v>97.18518807181205</v>
      </c>
      <c r="I669">
        <f t="shared" ca="1" si="682"/>
        <v>100.49798951255165</v>
      </c>
      <c r="J669">
        <f t="shared" ca="1" si="682"/>
        <v>99.111972126249995</v>
      </c>
      <c r="K669">
        <f t="shared" ref="K669:P669" ca="1" si="708">J669*EXP(($C$4-0.5*$C$5^2)*$C$10+$C$5*SQRT($C$10)*NORMINV(RAND(),0,1))</f>
        <v>96.633335647953587</v>
      </c>
      <c r="L669">
        <f t="shared" ca="1" si="708"/>
        <v>89.457474211182387</v>
      </c>
      <c r="M669">
        <f t="shared" ca="1" si="708"/>
        <v>97.212554621874006</v>
      </c>
      <c r="N669">
        <f t="shared" ca="1" si="708"/>
        <v>95.337774773294456</v>
      </c>
      <c r="O669">
        <f t="shared" ca="1" si="708"/>
        <v>85.227536279435427</v>
      </c>
      <c r="P669">
        <f t="shared" ca="1" si="708"/>
        <v>78.814221899387107</v>
      </c>
      <c r="Q669">
        <f t="shared" ca="1" si="684"/>
        <v>94.284386026186297</v>
      </c>
      <c r="R669">
        <f t="shared" ca="1" si="685"/>
        <v>0</v>
      </c>
      <c r="S669">
        <f t="shared" ca="1" si="686"/>
        <v>0</v>
      </c>
    </row>
    <row r="670" spans="5:19" x14ac:dyDescent="0.75">
      <c r="E670">
        <v>665</v>
      </c>
      <c r="F670">
        <v>100</v>
      </c>
      <c r="G670">
        <f t="shared" ca="1" si="682"/>
        <v>97.422836192767676</v>
      </c>
      <c r="H670">
        <f t="shared" ca="1" si="682"/>
        <v>94.397026170664532</v>
      </c>
      <c r="I670">
        <f t="shared" ca="1" si="682"/>
        <v>100.20010297624059</v>
      </c>
      <c r="J670">
        <f t="shared" ca="1" si="682"/>
        <v>110.47858128539873</v>
      </c>
      <c r="K670">
        <f t="shared" ref="K670:P670" ca="1" si="709">J670*EXP(($C$4-0.5*$C$5^2)*$C$10+$C$5*SQRT($C$10)*NORMINV(RAND(),0,1))</f>
        <v>107.14773486067395</v>
      </c>
      <c r="L670">
        <f t="shared" ca="1" si="709"/>
        <v>103.2286936067083</v>
      </c>
      <c r="M670">
        <f t="shared" ca="1" si="709"/>
        <v>99.510704844986293</v>
      </c>
      <c r="N670">
        <f t="shared" ca="1" si="709"/>
        <v>108.0582906917944</v>
      </c>
      <c r="O670">
        <f t="shared" ca="1" si="709"/>
        <v>104.24013078570137</v>
      </c>
      <c r="P670">
        <f t="shared" ca="1" si="709"/>
        <v>104.48204214453062</v>
      </c>
      <c r="Q670">
        <f t="shared" ca="1" si="684"/>
        <v>102.65146759631513</v>
      </c>
      <c r="R670">
        <f t="shared" ca="1" si="685"/>
        <v>2.6514675963151291</v>
      </c>
      <c r="S670">
        <f t="shared" ca="1" si="686"/>
        <v>2.5221539957251315</v>
      </c>
    </row>
    <row r="671" spans="5:19" x14ac:dyDescent="0.75">
      <c r="E671">
        <v>666</v>
      </c>
      <c r="F671">
        <v>100</v>
      </c>
      <c r="G671">
        <f t="shared" ca="1" si="682"/>
        <v>86.692285906209776</v>
      </c>
      <c r="H671">
        <f t="shared" ca="1" si="682"/>
        <v>94.573922087885151</v>
      </c>
      <c r="I671">
        <f t="shared" ca="1" si="682"/>
        <v>95.290636926781602</v>
      </c>
      <c r="J671">
        <f t="shared" ca="1" si="682"/>
        <v>97.063668984961041</v>
      </c>
      <c r="K671">
        <f t="shared" ref="K671:P671" ca="1" si="710">J671*EXP(($C$4-0.5*$C$5^2)*$C$10+$C$5*SQRT($C$10)*NORMINV(RAND(),0,1))</f>
        <v>92.538190974601008</v>
      </c>
      <c r="L671">
        <f t="shared" ca="1" si="710"/>
        <v>90.222816565313849</v>
      </c>
      <c r="M671">
        <f t="shared" ca="1" si="710"/>
        <v>93.290229180423751</v>
      </c>
      <c r="N671">
        <f t="shared" ca="1" si="710"/>
        <v>99.680191589354749</v>
      </c>
      <c r="O671">
        <f t="shared" ca="1" si="710"/>
        <v>101.1388871133294</v>
      </c>
      <c r="P671">
        <f t="shared" ca="1" si="710"/>
        <v>98.936145060953194</v>
      </c>
      <c r="Q671">
        <f t="shared" ca="1" si="684"/>
        <v>95.402452217255771</v>
      </c>
      <c r="R671">
        <f t="shared" ca="1" si="685"/>
        <v>0</v>
      </c>
      <c r="S671">
        <f t="shared" ca="1" si="686"/>
        <v>0</v>
      </c>
    </row>
    <row r="672" spans="5:19" x14ac:dyDescent="0.75">
      <c r="E672">
        <v>667</v>
      </c>
      <c r="F672">
        <v>100</v>
      </c>
      <c r="G672">
        <f t="shared" ca="1" si="682"/>
        <v>106.1799628985473</v>
      </c>
      <c r="H672">
        <f t="shared" ca="1" si="682"/>
        <v>115.82454034947195</v>
      </c>
      <c r="I672">
        <f t="shared" ca="1" si="682"/>
        <v>115.87427983531006</v>
      </c>
      <c r="J672">
        <f t="shared" ca="1" si="682"/>
        <v>113.8510232676619</v>
      </c>
      <c r="K672">
        <f t="shared" ref="K672:P672" ca="1" si="711">J672*EXP(($C$4-0.5*$C$5^2)*$C$10+$C$5*SQRT($C$10)*NORMINV(RAND(),0,1))</f>
        <v>111.57631193819329</v>
      </c>
      <c r="L672">
        <f t="shared" ca="1" si="711"/>
        <v>126.66830609889209</v>
      </c>
      <c r="M672">
        <f t="shared" ca="1" si="711"/>
        <v>120.6502725605845</v>
      </c>
      <c r="N672">
        <f t="shared" ca="1" si="711"/>
        <v>128.18633322477172</v>
      </c>
      <c r="O672">
        <f t="shared" ca="1" si="711"/>
        <v>119.43437777999729</v>
      </c>
      <c r="P672">
        <f t="shared" ca="1" si="711"/>
        <v>117.44773038319526</v>
      </c>
      <c r="Q672">
        <f t="shared" ca="1" si="684"/>
        <v>115.97210348514774</v>
      </c>
      <c r="R672">
        <f t="shared" ca="1" si="685"/>
        <v>15.972103485147741</v>
      </c>
      <c r="S672">
        <f t="shared" ca="1" si="686"/>
        <v>15.193134806242934</v>
      </c>
    </row>
    <row r="673" spans="5:19" x14ac:dyDescent="0.75">
      <c r="E673">
        <v>668</v>
      </c>
      <c r="F673">
        <v>100</v>
      </c>
      <c r="G673">
        <f t="shared" ca="1" si="682"/>
        <v>90.727636990684232</v>
      </c>
      <c r="H673">
        <f t="shared" ca="1" si="682"/>
        <v>94.239739907885166</v>
      </c>
      <c r="I673">
        <f t="shared" ca="1" si="682"/>
        <v>103.13710889324473</v>
      </c>
      <c r="J673">
        <f t="shared" ca="1" si="682"/>
        <v>98.463136578080935</v>
      </c>
      <c r="K673">
        <f t="shared" ref="K673:P673" ca="1" si="712">J673*EXP(($C$4-0.5*$C$5^2)*$C$10+$C$5*SQRT($C$10)*NORMINV(RAND(),0,1))</f>
        <v>105.41243295507064</v>
      </c>
      <c r="L673">
        <f t="shared" ca="1" si="712"/>
        <v>101.0999780292</v>
      </c>
      <c r="M673">
        <f t="shared" ca="1" si="712"/>
        <v>104.30148452611402</v>
      </c>
      <c r="N673">
        <f t="shared" ca="1" si="712"/>
        <v>109.3769737832244</v>
      </c>
      <c r="O673">
        <f t="shared" ca="1" si="712"/>
        <v>104.98697317694644</v>
      </c>
      <c r="P673">
        <f t="shared" ca="1" si="712"/>
        <v>101.65556492490398</v>
      </c>
      <c r="Q673">
        <f t="shared" ca="1" si="684"/>
        <v>101.21827543321405</v>
      </c>
      <c r="R673">
        <f t="shared" ca="1" si="685"/>
        <v>1.2182754332140462</v>
      </c>
      <c r="S673">
        <f t="shared" ca="1" si="686"/>
        <v>1.1588594392195553</v>
      </c>
    </row>
    <row r="674" spans="5:19" x14ac:dyDescent="0.75">
      <c r="E674">
        <v>669</v>
      </c>
      <c r="F674">
        <v>100</v>
      </c>
      <c r="G674">
        <f t="shared" ca="1" si="682"/>
        <v>101.54264961859467</v>
      </c>
      <c r="H674">
        <f t="shared" ca="1" si="682"/>
        <v>95.646408891633243</v>
      </c>
      <c r="I674">
        <f t="shared" ca="1" si="682"/>
        <v>94.537487217299059</v>
      </c>
      <c r="J674">
        <f t="shared" ca="1" si="682"/>
        <v>85.390503006578413</v>
      </c>
      <c r="K674">
        <f t="shared" ref="K674:P674" ca="1" si="713">J674*EXP(($C$4-0.5*$C$5^2)*$C$10+$C$5*SQRT($C$10)*NORMINV(RAND(),0,1))</f>
        <v>79.619074897044428</v>
      </c>
      <c r="L674">
        <f t="shared" ca="1" si="713"/>
        <v>82.266135029234121</v>
      </c>
      <c r="M674">
        <f t="shared" ca="1" si="713"/>
        <v>89.052056326912833</v>
      </c>
      <c r="N674">
        <f t="shared" ca="1" si="713"/>
        <v>95.357590744648832</v>
      </c>
      <c r="O674">
        <f t="shared" ca="1" si="713"/>
        <v>101.81917535591388</v>
      </c>
      <c r="P674">
        <f t="shared" ca="1" si="713"/>
        <v>106.32896940651791</v>
      </c>
      <c r="Q674">
        <f t="shared" ca="1" si="684"/>
        <v>93.778186408579771</v>
      </c>
      <c r="R674">
        <f t="shared" ca="1" si="685"/>
        <v>0</v>
      </c>
      <c r="S674">
        <f t="shared" ca="1" si="686"/>
        <v>0</v>
      </c>
    </row>
    <row r="675" spans="5:19" x14ac:dyDescent="0.75">
      <c r="E675">
        <v>670</v>
      </c>
      <c r="F675">
        <v>100</v>
      </c>
      <c r="G675">
        <f t="shared" ca="1" si="682"/>
        <v>120.56883623188097</v>
      </c>
      <c r="H675">
        <f t="shared" ca="1" si="682"/>
        <v>122.69469374253366</v>
      </c>
      <c r="I675">
        <f t="shared" ca="1" si="682"/>
        <v>119.09401175321133</v>
      </c>
      <c r="J675">
        <f t="shared" ca="1" si="682"/>
        <v>125.08148441778928</v>
      </c>
      <c r="K675">
        <f t="shared" ref="K675:P675" ca="1" si="714">J675*EXP(($C$4-0.5*$C$5^2)*$C$10+$C$5*SQRT($C$10)*NORMINV(RAND(),0,1))</f>
        <v>119.30987372517551</v>
      </c>
      <c r="L675">
        <f t="shared" ca="1" si="714"/>
        <v>128.89755957748184</v>
      </c>
      <c r="M675">
        <f t="shared" ca="1" si="714"/>
        <v>124.30248117923861</v>
      </c>
      <c r="N675">
        <f t="shared" ca="1" si="714"/>
        <v>128.82967352252675</v>
      </c>
      <c r="O675">
        <f t="shared" ca="1" si="714"/>
        <v>136.26462966837531</v>
      </c>
      <c r="P675">
        <f t="shared" ca="1" si="714"/>
        <v>145.42827520877418</v>
      </c>
      <c r="Q675">
        <f t="shared" ca="1" si="684"/>
        <v>124.58831991154433</v>
      </c>
      <c r="R675">
        <f t="shared" ca="1" si="685"/>
        <v>24.588319911544332</v>
      </c>
      <c r="S675">
        <f t="shared" ca="1" si="686"/>
        <v>23.389133398897762</v>
      </c>
    </row>
    <row r="676" spans="5:19" x14ac:dyDescent="0.75">
      <c r="E676">
        <v>671</v>
      </c>
      <c r="F676">
        <v>100</v>
      </c>
      <c r="G676">
        <f t="shared" ca="1" si="682"/>
        <v>110.20114283814088</v>
      </c>
      <c r="H676">
        <f t="shared" ca="1" si="682"/>
        <v>109.97651067489377</v>
      </c>
      <c r="I676">
        <f t="shared" ca="1" si="682"/>
        <v>107.00213298817502</v>
      </c>
      <c r="J676">
        <f t="shared" ca="1" si="682"/>
        <v>122.044177152576</v>
      </c>
      <c r="K676">
        <f t="shared" ref="K676:P676" ca="1" si="715">J676*EXP(($C$4-0.5*$C$5^2)*$C$10+$C$5*SQRT($C$10)*NORMINV(RAND(),0,1))</f>
        <v>121.56326030384514</v>
      </c>
      <c r="L676">
        <f t="shared" ca="1" si="715"/>
        <v>137.84989226635614</v>
      </c>
      <c r="M676">
        <f t="shared" ca="1" si="715"/>
        <v>140.6042964651503</v>
      </c>
      <c r="N676">
        <f t="shared" ca="1" si="715"/>
        <v>130.03752864936931</v>
      </c>
      <c r="O676">
        <f t="shared" ca="1" si="715"/>
        <v>133.26414256065416</v>
      </c>
      <c r="P676">
        <f t="shared" ca="1" si="715"/>
        <v>136.18107838796229</v>
      </c>
      <c r="Q676">
        <f t="shared" ca="1" si="684"/>
        <v>122.61128748064756</v>
      </c>
      <c r="R676">
        <f t="shared" ca="1" si="685"/>
        <v>22.611287480647562</v>
      </c>
      <c r="S676">
        <f t="shared" ca="1" si="686"/>
        <v>21.50852197743658</v>
      </c>
    </row>
    <row r="677" spans="5:19" x14ac:dyDescent="0.75">
      <c r="E677">
        <v>672</v>
      </c>
      <c r="F677">
        <v>100</v>
      </c>
      <c r="G677">
        <f t="shared" ca="1" si="682"/>
        <v>90.890039055785337</v>
      </c>
      <c r="H677">
        <f t="shared" ca="1" si="682"/>
        <v>97.066974129507997</v>
      </c>
      <c r="I677">
        <f t="shared" ca="1" si="682"/>
        <v>89.359966204036695</v>
      </c>
      <c r="J677">
        <f t="shared" ca="1" si="682"/>
        <v>81.839512304772796</v>
      </c>
      <c r="K677">
        <f t="shared" ref="K677:P677" ca="1" si="716">J677*EXP(($C$4-0.5*$C$5^2)*$C$10+$C$5*SQRT($C$10)*NORMINV(RAND(),0,1))</f>
        <v>85.984172318531634</v>
      </c>
      <c r="L677">
        <f t="shared" ca="1" si="716"/>
        <v>88.952328752781824</v>
      </c>
      <c r="M677">
        <f t="shared" ca="1" si="716"/>
        <v>84.525275544155477</v>
      </c>
      <c r="N677">
        <f t="shared" ca="1" si="716"/>
        <v>82.035220129249552</v>
      </c>
      <c r="O677">
        <f t="shared" ca="1" si="716"/>
        <v>81.223455059805602</v>
      </c>
      <c r="P677">
        <f t="shared" ca="1" si="716"/>
        <v>83.78592871627302</v>
      </c>
      <c r="Q677">
        <f t="shared" ca="1" si="684"/>
        <v>87.787533837718172</v>
      </c>
      <c r="R677">
        <f t="shared" ca="1" si="685"/>
        <v>0</v>
      </c>
      <c r="S677">
        <f t="shared" ca="1" si="686"/>
        <v>0</v>
      </c>
    </row>
    <row r="678" spans="5:19" x14ac:dyDescent="0.75">
      <c r="E678">
        <v>673</v>
      </c>
      <c r="F678">
        <v>100</v>
      </c>
      <c r="G678">
        <f t="shared" ca="1" si="682"/>
        <v>104.30695419171599</v>
      </c>
      <c r="H678">
        <f t="shared" ca="1" si="682"/>
        <v>109.40888265386138</v>
      </c>
      <c r="I678">
        <f t="shared" ca="1" si="682"/>
        <v>115.70565421649191</v>
      </c>
      <c r="J678">
        <f t="shared" ca="1" si="682"/>
        <v>105.24293676378436</v>
      </c>
      <c r="K678">
        <f t="shared" ref="K678:P678" ca="1" si="717">J678*EXP(($C$4-0.5*$C$5^2)*$C$10+$C$5*SQRT($C$10)*NORMINV(RAND(),0,1))</f>
        <v>103.6843813047942</v>
      </c>
      <c r="L678">
        <f t="shared" ca="1" si="717"/>
        <v>106.22119897789024</v>
      </c>
      <c r="M678">
        <f t="shared" ca="1" si="717"/>
        <v>106.15699129268204</v>
      </c>
      <c r="N678">
        <f t="shared" ca="1" si="717"/>
        <v>109.07627332458102</v>
      </c>
      <c r="O678">
        <f t="shared" ca="1" si="717"/>
        <v>95.940923018119094</v>
      </c>
      <c r="P678">
        <f t="shared" ca="1" si="717"/>
        <v>101.85407919941015</v>
      </c>
      <c r="Q678">
        <f t="shared" ca="1" si="684"/>
        <v>105.23620681303004</v>
      </c>
      <c r="R678">
        <f t="shared" ca="1" si="685"/>
        <v>5.2362068130300372</v>
      </c>
      <c r="S678">
        <f t="shared" ca="1" si="686"/>
        <v>4.9808339933252803</v>
      </c>
    </row>
    <row r="679" spans="5:19" x14ac:dyDescent="0.75">
      <c r="E679">
        <v>674</v>
      </c>
      <c r="F679">
        <v>100</v>
      </c>
      <c r="G679">
        <f t="shared" ca="1" si="682"/>
        <v>106.45806576560248</v>
      </c>
      <c r="H679">
        <f t="shared" ca="1" si="682"/>
        <v>108.28965018976683</v>
      </c>
      <c r="I679">
        <f t="shared" ca="1" si="682"/>
        <v>121.02973601528521</v>
      </c>
      <c r="J679">
        <f t="shared" ca="1" si="682"/>
        <v>113.91691152434984</v>
      </c>
      <c r="K679">
        <f t="shared" ref="K679:P679" ca="1" si="718">J679*EXP(($C$4-0.5*$C$5^2)*$C$10+$C$5*SQRT($C$10)*NORMINV(RAND(),0,1))</f>
        <v>107.48900690805993</v>
      </c>
      <c r="L679">
        <f t="shared" ca="1" si="718"/>
        <v>105.33232765609404</v>
      </c>
      <c r="M679">
        <f t="shared" ca="1" si="718"/>
        <v>121.99867755823536</v>
      </c>
      <c r="N679">
        <f t="shared" ca="1" si="718"/>
        <v>114.27072539501528</v>
      </c>
      <c r="O679">
        <f t="shared" ca="1" si="718"/>
        <v>117.04601445036964</v>
      </c>
      <c r="P679">
        <f t="shared" ca="1" si="718"/>
        <v>121.8235032689312</v>
      </c>
      <c r="Q679">
        <f t="shared" ca="1" si="684"/>
        <v>112.51405624833728</v>
      </c>
      <c r="R679">
        <f t="shared" ca="1" si="685"/>
        <v>12.514056248337283</v>
      </c>
      <c r="S679">
        <f t="shared" ca="1" si="686"/>
        <v>11.903738523275438</v>
      </c>
    </row>
    <row r="680" spans="5:19" x14ac:dyDescent="0.75">
      <c r="E680">
        <v>675</v>
      </c>
      <c r="F680">
        <v>100</v>
      </c>
      <c r="G680">
        <f t="shared" ca="1" si="682"/>
        <v>94.308255666837582</v>
      </c>
      <c r="H680">
        <f t="shared" ca="1" si="682"/>
        <v>90.19637717983521</v>
      </c>
      <c r="I680">
        <f t="shared" ca="1" si="682"/>
        <v>93.779176429767944</v>
      </c>
      <c r="J680">
        <f t="shared" ca="1" si="682"/>
        <v>102.77437940977399</v>
      </c>
      <c r="K680">
        <f t="shared" ref="K680:P680" ca="1" si="719">J680*EXP(($C$4-0.5*$C$5^2)*$C$10+$C$5*SQRT($C$10)*NORMINV(RAND(),0,1))</f>
        <v>109.42287062995341</v>
      </c>
      <c r="L680">
        <f t="shared" ca="1" si="719"/>
        <v>106.43322024933323</v>
      </c>
      <c r="M680">
        <f t="shared" ca="1" si="719"/>
        <v>116.86578817430141</v>
      </c>
      <c r="N680">
        <f t="shared" ca="1" si="719"/>
        <v>115.10961692696795</v>
      </c>
      <c r="O680">
        <f t="shared" ca="1" si="719"/>
        <v>115.7585603270835</v>
      </c>
      <c r="P680">
        <f t="shared" ca="1" si="719"/>
        <v>110.66905901125806</v>
      </c>
      <c r="Q680">
        <f t="shared" ca="1" si="684"/>
        <v>105.02884581864656</v>
      </c>
      <c r="R680">
        <f t="shared" ca="1" si="685"/>
        <v>5.028845818646559</v>
      </c>
      <c r="S680">
        <f t="shared" ca="1" si="686"/>
        <v>4.7835861139739881</v>
      </c>
    </row>
    <row r="681" spans="5:19" x14ac:dyDescent="0.75">
      <c r="E681">
        <v>676</v>
      </c>
      <c r="F681">
        <v>100</v>
      </c>
      <c r="G681">
        <f t="shared" ca="1" si="682"/>
        <v>118.39432444453455</v>
      </c>
      <c r="H681">
        <f t="shared" ca="1" si="682"/>
        <v>118.93082766828317</v>
      </c>
      <c r="I681">
        <f t="shared" ca="1" si="682"/>
        <v>127.53178711170803</v>
      </c>
      <c r="J681">
        <f t="shared" ca="1" si="682"/>
        <v>119.41560303253056</v>
      </c>
      <c r="K681">
        <f t="shared" ref="K681:P681" ca="1" si="720">J681*EXP(($C$4-0.5*$C$5^2)*$C$10+$C$5*SQRT($C$10)*NORMINV(RAND(),0,1))</f>
        <v>120.2049701781397</v>
      </c>
      <c r="L681">
        <f t="shared" ca="1" si="720"/>
        <v>118.15037048186934</v>
      </c>
      <c r="M681">
        <f t="shared" ca="1" si="720"/>
        <v>111.28092868354625</v>
      </c>
      <c r="N681">
        <f t="shared" ca="1" si="720"/>
        <v>108.00292283341359</v>
      </c>
      <c r="O681">
        <f t="shared" ca="1" si="720"/>
        <v>105.84022347092801</v>
      </c>
      <c r="P681">
        <f t="shared" ca="1" si="720"/>
        <v>112.24455091978363</v>
      </c>
      <c r="Q681">
        <f t="shared" ca="1" si="684"/>
        <v>114.54513716588518</v>
      </c>
      <c r="R681">
        <f t="shared" ca="1" si="685"/>
        <v>14.54513716588518</v>
      </c>
      <c r="S681">
        <f t="shared" ca="1" si="686"/>
        <v>13.835762455588906</v>
      </c>
    </row>
    <row r="682" spans="5:19" x14ac:dyDescent="0.75">
      <c r="E682">
        <v>677</v>
      </c>
      <c r="F682">
        <v>100</v>
      </c>
      <c r="G682">
        <f t="shared" ca="1" si="682"/>
        <v>106.22417294847817</v>
      </c>
      <c r="H682">
        <f t="shared" ca="1" si="682"/>
        <v>104.14873827349031</v>
      </c>
      <c r="I682">
        <f t="shared" ca="1" si="682"/>
        <v>100.99690564186147</v>
      </c>
      <c r="J682">
        <f t="shared" ca="1" si="682"/>
        <v>118.13327421328329</v>
      </c>
      <c r="K682">
        <f t="shared" ref="K682:P682" ca="1" si="721">J682*EXP(($C$4-0.5*$C$5^2)*$C$10+$C$5*SQRT($C$10)*NORMINV(RAND(),0,1))</f>
        <v>126.34227733344554</v>
      </c>
      <c r="L682">
        <f t="shared" ca="1" si="721"/>
        <v>127.41054558078937</v>
      </c>
      <c r="M682">
        <f t="shared" ca="1" si="721"/>
        <v>126.7509331657148</v>
      </c>
      <c r="N682">
        <f t="shared" ca="1" si="721"/>
        <v>138.8684518106086</v>
      </c>
      <c r="O682">
        <f t="shared" ca="1" si="721"/>
        <v>132.24021583286037</v>
      </c>
      <c r="P682">
        <f t="shared" ca="1" si="721"/>
        <v>135.89138726234918</v>
      </c>
      <c r="Q682">
        <f t="shared" ca="1" si="684"/>
        <v>119.72790018753463</v>
      </c>
      <c r="R682">
        <f t="shared" ca="1" si="685"/>
        <v>19.72790018753463</v>
      </c>
      <c r="S682">
        <f t="shared" ca="1" si="686"/>
        <v>18.765759141996092</v>
      </c>
    </row>
    <row r="683" spans="5:19" x14ac:dyDescent="0.75">
      <c r="E683">
        <v>678</v>
      </c>
      <c r="F683">
        <v>100</v>
      </c>
      <c r="G683">
        <f t="shared" ca="1" si="682"/>
        <v>103.67555782551594</v>
      </c>
      <c r="H683">
        <f t="shared" ca="1" si="682"/>
        <v>114.74697208063107</v>
      </c>
      <c r="I683">
        <f t="shared" ca="1" si="682"/>
        <v>123.84254020622268</v>
      </c>
      <c r="J683">
        <f t="shared" ca="1" si="682"/>
        <v>128.28042646626051</v>
      </c>
      <c r="K683">
        <f t="shared" ref="K683:P683" ca="1" si="722">J683*EXP(($C$4-0.5*$C$5^2)*$C$10+$C$5*SQRT($C$10)*NORMINV(RAND(),0,1))</f>
        <v>129.12972174201713</v>
      </c>
      <c r="L683">
        <f t="shared" ca="1" si="722"/>
        <v>135.8774732709027</v>
      </c>
      <c r="M683">
        <f t="shared" ca="1" si="722"/>
        <v>126.39538301678259</v>
      </c>
      <c r="N683">
        <f t="shared" ca="1" si="722"/>
        <v>125.39335869158343</v>
      </c>
      <c r="O683">
        <f t="shared" ca="1" si="722"/>
        <v>121.19125063073226</v>
      </c>
      <c r="P683">
        <f t="shared" ca="1" si="722"/>
        <v>119.50526318325831</v>
      </c>
      <c r="Q683">
        <f t="shared" ca="1" si="684"/>
        <v>120.73072246490061</v>
      </c>
      <c r="R683">
        <f t="shared" ca="1" si="685"/>
        <v>20.730722464900609</v>
      </c>
      <c r="S683">
        <f t="shared" ca="1" si="686"/>
        <v>19.719673199771428</v>
      </c>
    </row>
    <row r="684" spans="5:19" x14ac:dyDescent="0.75">
      <c r="E684">
        <v>679</v>
      </c>
      <c r="F684">
        <v>100</v>
      </c>
      <c r="G684">
        <f t="shared" ca="1" si="682"/>
        <v>102.13208186708027</v>
      </c>
      <c r="H684">
        <f t="shared" ca="1" si="682"/>
        <v>92.673889119238908</v>
      </c>
      <c r="I684">
        <f t="shared" ca="1" si="682"/>
        <v>96.68632428241969</v>
      </c>
      <c r="J684">
        <f t="shared" ca="1" si="682"/>
        <v>95.328337280325002</v>
      </c>
      <c r="K684">
        <f t="shared" ref="K684:P684" ca="1" si="723">J684*EXP(($C$4-0.5*$C$5^2)*$C$10+$C$5*SQRT($C$10)*NORMINV(RAND(),0,1))</f>
        <v>87.579999311335442</v>
      </c>
      <c r="L684">
        <f t="shared" ca="1" si="723"/>
        <v>89.906239678271206</v>
      </c>
      <c r="M684">
        <f t="shared" ca="1" si="723"/>
        <v>91.75378664464688</v>
      </c>
      <c r="N684">
        <f t="shared" ca="1" si="723"/>
        <v>91.274106532176546</v>
      </c>
      <c r="O684">
        <f t="shared" ca="1" si="723"/>
        <v>92.469682924138183</v>
      </c>
      <c r="P684">
        <f t="shared" ca="1" si="723"/>
        <v>96.883681476235239</v>
      </c>
      <c r="Q684">
        <f t="shared" ca="1" si="684"/>
        <v>94.244375374169763</v>
      </c>
      <c r="R684">
        <f t="shared" ca="1" si="685"/>
        <v>0</v>
      </c>
      <c r="S684">
        <f t="shared" ca="1" si="686"/>
        <v>0</v>
      </c>
    </row>
    <row r="685" spans="5:19" x14ac:dyDescent="0.75">
      <c r="E685">
        <v>680</v>
      </c>
      <c r="F685">
        <v>100</v>
      </c>
      <c r="G685">
        <f t="shared" ca="1" si="682"/>
        <v>102.1473576738158</v>
      </c>
      <c r="H685">
        <f t="shared" ca="1" si="682"/>
        <v>103.11871622239073</v>
      </c>
      <c r="I685">
        <f t="shared" ca="1" si="682"/>
        <v>98.870861165056411</v>
      </c>
      <c r="J685">
        <f t="shared" ca="1" si="682"/>
        <v>97.669405247622777</v>
      </c>
      <c r="K685">
        <f t="shared" ref="K685:P685" ca="1" si="724">J685*EXP(($C$4-0.5*$C$5^2)*$C$10+$C$5*SQRT($C$10)*NORMINV(RAND(),0,1))</f>
        <v>96.408874221173917</v>
      </c>
      <c r="L685">
        <f t="shared" ca="1" si="724"/>
        <v>98.582497704087245</v>
      </c>
      <c r="M685">
        <f t="shared" ca="1" si="724"/>
        <v>110.91651572668165</v>
      </c>
      <c r="N685">
        <f t="shared" ca="1" si="724"/>
        <v>111.8226686665264</v>
      </c>
      <c r="O685">
        <f t="shared" ca="1" si="724"/>
        <v>110.11925722838993</v>
      </c>
      <c r="P685">
        <f t="shared" ca="1" si="724"/>
        <v>103.90105919145955</v>
      </c>
      <c r="Q685">
        <f t="shared" ca="1" si="684"/>
        <v>103.05065573156404</v>
      </c>
      <c r="R685">
        <f t="shared" ca="1" si="685"/>
        <v>3.050655731564035</v>
      </c>
      <c r="S685">
        <f t="shared" ca="1" si="686"/>
        <v>2.9018734958854617</v>
      </c>
    </row>
    <row r="686" spans="5:19" x14ac:dyDescent="0.75">
      <c r="E686">
        <v>681</v>
      </c>
      <c r="F686">
        <v>100</v>
      </c>
      <c r="G686">
        <f t="shared" ca="1" si="682"/>
        <v>117.51460029865788</v>
      </c>
      <c r="H686">
        <f t="shared" ca="1" si="682"/>
        <v>103.53045522939983</v>
      </c>
      <c r="I686">
        <f t="shared" ca="1" si="682"/>
        <v>100.9786829132884</v>
      </c>
      <c r="J686">
        <f t="shared" ca="1" si="682"/>
        <v>93.983281423648521</v>
      </c>
      <c r="K686">
        <f t="shared" ref="K686:P686" ca="1" si="725">J686*EXP(($C$4-0.5*$C$5^2)*$C$10+$C$5*SQRT($C$10)*NORMINV(RAND(),0,1))</f>
        <v>85.748033148713631</v>
      </c>
      <c r="L686">
        <f t="shared" ca="1" si="725"/>
        <v>94.146848947806021</v>
      </c>
      <c r="M686">
        <f t="shared" ca="1" si="725"/>
        <v>95.889376430879679</v>
      </c>
      <c r="N686">
        <f t="shared" ca="1" si="725"/>
        <v>100.39173238832758</v>
      </c>
      <c r="O686">
        <f t="shared" ca="1" si="725"/>
        <v>93.333194328730301</v>
      </c>
      <c r="P686">
        <f t="shared" ca="1" si="725"/>
        <v>97.576484541938427</v>
      </c>
      <c r="Q686">
        <f t="shared" ca="1" si="684"/>
        <v>98.462971786490016</v>
      </c>
      <c r="R686">
        <f t="shared" ca="1" si="685"/>
        <v>0</v>
      </c>
      <c r="S686">
        <f t="shared" ca="1" si="686"/>
        <v>0</v>
      </c>
    </row>
    <row r="687" spans="5:19" x14ac:dyDescent="0.75">
      <c r="E687">
        <v>682</v>
      </c>
      <c r="F687">
        <v>100</v>
      </c>
      <c r="G687">
        <f t="shared" ca="1" si="682"/>
        <v>102.17841732567483</v>
      </c>
      <c r="H687">
        <f t="shared" ca="1" si="682"/>
        <v>96.963353129067315</v>
      </c>
      <c r="I687">
        <f t="shared" ca="1" si="682"/>
        <v>95.300837319618665</v>
      </c>
      <c r="J687">
        <f t="shared" ca="1" si="682"/>
        <v>100.87721316999408</v>
      </c>
      <c r="K687">
        <f t="shared" ref="K687:P687" ca="1" si="726">J687*EXP(($C$4-0.5*$C$5^2)*$C$10+$C$5*SQRT($C$10)*NORMINV(RAND(),0,1))</f>
        <v>106.03592389523001</v>
      </c>
      <c r="L687">
        <f t="shared" ca="1" si="726"/>
        <v>107.72405769082532</v>
      </c>
      <c r="M687">
        <f t="shared" ca="1" si="726"/>
        <v>112.36150937624515</v>
      </c>
      <c r="N687">
        <f t="shared" ca="1" si="726"/>
        <v>113.48436712570104</v>
      </c>
      <c r="O687">
        <f t="shared" ca="1" si="726"/>
        <v>107.25843874867833</v>
      </c>
      <c r="P687">
        <f t="shared" ca="1" si="726"/>
        <v>114.30905369178875</v>
      </c>
      <c r="Q687">
        <f t="shared" ca="1" si="684"/>
        <v>105.13574286116578</v>
      </c>
      <c r="R687">
        <f t="shared" ca="1" si="685"/>
        <v>5.1357428611657809</v>
      </c>
      <c r="S687">
        <f t="shared" ca="1" si="686"/>
        <v>4.8852697262103764</v>
      </c>
    </row>
    <row r="688" spans="5:19" x14ac:dyDescent="0.75">
      <c r="E688">
        <v>683</v>
      </c>
      <c r="F688">
        <v>100</v>
      </c>
      <c r="G688">
        <f t="shared" ca="1" si="682"/>
        <v>99.862427101649047</v>
      </c>
      <c r="H688">
        <f t="shared" ca="1" si="682"/>
        <v>104.57576147199883</v>
      </c>
      <c r="I688">
        <f t="shared" ca="1" si="682"/>
        <v>115.27636008103482</v>
      </c>
      <c r="J688">
        <f t="shared" ca="1" si="682"/>
        <v>126.04590667293633</v>
      </c>
      <c r="K688">
        <f t="shared" ref="K688:P688" ca="1" si="727">J688*EXP(($C$4-0.5*$C$5^2)*$C$10+$C$5*SQRT($C$10)*NORMINV(RAND(),0,1))</f>
        <v>127.78472521730072</v>
      </c>
      <c r="L688">
        <f t="shared" ca="1" si="727"/>
        <v>128.06703100658808</v>
      </c>
      <c r="M688">
        <f t="shared" ca="1" si="727"/>
        <v>130.79187152308091</v>
      </c>
      <c r="N688">
        <f t="shared" ca="1" si="727"/>
        <v>125.63347778196561</v>
      </c>
      <c r="O688">
        <f t="shared" ca="1" si="727"/>
        <v>138.92819825626651</v>
      </c>
      <c r="P688">
        <f t="shared" ca="1" si="727"/>
        <v>141.63040717004404</v>
      </c>
      <c r="Q688">
        <f t="shared" ca="1" si="684"/>
        <v>121.69056057116954</v>
      </c>
      <c r="R688">
        <f t="shared" ca="1" si="685"/>
        <v>21.690560571169542</v>
      </c>
      <c r="S688">
        <f t="shared" ca="1" si="686"/>
        <v>20.632699449211483</v>
      </c>
    </row>
    <row r="689" spans="5:19" x14ac:dyDescent="0.75">
      <c r="E689">
        <v>684</v>
      </c>
      <c r="F689">
        <v>100</v>
      </c>
      <c r="G689">
        <f t="shared" ca="1" si="682"/>
        <v>105.53278114836795</v>
      </c>
      <c r="H689">
        <f t="shared" ca="1" si="682"/>
        <v>103.15078992068811</v>
      </c>
      <c r="I689">
        <f t="shared" ca="1" si="682"/>
        <v>108.03105932955661</v>
      </c>
      <c r="J689">
        <f t="shared" ca="1" si="682"/>
        <v>110.3451284326003</v>
      </c>
      <c r="K689">
        <f t="shared" ref="K689:P689" ca="1" si="728">J689*EXP(($C$4-0.5*$C$5^2)*$C$10+$C$5*SQRT($C$10)*NORMINV(RAND(),0,1))</f>
        <v>111.20152380652715</v>
      </c>
      <c r="L689">
        <f t="shared" ca="1" si="728"/>
        <v>108.51786727400095</v>
      </c>
      <c r="M689">
        <f t="shared" ca="1" si="728"/>
        <v>104.54752358834401</v>
      </c>
      <c r="N689">
        <f t="shared" ca="1" si="728"/>
        <v>106.78312927340491</v>
      </c>
      <c r="O689">
        <f t="shared" ca="1" si="728"/>
        <v>105.15033158556236</v>
      </c>
      <c r="P689">
        <f t="shared" ca="1" si="728"/>
        <v>110.87701898948953</v>
      </c>
      <c r="Q689">
        <f t="shared" ca="1" si="684"/>
        <v>106.73974121350381</v>
      </c>
      <c r="R689">
        <f t="shared" ca="1" si="685"/>
        <v>6.7397412135038053</v>
      </c>
      <c r="S689">
        <f t="shared" ca="1" si="686"/>
        <v>6.4110401558049688</v>
      </c>
    </row>
    <row r="690" spans="5:19" x14ac:dyDescent="0.75">
      <c r="E690">
        <v>685</v>
      </c>
      <c r="F690">
        <v>100</v>
      </c>
      <c r="G690">
        <f t="shared" ca="1" si="682"/>
        <v>97.416236936099523</v>
      </c>
      <c r="H690">
        <f t="shared" ca="1" si="682"/>
        <v>107.97682732629849</v>
      </c>
      <c r="I690">
        <f t="shared" ca="1" si="682"/>
        <v>100.27198654268255</v>
      </c>
      <c r="J690">
        <f t="shared" ca="1" si="682"/>
        <v>109.01715619674124</v>
      </c>
      <c r="K690">
        <f t="shared" ref="K690:P690" ca="1" si="729">J690*EXP(($C$4-0.5*$C$5^2)*$C$10+$C$5*SQRT($C$10)*NORMINV(RAND(),0,1))</f>
        <v>97.020716034945707</v>
      </c>
      <c r="L690">
        <f t="shared" ca="1" si="729"/>
        <v>99.361523804929092</v>
      </c>
      <c r="M690">
        <f t="shared" ca="1" si="729"/>
        <v>96.676731498665433</v>
      </c>
      <c r="N690">
        <f t="shared" ca="1" si="729"/>
        <v>90.330027807077201</v>
      </c>
      <c r="O690">
        <f t="shared" ca="1" si="729"/>
        <v>86.989981086107264</v>
      </c>
      <c r="P690">
        <f t="shared" ca="1" si="729"/>
        <v>85.413933425474951</v>
      </c>
      <c r="Q690">
        <f t="shared" ca="1" si="684"/>
        <v>97.315920059911022</v>
      </c>
      <c r="R690">
        <f t="shared" ca="1" si="685"/>
        <v>0</v>
      </c>
      <c r="S690">
        <f t="shared" ca="1" si="686"/>
        <v>0</v>
      </c>
    </row>
    <row r="691" spans="5:19" x14ac:dyDescent="0.75">
      <c r="E691">
        <v>686</v>
      </c>
      <c r="F691">
        <v>100</v>
      </c>
      <c r="G691">
        <f t="shared" ca="1" si="682"/>
        <v>99.409577235138073</v>
      </c>
      <c r="H691">
        <f t="shared" ca="1" si="682"/>
        <v>92.592971214896082</v>
      </c>
      <c r="I691">
        <f t="shared" ca="1" si="682"/>
        <v>91.754388163533292</v>
      </c>
      <c r="J691">
        <f t="shared" ca="1" si="682"/>
        <v>86.7671400023806</v>
      </c>
      <c r="K691">
        <f t="shared" ref="K691:P691" ca="1" si="730">J691*EXP(($C$4-0.5*$C$5^2)*$C$10+$C$5*SQRT($C$10)*NORMINV(RAND(),0,1))</f>
        <v>78.868666484508665</v>
      </c>
      <c r="L691">
        <f t="shared" ca="1" si="730"/>
        <v>76.72972998269033</v>
      </c>
      <c r="M691">
        <f t="shared" ca="1" si="730"/>
        <v>74.000600386584736</v>
      </c>
      <c r="N691">
        <f t="shared" ca="1" si="730"/>
        <v>68.730135636000526</v>
      </c>
      <c r="O691">
        <f t="shared" ca="1" si="730"/>
        <v>67.659211910955861</v>
      </c>
      <c r="P691">
        <f t="shared" ca="1" si="730"/>
        <v>71.53364407307275</v>
      </c>
      <c r="Q691">
        <f t="shared" ca="1" si="684"/>
        <v>82.549642280887369</v>
      </c>
      <c r="R691">
        <f t="shared" ca="1" si="685"/>
        <v>0</v>
      </c>
      <c r="S691">
        <f t="shared" ca="1" si="686"/>
        <v>0</v>
      </c>
    </row>
    <row r="692" spans="5:19" x14ac:dyDescent="0.75">
      <c r="E692">
        <v>687</v>
      </c>
      <c r="F692">
        <v>100</v>
      </c>
      <c r="G692">
        <f t="shared" ca="1" si="682"/>
        <v>96.306962119375811</v>
      </c>
      <c r="H692">
        <f t="shared" ca="1" si="682"/>
        <v>92.202308194758004</v>
      </c>
      <c r="I692">
        <f t="shared" ca="1" si="682"/>
        <v>84.239685070166558</v>
      </c>
      <c r="J692">
        <f t="shared" ca="1" si="682"/>
        <v>88.309793224598621</v>
      </c>
      <c r="K692">
        <f t="shared" ref="K692:P692" ca="1" si="731">J692*EXP(($C$4-0.5*$C$5^2)*$C$10+$C$5*SQRT($C$10)*NORMINV(RAND(),0,1))</f>
        <v>89.259229153693639</v>
      </c>
      <c r="L692">
        <f t="shared" ca="1" si="731"/>
        <v>88.981858955444025</v>
      </c>
      <c r="M692">
        <f t="shared" ca="1" si="731"/>
        <v>88.853445249103231</v>
      </c>
      <c r="N692">
        <f t="shared" ca="1" si="731"/>
        <v>84.467909230519197</v>
      </c>
      <c r="O692">
        <f t="shared" ca="1" si="731"/>
        <v>91.306185718860988</v>
      </c>
      <c r="P692">
        <f t="shared" ca="1" si="731"/>
        <v>85.472090557098369</v>
      </c>
      <c r="Q692">
        <f t="shared" ca="1" si="684"/>
        <v>89.945406133965321</v>
      </c>
      <c r="R692">
        <f t="shared" ca="1" si="685"/>
        <v>0</v>
      </c>
      <c r="S692">
        <f t="shared" ca="1" si="686"/>
        <v>0</v>
      </c>
    </row>
    <row r="693" spans="5:19" x14ac:dyDescent="0.75">
      <c r="E693">
        <v>688</v>
      </c>
      <c r="F693">
        <v>100</v>
      </c>
      <c r="G693">
        <f t="shared" ca="1" si="682"/>
        <v>101.73023570320387</v>
      </c>
      <c r="H693">
        <f t="shared" ca="1" si="682"/>
        <v>103.0392932578461</v>
      </c>
      <c r="I693">
        <f t="shared" ca="1" si="682"/>
        <v>109.81265375238449</v>
      </c>
      <c r="J693">
        <f t="shared" ca="1" si="682"/>
        <v>117.40597109400935</v>
      </c>
      <c r="K693">
        <f t="shared" ref="K693:P693" ca="1" si="732">J693*EXP(($C$4-0.5*$C$5^2)*$C$10+$C$5*SQRT($C$10)*NORMINV(RAND(),0,1))</f>
        <v>124.14218740545169</v>
      </c>
      <c r="L693">
        <f t="shared" ca="1" si="732"/>
        <v>118.08083092628986</v>
      </c>
      <c r="M693">
        <f t="shared" ca="1" si="732"/>
        <v>106.70496773168882</v>
      </c>
      <c r="N693">
        <f t="shared" ca="1" si="732"/>
        <v>107.9189441533313</v>
      </c>
      <c r="O693">
        <f t="shared" ca="1" si="732"/>
        <v>95.85639160611332</v>
      </c>
      <c r="P693">
        <f t="shared" ca="1" si="732"/>
        <v>98.2513178007015</v>
      </c>
      <c r="Q693">
        <f t="shared" ca="1" si="684"/>
        <v>107.54025394827458</v>
      </c>
      <c r="R693">
        <f t="shared" ca="1" si="685"/>
        <v>7.5402539482745823</v>
      </c>
      <c r="S693">
        <f t="shared" ca="1" si="686"/>
        <v>7.1725114238064673</v>
      </c>
    </row>
    <row r="694" spans="5:19" x14ac:dyDescent="0.75">
      <c r="E694">
        <v>689</v>
      </c>
      <c r="F694">
        <v>100</v>
      </c>
      <c r="G694">
        <f t="shared" ca="1" si="682"/>
        <v>92.754249577368697</v>
      </c>
      <c r="H694">
        <f t="shared" ca="1" si="682"/>
        <v>90.381545403134098</v>
      </c>
      <c r="I694">
        <f t="shared" ca="1" si="682"/>
        <v>85.173577881902489</v>
      </c>
      <c r="J694">
        <f t="shared" ca="1" si="682"/>
        <v>78.75005353682208</v>
      </c>
      <c r="K694">
        <f t="shared" ref="K694:P694" ca="1" si="733">J694*EXP(($C$4-0.5*$C$5^2)*$C$10+$C$5*SQRT($C$10)*NORMINV(RAND(),0,1))</f>
        <v>78.24525109420064</v>
      </c>
      <c r="L694">
        <f t="shared" ca="1" si="733"/>
        <v>79.895293043308229</v>
      </c>
      <c r="M694">
        <f t="shared" ca="1" si="733"/>
        <v>68.474032292778389</v>
      </c>
      <c r="N694">
        <f t="shared" ca="1" si="733"/>
        <v>68.532258683385166</v>
      </c>
      <c r="O694">
        <f t="shared" ca="1" si="733"/>
        <v>66.116041621917518</v>
      </c>
      <c r="P694">
        <f t="shared" ca="1" si="733"/>
        <v>67.780272916724201</v>
      </c>
      <c r="Q694">
        <f t="shared" ca="1" si="684"/>
        <v>79.645688731958316</v>
      </c>
      <c r="R694">
        <f t="shared" ca="1" si="685"/>
        <v>0</v>
      </c>
      <c r="S694">
        <f t="shared" ca="1" si="686"/>
        <v>0</v>
      </c>
    </row>
    <row r="695" spans="5:19" x14ac:dyDescent="0.75">
      <c r="E695">
        <v>690</v>
      </c>
      <c r="F695">
        <v>100</v>
      </c>
      <c r="G695">
        <f t="shared" ca="1" si="682"/>
        <v>95.128108267055083</v>
      </c>
      <c r="H695">
        <f t="shared" ca="1" si="682"/>
        <v>92.741365428981482</v>
      </c>
      <c r="I695">
        <f t="shared" ca="1" si="682"/>
        <v>91.057535472359618</v>
      </c>
      <c r="J695">
        <f t="shared" ca="1" si="682"/>
        <v>92.872477556934925</v>
      </c>
      <c r="K695">
        <f t="shared" ref="K695:P695" ca="1" si="734">J695*EXP(($C$4-0.5*$C$5^2)*$C$10+$C$5*SQRT($C$10)*NORMINV(RAND(),0,1))</f>
        <v>84.307891081125703</v>
      </c>
      <c r="L695">
        <f t="shared" ca="1" si="734"/>
        <v>82.738017234180418</v>
      </c>
      <c r="M695">
        <f t="shared" ca="1" si="734"/>
        <v>81.148952378024902</v>
      </c>
      <c r="N695">
        <f t="shared" ca="1" si="734"/>
        <v>82.236033621217459</v>
      </c>
      <c r="O695">
        <f t="shared" ca="1" si="734"/>
        <v>77.571355255284516</v>
      </c>
      <c r="P695">
        <f t="shared" ca="1" si="734"/>
        <v>69.875057284364175</v>
      </c>
      <c r="Q695">
        <f t="shared" ca="1" si="684"/>
        <v>86.334253961775303</v>
      </c>
      <c r="R695">
        <f t="shared" ca="1" si="685"/>
        <v>0</v>
      </c>
      <c r="S695">
        <f t="shared" ca="1" si="686"/>
        <v>0</v>
      </c>
    </row>
    <row r="696" spans="5:19" x14ac:dyDescent="0.75">
      <c r="E696">
        <v>691</v>
      </c>
      <c r="F696">
        <v>100</v>
      </c>
      <c r="G696">
        <f t="shared" ca="1" si="682"/>
        <v>94.697351921590979</v>
      </c>
      <c r="H696">
        <f t="shared" ca="1" si="682"/>
        <v>92.381720999823756</v>
      </c>
      <c r="I696">
        <f t="shared" ca="1" si="682"/>
        <v>89.655982314958109</v>
      </c>
      <c r="J696">
        <f t="shared" ca="1" si="682"/>
        <v>85.110310020612886</v>
      </c>
      <c r="K696">
        <f t="shared" ref="K696:P696" ca="1" si="735">J696*EXP(($C$4-0.5*$C$5^2)*$C$10+$C$5*SQRT($C$10)*NORMINV(RAND(),0,1))</f>
        <v>74.209879629315665</v>
      </c>
      <c r="L696">
        <f t="shared" ca="1" si="735"/>
        <v>66.065986565773656</v>
      </c>
      <c r="M696">
        <f t="shared" ca="1" si="735"/>
        <v>62.778802578474519</v>
      </c>
      <c r="N696">
        <f t="shared" ca="1" si="735"/>
        <v>56.761775487223915</v>
      </c>
      <c r="O696">
        <f t="shared" ca="1" si="735"/>
        <v>55.21812882269068</v>
      </c>
      <c r="P696">
        <f t="shared" ca="1" si="735"/>
        <v>52.921640332936704</v>
      </c>
      <c r="Q696">
        <f t="shared" ca="1" si="684"/>
        <v>75.436507152127348</v>
      </c>
      <c r="R696">
        <f t="shared" ca="1" si="685"/>
        <v>0</v>
      </c>
      <c r="S696">
        <f t="shared" ca="1" si="686"/>
        <v>0</v>
      </c>
    </row>
    <row r="697" spans="5:19" x14ac:dyDescent="0.75">
      <c r="E697">
        <v>692</v>
      </c>
      <c r="F697">
        <v>100</v>
      </c>
      <c r="G697">
        <f t="shared" ca="1" si="682"/>
        <v>98.078792940477527</v>
      </c>
      <c r="H697">
        <f t="shared" ca="1" si="682"/>
        <v>102.67683751307013</v>
      </c>
      <c r="I697">
        <f t="shared" ca="1" si="682"/>
        <v>104.14662458689733</v>
      </c>
      <c r="J697">
        <f t="shared" ca="1" si="682"/>
        <v>99.659945401138614</v>
      </c>
      <c r="K697">
        <f t="shared" ref="K697:P697" ca="1" si="736">J697*EXP(($C$4-0.5*$C$5^2)*$C$10+$C$5*SQRT($C$10)*NORMINV(RAND(),0,1))</f>
        <v>97.694301437316057</v>
      </c>
      <c r="L697">
        <f t="shared" ca="1" si="736"/>
        <v>90.594171543323526</v>
      </c>
      <c r="M697">
        <f t="shared" ca="1" si="736"/>
        <v>91.913516981862344</v>
      </c>
      <c r="N697">
        <f t="shared" ca="1" si="736"/>
        <v>102.40908432686065</v>
      </c>
      <c r="O697">
        <f t="shared" ca="1" si="736"/>
        <v>110.50321692526475</v>
      </c>
      <c r="P697">
        <f t="shared" ca="1" si="736"/>
        <v>119.23239281233964</v>
      </c>
      <c r="Q697">
        <f t="shared" ca="1" si="684"/>
        <v>101.53717131532279</v>
      </c>
      <c r="R697">
        <f t="shared" ca="1" si="685"/>
        <v>1.5371713153227944</v>
      </c>
      <c r="S697">
        <f t="shared" ca="1" si="686"/>
        <v>1.4622025856335072</v>
      </c>
    </row>
    <row r="698" spans="5:19" x14ac:dyDescent="0.75">
      <c r="E698">
        <v>693</v>
      </c>
      <c r="F698">
        <v>100</v>
      </c>
      <c r="G698">
        <f t="shared" ca="1" si="682"/>
        <v>103.00203073200498</v>
      </c>
      <c r="H698">
        <f t="shared" ca="1" si="682"/>
        <v>100.19993996152321</v>
      </c>
      <c r="I698">
        <f t="shared" ca="1" si="682"/>
        <v>99.524772925233407</v>
      </c>
      <c r="J698">
        <f t="shared" ca="1" si="682"/>
        <v>100.54519166580465</v>
      </c>
      <c r="K698">
        <f t="shared" ref="K698:P698" ca="1" si="737">J698*EXP(($C$4-0.5*$C$5^2)*$C$10+$C$5*SQRT($C$10)*NORMINV(RAND(),0,1))</f>
        <v>96.649475661264788</v>
      </c>
      <c r="L698">
        <f t="shared" ca="1" si="737"/>
        <v>91.83123903312692</v>
      </c>
      <c r="M698">
        <f t="shared" ca="1" si="737"/>
        <v>87.872668118757289</v>
      </c>
      <c r="N698">
        <f t="shared" ca="1" si="737"/>
        <v>95.248163314820161</v>
      </c>
      <c r="O698">
        <f t="shared" ca="1" si="737"/>
        <v>94.115846797453415</v>
      </c>
      <c r="P698">
        <f t="shared" ca="1" si="737"/>
        <v>90.122145957498176</v>
      </c>
      <c r="Q698">
        <f t="shared" ca="1" si="684"/>
        <v>96.282861287953352</v>
      </c>
      <c r="R698">
        <f t="shared" ca="1" si="685"/>
        <v>0</v>
      </c>
      <c r="S698">
        <f t="shared" ca="1" si="686"/>
        <v>0</v>
      </c>
    </row>
    <row r="699" spans="5:19" x14ac:dyDescent="0.75">
      <c r="E699">
        <v>694</v>
      </c>
      <c r="F699">
        <v>100</v>
      </c>
      <c r="G699">
        <f t="shared" ca="1" si="682"/>
        <v>99.887042974286089</v>
      </c>
      <c r="H699">
        <f t="shared" ca="1" si="682"/>
        <v>93.526989817038242</v>
      </c>
      <c r="I699">
        <f t="shared" ca="1" si="682"/>
        <v>93.884002105480178</v>
      </c>
      <c r="J699">
        <f t="shared" ca="1" si="682"/>
        <v>95.458418979247028</v>
      </c>
      <c r="K699">
        <f t="shared" ref="K699:P699" ca="1" si="738">J699*EXP(($C$4-0.5*$C$5^2)*$C$10+$C$5*SQRT($C$10)*NORMINV(RAND(),0,1))</f>
        <v>99.156563042874964</v>
      </c>
      <c r="L699">
        <f t="shared" ca="1" si="738"/>
        <v>103.44463168926637</v>
      </c>
      <c r="M699">
        <f t="shared" ca="1" si="738"/>
        <v>113.08240885336117</v>
      </c>
      <c r="N699">
        <f t="shared" ca="1" si="738"/>
        <v>115.85375435729063</v>
      </c>
      <c r="O699">
        <f t="shared" ca="1" si="738"/>
        <v>120.6082168662571</v>
      </c>
      <c r="P699">
        <f t="shared" ca="1" si="738"/>
        <v>131.26709965992671</v>
      </c>
      <c r="Q699">
        <f t="shared" ca="1" si="684"/>
        <v>106.01537530409351</v>
      </c>
      <c r="R699">
        <f t="shared" ca="1" si="685"/>
        <v>6.0153753040935101</v>
      </c>
      <c r="S699">
        <f t="shared" ca="1" si="686"/>
        <v>5.7220019886686773</v>
      </c>
    </row>
    <row r="700" spans="5:19" x14ac:dyDescent="0.75">
      <c r="E700">
        <v>695</v>
      </c>
      <c r="F700">
        <v>100</v>
      </c>
      <c r="G700">
        <f t="shared" ca="1" si="682"/>
        <v>108.55848457027284</v>
      </c>
      <c r="H700">
        <f t="shared" ca="1" si="682"/>
        <v>106.55666862733666</v>
      </c>
      <c r="I700">
        <f t="shared" ca="1" si="682"/>
        <v>101.11293812427704</v>
      </c>
      <c r="J700">
        <f t="shared" ca="1" si="682"/>
        <v>98.965396018404348</v>
      </c>
      <c r="K700">
        <f t="shared" ref="K700:P700" ca="1" si="739">J700*EXP(($C$4-0.5*$C$5^2)*$C$10+$C$5*SQRT($C$10)*NORMINV(RAND(),0,1))</f>
        <v>103.81643445395764</v>
      </c>
      <c r="L700">
        <f t="shared" ca="1" si="739"/>
        <v>100.36067319481533</v>
      </c>
      <c r="M700">
        <f t="shared" ca="1" si="739"/>
        <v>88.662793687052442</v>
      </c>
      <c r="N700">
        <f t="shared" ca="1" si="739"/>
        <v>97.089667274655994</v>
      </c>
      <c r="O700">
        <f t="shared" ca="1" si="739"/>
        <v>91.710097160692825</v>
      </c>
      <c r="P700">
        <f t="shared" ca="1" si="739"/>
        <v>86.583369854712473</v>
      </c>
      <c r="Q700">
        <f t="shared" ca="1" si="684"/>
        <v>98.49241117874341</v>
      </c>
      <c r="R700">
        <f t="shared" ca="1" si="685"/>
        <v>0</v>
      </c>
      <c r="S700">
        <f t="shared" ca="1" si="686"/>
        <v>0</v>
      </c>
    </row>
    <row r="701" spans="5:19" x14ac:dyDescent="0.75">
      <c r="E701">
        <v>696</v>
      </c>
      <c r="F701">
        <v>100</v>
      </c>
      <c r="G701">
        <f t="shared" ca="1" si="682"/>
        <v>94.387873810545912</v>
      </c>
      <c r="H701">
        <f t="shared" ca="1" si="682"/>
        <v>101.39397806752447</v>
      </c>
      <c r="I701">
        <f t="shared" ca="1" si="682"/>
        <v>100.81784791414707</v>
      </c>
      <c r="J701">
        <f t="shared" ca="1" si="682"/>
        <v>108.07405715348142</v>
      </c>
      <c r="K701">
        <f t="shared" ref="K701:P701" ca="1" si="740">J701*EXP(($C$4-0.5*$C$5^2)*$C$10+$C$5*SQRT($C$10)*NORMINV(RAND(),0,1))</f>
        <v>103.11373961144602</v>
      </c>
      <c r="L701">
        <f t="shared" ca="1" si="740"/>
        <v>115.956056577661</v>
      </c>
      <c r="M701">
        <f t="shared" ca="1" si="740"/>
        <v>114.833548263005</v>
      </c>
      <c r="N701">
        <f t="shared" ca="1" si="740"/>
        <v>100.81526497399194</v>
      </c>
      <c r="O701">
        <f t="shared" ca="1" si="740"/>
        <v>101.7479359259506</v>
      </c>
      <c r="P701">
        <f t="shared" ca="1" si="740"/>
        <v>103.87597404818652</v>
      </c>
      <c r="Q701">
        <f t="shared" ca="1" si="684"/>
        <v>104.0923887587218</v>
      </c>
      <c r="R701">
        <f t="shared" ca="1" si="685"/>
        <v>4.0923887587217962</v>
      </c>
      <c r="S701">
        <f t="shared" ca="1" si="686"/>
        <v>3.8928006037921254</v>
      </c>
    </row>
    <row r="702" spans="5:19" x14ac:dyDescent="0.75">
      <c r="E702">
        <v>697</v>
      </c>
      <c r="F702">
        <v>100</v>
      </c>
      <c r="G702">
        <f t="shared" ca="1" si="682"/>
        <v>98.569557100982479</v>
      </c>
      <c r="H702">
        <f t="shared" ca="1" si="682"/>
        <v>98.795056845246393</v>
      </c>
      <c r="I702">
        <f t="shared" ca="1" si="682"/>
        <v>98.516159509812709</v>
      </c>
      <c r="J702">
        <f t="shared" ca="1" si="682"/>
        <v>109.22176424427158</v>
      </c>
      <c r="K702">
        <f t="shared" ref="K702:P702" ca="1" si="741">J702*EXP(($C$4-0.5*$C$5^2)*$C$10+$C$5*SQRT($C$10)*NORMINV(RAND(),0,1))</f>
        <v>116.28800586139552</v>
      </c>
      <c r="L702">
        <f t="shared" ca="1" si="741"/>
        <v>115.80762691100065</v>
      </c>
      <c r="M702">
        <f t="shared" ca="1" si="741"/>
        <v>111.73071202090713</v>
      </c>
      <c r="N702">
        <f t="shared" ca="1" si="741"/>
        <v>114.30812998467272</v>
      </c>
      <c r="O702">
        <f t="shared" ca="1" si="741"/>
        <v>113.43459357121083</v>
      </c>
      <c r="P702">
        <f t="shared" ca="1" si="741"/>
        <v>102.45139718715828</v>
      </c>
      <c r="Q702">
        <f t="shared" ca="1" si="684"/>
        <v>107.19300029424167</v>
      </c>
      <c r="R702">
        <f t="shared" ca="1" si="685"/>
        <v>7.1930002942416706</v>
      </c>
      <c r="S702">
        <f t="shared" ca="1" si="686"/>
        <v>6.8421935303249706</v>
      </c>
    </row>
    <row r="703" spans="5:19" x14ac:dyDescent="0.75">
      <c r="E703">
        <v>698</v>
      </c>
      <c r="F703">
        <v>100</v>
      </c>
      <c r="G703">
        <f t="shared" ca="1" si="682"/>
        <v>98.665678095537558</v>
      </c>
      <c r="H703">
        <f t="shared" ca="1" si="682"/>
        <v>101.64324423019626</v>
      </c>
      <c r="I703">
        <f t="shared" ca="1" si="682"/>
        <v>108.54310143164244</v>
      </c>
      <c r="J703">
        <f t="shared" ca="1" si="682"/>
        <v>108.01739364992369</v>
      </c>
      <c r="K703">
        <f t="shared" ref="K703:P703" ca="1" si="742">J703*EXP(($C$4-0.5*$C$5^2)*$C$10+$C$5*SQRT($C$10)*NORMINV(RAND(),0,1))</f>
        <v>103.95293156732963</v>
      </c>
      <c r="L703">
        <f t="shared" ca="1" si="742"/>
        <v>108.05191736261632</v>
      </c>
      <c r="M703">
        <f t="shared" ca="1" si="742"/>
        <v>125.81445466659497</v>
      </c>
      <c r="N703">
        <f t="shared" ca="1" si="742"/>
        <v>125.04451587481607</v>
      </c>
      <c r="O703">
        <f t="shared" ca="1" si="742"/>
        <v>124.51467508506178</v>
      </c>
      <c r="P703">
        <f t="shared" ca="1" si="742"/>
        <v>125.49324708384728</v>
      </c>
      <c r="Q703">
        <f t="shared" ca="1" si="684"/>
        <v>111.79465082250603</v>
      </c>
      <c r="R703">
        <f t="shared" ca="1" si="685"/>
        <v>11.794650822506028</v>
      </c>
      <c r="S703">
        <f t="shared" ca="1" si="686"/>
        <v>11.219418914079283</v>
      </c>
    </row>
    <row r="704" spans="5:19" x14ac:dyDescent="0.75">
      <c r="E704">
        <v>699</v>
      </c>
      <c r="F704">
        <v>100</v>
      </c>
      <c r="G704">
        <f t="shared" ca="1" si="682"/>
        <v>98.98261832809257</v>
      </c>
      <c r="H704">
        <f t="shared" ca="1" si="682"/>
        <v>107.65526422408304</v>
      </c>
      <c r="I704">
        <f t="shared" ca="1" si="682"/>
        <v>97.491092356842771</v>
      </c>
      <c r="J704">
        <f t="shared" ca="1" si="682"/>
        <v>100.49769712479912</v>
      </c>
      <c r="K704">
        <f t="shared" ref="K704:P704" ca="1" si="743">J704*EXP(($C$4-0.5*$C$5^2)*$C$10+$C$5*SQRT($C$10)*NORMINV(RAND(),0,1))</f>
        <v>103.05825524422926</v>
      </c>
      <c r="L704">
        <f t="shared" ca="1" si="743"/>
        <v>86.115410384649209</v>
      </c>
      <c r="M704">
        <f t="shared" ca="1" si="743"/>
        <v>90.128286194273173</v>
      </c>
      <c r="N704">
        <f t="shared" ca="1" si="743"/>
        <v>92.772597375721958</v>
      </c>
      <c r="O704">
        <f t="shared" ca="1" si="743"/>
        <v>106.66187514696954</v>
      </c>
      <c r="P704">
        <f t="shared" ca="1" si="743"/>
        <v>102.22813710752919</v>
      </c>
      <c r="Q704">
        <f t="shared" ca="1" si="684"/>
        <v>98.690112135199072</v>
      </c>
      <c r="R704">
        <f t="shared" ca="1" si="685"/>
        <v>0</v>
      </c>
      <c r="S704">
        <f t="shared" ca="1" si="686"/>
        <v>0</v>
      </c>
    </row>
    <row r="705" spans="5:19" x14ac:dyDescent="0.75">
      <c r="E705">
        <v>700</v>
      </c>
      <c r="F705">
        <v>100</v>
      </c>
      <c r="G705">
        <f t="shared" ca="1" si="682"/>
        <v>100.5740898947179</v>
      </c>
      <c r="H705">
        <f t="shared" ca="1" si="682"/>
        <v>107.26063150827255</v>
      </c>
      <c r="I705">
        <f t="shared" ca="1" si="682"/>
        <v>103.21313818512395</v>
      </c>
      <c r="J705">
        <f t="shared" ca="1" si="682"/>
        <v>116.23686680175412</v>
      </c>
      <c r="K705">
        <f t="shared" ref="K705:P705" ca="1" si="744">J705*EXP(($C$4-0.5*$C$5^2)*$C$10+$C$5*SQRT($C$10)*NORMINV(RAND(),0,1))</f>
        <v>115.07502473027481</v>
      </c>
      <c r="L705">
        <f t="shared" ca="1" si="744"/>
        <v>107.01856848341981</v>
      </c>
      <c r="M705">
        <f t="shared" ca="1" si="744"/>
        <v>99.533894072959455</v>
      </c>
      <c r="N705">
        <f t="shared" ca="1" si="744"/>
        <v>109.27708033233758</v>
      </c>
      <c r="O705">
        <f t="shared" ca="1" si="744"/>
        <v>109.39760243853944</v>
      </c>
      <c r="P705">
        <f t="shared" ca="1" si="744"/>
        <v>124.79759583791895</v>
      </c>
      <c r="Q705">
        <f t="shared" ca="1" si="684"/>
        <v>108.39859020775624</v>
      </c>
      <c r="R705">
        <f t="shared" ca="1" si="685"/>
        <v>8.3985902077562429</v>
      </c>
      <c r="S705">
        <f t="shared" ca="1" si="686"/>
        <v>7.9889861299413027</v>
      </c>
    </row>
    <row r="706" spans="5:19" x14ac:dyDescent="0.75">
      <c r="E706">
        <v>701</v>
      </c>
      <c r="F706">
        <v>100</v>
      </c>
      <c r="G706">
        <f t="shared" ca="1" si="682"/>
        <v>114.58948547845758</v>
      </c>
      <c r="H706">
        <f t="shared" ca="1" si="682"/>
        <v>113.95583829600821</v>
      </c>
      <c r="I706">
        <f t="shared" ca="1" si="682"/>
        <v>104.04229846549805</v>
      </c>
      <c r="J706">
        <f t="shared" ca="1" si="682"/>
        <v>97.547956094418254</v>
      </c>
      <c r="K706">
        <f t="shared" ref="K706:P706" ca="1" si="745">J706*EXP(($C$4-0.5*$C$5^2)*$C$10+$C$5*SQRT($C$10)*NORMINV(RAND(),0,1))</f>
        <v>89.75129080209696</v>
      </c>
      <c r="L706">
        <f t="shared" ca="1" si="745"/>
        <v>83.136133106312116</v>
      </c>
      <c r="M706">
        <f t="shared" ca="1" si="745"/>
        <v>81.134648973742003</v>
      </c>
      <c r="N706">
        <f t="shared" ca="1" si="745"/>
        <v>89.869884533202892</v>
      </c>
      <c r="O706">
        <f t="shared" ca="1" si="745"/>
        <v>99.575078746998045</v>
      </c>
      <c r="P706">
        <f t="shared" ca="1" si="745"/>
        <v>98.665457658596068</v>
      </c>
      <c r="Q706">
        <f t="shared" ca="1" si="684"/>
        <v>97.478915650484566</v>
      </c>
      <c r="R706">
        <f t="shared" ca="1" si="685"/>
        <v>0</v>
      </c>
      <c r="S706">
        <f t="shared" ca="1" si="686"/>
        <v>0</v>
      </c>
    </row>
    <row r="707" spans="5:19" x14ac:dyDescent="0.75">
      <c r="E707">
        <v>702</v>
      </c>
      <c r="F707">
        <v>100</v>
      </c>
      <c r="G707">
        <f t="shared" ca="1" si="682"/>
        <v>88.841037653591584</v>
      </c>
      <c r="H707">
        <f t="shared" ca="1" si="682"/>
        <v>76.094951120898088</v>
      </c>
      <c r="I707">
        <f t="shared" ca="1" si="682"/>
        <v>75.893916788274751</v>
      </c>
      <c r="J707">
        <f t="shared" ca="1" si="682"/>
        <v>76.682314239740805</v>
      </c>
      <c r="K707">
        <f t="shared" ref="K707:P707" ca="1" si="746">J707*EXP(($C$4-0.5*$C$5^2)*$C$10+$C$5*SQRT($C$10)*NORMINV(RAND(),0,1))</f>
        <v>81.364629167838544</v>
      </c>
      <c r="L707">
        <f t="shared" ca="1" si="746"/>
        <v>74.586251953166425</v>
      </c>
      <c r="M707">
        <f t="shared" ca="1" si="746"/>
        <v>76.28846325599369</v>
      </c>
      <c r="N707">
        <f t="shared" ca="1" si="746"/>
        <v>79.211850014308681</v>
      </c>
      <c r="O707">
        <f t="shared" ca="1" si="746"/>
        <v>78.098860300722478</v>
      </c>
      <c r="P707">
        <f t="shared" ca="1" si="746"/>
        <v>79.932636277871396</v>
      </c>
      <c r="Q707">
        <f t="shared" ca="1" si="684"/>
        <v>80.635900979309682</v>
      </c>
      <c r="R707">
        <f t="shared" ca="1" si="685"/>
        <v>0</v>
      </c>
      <c r="S707">
        <f t="shared" ca="1" si="686"/>
        <v>0</v>
      </c>
    </row>
    <row r="708" spans="5:19" x14ac:dyDescent="0.75">
      <c r="E708">
        <v>703</v>
      </c>
      <c r="F708">
        <v>100</v>
      </c>
      <c r="G708">
        <f t="shared" ca="1" si="682"/>
        <v>94.950538074952036</v>
      </c>
      <c r="H708">
        <f t="shared" ca="1" si="682"/>
        <v>93.8748204503826</v>
      </c>
      <c r="I708">
        <f t="shared" ca="1" si="682"/>
        <v>95.679607977591559</v>
      </c>
      <c r="J708">
        <f t="shared" ca="1" si="682"/>
        <v>92.726810706579471</v>
      </c>
      <c r="K708">
        <f t="shared" ref="K708:P708" ca="1" si="747">J708*EXP(($C$4-0.5*$C$5^2)*$C$10+$C$5*SQRT($C$10)*NORMINV(RAND(),0,1))</f>
        <v>97.942685217099452</v>
      </c>
      <c r="L708">
        <f t="shared" ca="1" si="747"/>
        <v>93.342045561732562</v>
      </c>
      <c r="M708">
        <f t="shared" ca="1" si="747"/>
        <v>90.538037468458413</v>
      </c>
      <c r="N708">
        <f t="shared" ca="1" si="747"/>
        <v>87.386371415193352</v>
      </c>
      <c r="O708">
        <f t="shared" ca="1" si="747"/>
        <v>86.625054398561886</v>
      </c>
      <c r="P708">
        <f t="shared" ca="1" si="747"/>
        <v>78.186271510016212</v>
      </c>
      <c r="Q708">
        <f t="shared" ca="1" si="684"/>
        <v>91.932022070960699</v>
      </c>
      <c r="R708">
        <f t="shared" ca="1" si="685"/>
        <v>0</v>
      </c>
      <c r="S708">
        <f t="shared" ca="1" si="686"/>
        <v>0</v>
      </c>
    </row>
    <row r="709" spans="5:19" x14ac:dyDescent="0.75">
      <c r="E709">
        <v>704</v>
      </c>
      <c r="F709">
        <v>100</v>
      </c>
      <c r="G709">
        <f t="shared" ca="1" si="682"/>
        <v>101.56668593199313</v>
      </c>
      <c r="H709">
        <f t="shared" ca="1" si="682"/>
        <v>101.0709178578158</v>
      </c>
      <c r="I709">
        <f t="shared" ca="1" si="682"/>
        <v>100.24235519455972</v>
      </c>
      <c r="J709">
        <f t="shared" ca="1" si="682"/>
        <v>101.78883461694969</v>
      </c>
      <c r="K709">
        <f t="shared" ref="K709:P709" ca="1" si="748">J709*EXP(($C$4-0.5*$C$5^2)*$C$10+$C$5*SQRT($C$10)*NORMINV(RAND(),0,1))</f>
        <v>108.14213364200846</v>
      </c>
      <c r="L709">
        <f t="shared" ca="1" si="748"/>
        <v>101.189493326102</v>
      </c>
      <c r="M709">
        <f t="shared" ca="1" si="748"/>
        <v>99.329668604279149</v>
      </c>
      <c r="N709">
        <f t="shared" ca="1" si="748"/>
        <v>100.26501058237898</v>
      </c>
      <c r="O709">
        <f t="shared" ca="1" si="748"/>
        <v>94.233167427663659</v>
      </c>
      <c r="P709">
        <f t="shared" ca="1" si="748"/>
        <v>95.117601740229318</v>
      </c>
      <c r="Q709">
        <f t="shared" ca="1" si="684"/>
        <v>100.26780626581636</v>
      </c>
      <c r="R709">
        <f t="shared" ca="1" si="685"/>
        <v>0.26780626581636113</v>
      </c>
      <c r="S709">
        <f t="shared" ca="1" si="686"/>
        <v>0.25474520011018242</v>
      </c>
    </row>
    <row r="710" spans="5:19" x14ac:dyDescent="0.75">
      <c r="E710">
        <v>705</v>
      </c>
      <c r="F710">
        <v>100</v>
      </c>
      <c r="G710">
        <f t="shared" ca="1" si="682"/>
        <v>107.86075504895678</v>
      </c>
      <c r="H710">
        <f t="shared" ca="1" si="682"/>
        <v>101.53114187583607</v>
      </c>
      <c r="I710">
        <f t="shared" ca="1" si="682"/>
        <v>110.71830441073391</v>
      </c>
      <c r="J710">
        <f t="shared" ref="J710:P710" ca="1" si="749">I710*EXP(($C$4-0.5*$C$5^2)*$C$10+$C$5*SQRT($C$10)*NORMINV(RAND(),0,1))</f>
        <v>114.00597945498589</v>
      </c>
      <c r="K710">
        <f t="shared" ca="1" si="749"/>
        <v>122.1114441299858</v>
      </c>
      <c r="L710">
        <f t="shared" ca="1" si="749"/>
        <v>125.45745703648394</v>
      </c>
      <c r="M710">
        <f t="shared" ca="1" si="749"/>
        <v>141.40024490649506</v>
      </c>
      <c r="N710">
        <f t="shared" ca="1" si="749"/>
        <v>141.66908745555023</v>
      </c>
      <c r="O710">
        <f t="shared" ca="1" si="749"/>
        <v>131.63754709554962</v>
      </c>
      <c r="P710">
        <f t="shared" ca="1" si="749"/>
        <v>127.57559525445301</v>
      </c>
      <c r="Q710">
        <f t="shared" ca="1" si="684"/>
        <v>120.36068696991182</v>
      </c>
      <c r="R710">
        <f t="shared" ca="1" si="685"/>
        <v>20.360686969911825</v>
      </c>
      <c r="S710">
        <f t="shared" ca="1" si="686"/>
        <v>19.367684548828411</v>
      </c>
    </row>
    <row r="711" spans="5:19" x14ac:dyDescent="0.75">
      <c r="E711">
        <v>706</v>
      </c>
      <c r="F711">
        <v>100</v>
      </c>
      <c r="G711">
        <f t="shared" ref="G711:J774" ca="1" si="750">F711*EXP(($C$4-0.5*$C$5^2)*$C$10+$C$5*SQRT($C$10)*NORMINV(RAND(),0,1))</f>
        <v>102.89101089567913</v>
      </c>
      <c r="H711">
        <f t="shared" ca="1" si="750"/>
        <v>92.902898245190457</v>
      </c>
      <c r="I711">
        <f t="shared" ca="1" si="750"/>
        <v>107.0030642619531</v>
      </c>
      <c r="J711">
        <f t="shared" ca="1" si="750"/>
        <v>105.98325132755424</v>
      </c>
      <c r="K711">
        <f t="shared" ref="K711:P711" ca="1" si="751">J711*EXP(($C$4-0.5*$C$5^2)*$C$10+$C$5*SQRT($C$10)*NORMINV(RAND(),0,1))</f>
        <v>113.79412354838382</v>
      </c>
      <c r="L711">
        <f t="shared" ca="1" si="751"/>
        <v>106.79486314484716</v>
      </c>
      <c r="M711">
        <f t="shared" ca="1" si="751"/>
        <v>95.950530973007076</v>
      </c>
      <c r="N711">
        <f t="shared" ca="1" si="751"/>
        <v>92.810025623908103</v>
      </c>
      <c r="O711">
        <f t="shared" ca="1" si="751"/>
        <v>94.055368627306549</v>
      </c>
      <c r="P711">
        <f t="shared" ca="1" si="751"/>
        <v>96.129844197922736</v>
      </c>
      <c r="Q711">
        <f t="shared" ref="Q711:Q774" ca="1" si="752">AVERAGE(F711:P711)</f>
        <v>100.75590734961384</v>
      </c>
      <c r="R711">
        <f t="shared" ref="R711:R774" ca="1" si="753">MAX(Q711-$C$7,0)</f>
        <v>0.75590734961383532</v>
      </c>
      <c r="S711">
        <f t="shared" ref="S711:S774" ca="1" si="754">EXP(-$C$4*$C$6)*R711</f>
        <v>0.71904131314902864</v>
      </c>
    </row>
    <row r="712" spans="5:19" x14ac:dyDescent="0.75">
      <c r="E712">
        <v>707</v>
      </c>
      <c r="F712">
        <v>100</v>
      </c>
      <c r="G712">
        <f t="shared" ca="1" si="750"/>
        <v>105.98490281272639</v>
      </c>
      <c r="H712">
        <f t="shared" ca="1" si="750"/>
        <v>116.40744157743153</v>
      </c>
      <c r="I712">
        <f t="shared" ca="1" si="750"/>
        <v>113.97113701772329</v>
      </c>
      <c r="J712">
        <f t="shared" ca="1" si="750"/>
        <v>119.53299536195618</v>
      </c>
      <c r="K712">
        <f t="shared" ref="K712:P712" ca="1" si="755">J712*EXP(($C$4-0.5*$C$5^2)*$C$10+$C$5*SQRT($C$10)*NORMINV(RAND(),0,1))</f>
        <v>120.92748220685462</v>
      </c>
      <c r="L712">
        <f t="shared" ca="1" si="755"/>
        <v>126.70269614108803</v>
      </c>
      <c r="M712">
        <f t="shared" ca="1" si="755"/>
        <v>120.95296867747332</v>
      </c>
      <c r="N712">
        <f t="shared" ca="1" si="755"/>
        <v>107.65665001241855</v>
      </c>
      <c r="O712">
        <f t="shared" ca="1" si="755"/>
        <v>100.29859101523324</v>
      </c>
      <c r="P712">
        <f t="shared" ca="1" si="755"/>
        <v>101.27253938801184</v>
      </c>
      <c r="Q712">
        <f t="shared" ca="1" si="752"/>
        <v>112.15521856462883</v>
      </c>
      <c r="R712">
        <f t="shared" ca="1" si="753"/>
        <v>12.155218564628825</v>
      </c>
      <c r="S712">
        <f t="shared" ca="1" si="754"/>
        <v>11.562401559912272</v>
      </c>
    </row>
    <row r="713" spans="5:19" x14ac:dyDescent="0.75">
      <c r="E713">
        <v>708</v>
      </c>
      <c r="F713">
        <v>100</v>
      </c>
      <c r="G713">
        <f t="shared" ca="1" si="750"/>
        <v>102.65578813551382</v>
      </c>
      <c r="H713">
        <f t="shared" ca="1" si="750"/>
        <v>104.64408209205379</v>
      </c>
      <c r="I713">
        <f t="shared" ca="1" si="750"/>
        <v>112.15330101278691</v>
      </c>
      <c r="J713">
        <f t="shared" ca="1" si="750"/>
        <v>112.10341812475448</v>
      </c>
      <c r="K713">
        <f t="shared" ref="K713:P713" ca="1" si="756">J713*EXP(($C$4-0.5*$C$5^2)*$C$10+$C$5*SQRT($C$10)*NORMINV(RAND(),0,1))</f>
        <v>114.56556555861945</v>
      </c>
      <c r="L713">
        <f t="shared" ca="1" si="756"/>
        <v>124.54994378461728</v>
      </c>
      <c r="M713">
        <f t="shared" ca="1" si="756"/>
        <v>143.98083248665765</v>
      </c>
      <c r="N713">
        <f t="shared" ca="1" si="756"/>
        <v>144.25899051274098</v>
      </c>
      <c r="O713">
        <f t="shared" ca="1" si="756"/>
        <v>146.18248299287083</v>
      </c>
      <c r="P713">
        <f t="shared" ca="1" si="756"/>
        <v>143.93922092986756</v>
      </c>
      <c r="Q713">
        <f t="shared" ca="1" si="752"/>
        <v>122.63942051186208</v>
      </c>
      <c r="R713">
        <f t="shared" ca="1" si="753"/>
        <v>22.639420511862085</v>
      </c>
      <c r="S713">
        <f t="shared" ca="1" si="754"/>
        <v>21.53528294452823</v>
      </c>
    </row>
    <row r="714" spans="5:19" x14ac:dyDescent="0.75">
      <c r="E714">
        <v>709</v>
      </c>
      <c r="F714">
        <v>100</v>
      </c>
      <c r="G714">
        <f t="shared" ca="1" si="750"/>
        <v>93.708855726721623</v>
      </c>
      <c r="H714">
        <f t="shared" ca="1" si="750"/>
        <v>93.218108226393568</v>
      </c>
      <c r="I714">
        <f t="shared" ca="1" si="750"/>
        <v>92.330417254143157</v>
      </c>
      <c r="J714">
        <f t="shared" ca="1" si="750"/>
        <v>87.14846722513424</v>
      </c>
      <c r="K714">
        <f t="shared" ref="K714:P714" ca="1" si="757">J714*EXP(($C$4-0.5*$C$5^2)*$C$10+$C$5*SQRT($C$10)*NORMINV(RAND(),0,1))</f>
        <v>87.246559018797299</v>
      </c>
      <c r="L714">
        <f t="shared" ca="1" si="757"/>
        <v>92.874473217418242</v>
      </c>
      <c r="M714">
        <f t="shared" ca="1" si="757"/>
        <v>89.715165943661191</v>
      </c>
      <c r="N714">
        <f t="shared" ca="1" si="757"/>
        <v>82.247936042321982</v>
      </c>
      <c r="O714">
        <f t="shared" ca="1" si="757"/>
        <v>80.206989139211942</v>
      </c>
      <c r="P714">
        <f t="shared" ca="1" si="757"/>
        <v>76.740745070358827</v>
      </c>
      <c r="Q714">
        <f t="shared" ca="1" si="752"/>
        <v>88.676156078560183</v>
      </c>
      <c r="R714">
        <f t="shared" ca="1" si="753"/>
        <v>0</v>
      </c>
      <c r="S714">
        <f t="shared" ca="1" si="754"/>
        <v>0</v>
      </c>
    </row>
    <row r="715" spans="5:19" x14ac:dyDescent="0.75">
      <c r="E715">
        <v>710</v>
      </c>
      <c r="F715">
        <v>100</v>
      </c>
      <c r="G715">
        <f t="shared" ca="1" si="750"/>
        <v>100.29788507114665</v>
      </c>
      <c r="H715">
        <f t="shared" ca="1" si="750"/>
        <v>101.24164505955282</v>
      </c>
      <c r="I715">
        <f t="shared" ca="1" si="750"/>
        <v>103.17470628647045</v>
      </c>
      <c r="J715">
        <f t="shared" ca="1" si="750"/>
        <v>107.22305334069138</v>
      </c>
      <c r="K715">
        <f t="shared" ref="K715:P715" ca="1" si="758">J715*EXP(($C$4-0.5*$C$5^2)*$C$10+$C$5*SQRT($C$10)*NORMINV(RAND(),0,1))</f>
        <v>113.85495523490526</v>
      </c>
      <c r="L715">
        <f t="shared" ca="1" si="758"/>
        <v>120.39657981675197</v>
      </c>
      <c r="M715">
        <f t="shared" ca="1" si="758"/>
        <v>133.49981428418695</v>
      </c>
      <c r="N715">
        <f t="shared" ca="1" si="758"/>
        <v>126.31685006519371</v>
      </c>
      <c r="O715">
        <f t="shared" ca="1" si="758"/>
        <v>116.50379062994558</v>
      </c>
      <c r="P715">
        <f t="shared" ca="1" si="758"/>
        <v>107.43821247046183</v>
      </c>
      <c r="Q715">
        <f t="shared" ca="1" si="752"/>
        <v>111.81340838720971</v>
      </c>
      <c r="R715">
        <f t="shared" ca="1" si="753"/>
        <v>11.813408387209705</v>
      </c>
      <c r="S715">
        <f t="shared" ca="1" si="754"/>
        <v>11.237261661557396</v>
      </c>
    </row>
    <row r="716" spans="5:19" x14ac:dyDescent="0.75">
      <c r="E716">
        <v>711</v>
      </c>
      <c r="F716">
        <v>100</v>
      </c>
      <c r="G716">
        <f t="shared" ca="1" si="750"/>
        <v>112.10956091677653</v>
      </c>
      <c r="H716">
        <f t="shared" ca="1" si="750"/>
        <v>114.11399495276264</v>
      </c>
      <c r="I716">
        <f t="shared" ca="1" si="750"/>
        <v>120.96081367133225</v>
      </c>
      <c r="J716">
        <f t="shared" ca="1" si="750"/>
        <v>131.86732188244454</v>
      </c>
      <c r="K716">
        <f t="shared" ref="K716:P716" ca="1" si="759">J716*EXP(($C$4-0.5*$C$5^2)*$C$10+$C$5*SQRT($C$10)*NORMINV(RAND(),0,1))</f>
        <v>129.99122683226528</v>
      </c>
      <c r="L716">
        <f t="shared" ca="1" si="759"/>
        <v>123.15560009928731</v>
      </c>
      <c r="M716">
        <f t="shared" ca="1" si="759"/>
        <v>122.40891251348457</v>
      </c>
      <c r="N716">
        <f t="shared" ca="1" si="759"/>
        <v>128.41138745459477</v>
      </c>
      <c r="O716">
        <f t="shared" ca="1" si="759"/>
        <v>124.45272452383045</v>
      </c>
      <c r="P716">
        <f t="shared" ca="1" si="759"/>
        <v>125.61277344226487</v>
      </c>
      <c r="Q716">
        <f t="shared" ca="1" si="752"/>
        <v>121.18948329900394</v>
      </c>
      <c r="R716">
        <f t="shared" ca="1" si="753"/>
        <v>21.189483299003939</v>
      </c>
      <c r="S716">
        <f t="shared" ca="1" si="754"/>
        <v>20.156060003979007</v>
      </c>
    </row>
    <row r="717" spans="5:19" x14ac:dyDescent="0.75">
      <c r="E717">
        <v>712</v>
      </c>
      <c r="F717">
        <v>100</v>
      </c>
      <c r="G717">
        <f t="shared" ca="1" si="750"/>
        <v>96.495421315238758</v>
      </c>
      <c r="H717">
        <f t="shared" ca="1" si="750"/>
        <v>88.688887794862652</v>
      </c>
      <c r="I717">
        <f t="shared" ca="1" si="750"/>
        <v>83.51954634509265</v>
      </c>
      <c r="J717">
        <f t="shared" ca="1" si="750"/>
        <v>87.725279583197022</v>
      </c>
      <c r="K717">
        <f t="shared" ref="K717:P717" ca="1" si="760">J717*EXP(($C$4-0.5*$C$5^2)*$C$10+$C$5*SQRT($C$10)*NORMINV(RAND(),0,1))</f>
        <v>81.811222039326651</v>
      </c>
      <c r="L717">
        <f t="shared" ca="1" si="760"/>
        <v>77.895387292938594</v>
      </c>
      <c r="M717">
        <f t="shared" ca="1" si="760"/>
        <v>85.813417387117994</v>
      </c>
      <c r="N717">
        <f t="shared" ca="1" si="760"/>
        <v>87.159875219543196</v>
      </c>
      <c r="O717">
        <f t="shared" ca="1" si="760"/>
        <v>95.590401316144295</v>
      </c>
      <c r="P717">
        <f t="shared" ca="1" si="760"/>
        <v>98.120389989672915</v>
      </c>
      <c r="Q717">
        <f t="shared" ca="1" si="752"/>
        <v>89.34725711664862</v>
      </c>
      <c r="R717">
        <f t="shared" ca="1" si="753"/>
        <v>0</v>
      </c>
      <c r="S717">
        <f t="shared" ca="1" si="754"/>
        <v>0</v>
      </c>
    </row>
    <row r="718" spans="5:19" x14ac:dyDescent="0.75">
      <c r="E718">
        <v>713</v>
      </c>
      <c r="F718">
        <v>100</v>
      </c>
      <c r="G718">
        <f t="shared" ca="1" si="750"/>
        <v>103.8574493479109</v>
      </c>
      <c r="H718">
        <f t="shared" ca="1" si="750"/>
        <v>105.83909868344266</v>
      </c>
      <c r="I718">
        <f t="shared" ca="1" si="750"/>
        <v>102.91157398917051</v>
      </c>
      <c r="J718">
        <f t="shared" ca="1" si="750"/>
        <v>107.22967457229839</v>
      </c>
      <c r="K718">
        <f t="shared" ref="K718:P718" ca="1" si="761">J718*EXP(($C$4-0.5*$C$5^2)*$C$10+$C$5*SQRT($C$10)*NORMINV(RAND(),0,1))</f>
        <v>97.310177066219723</v>
      </c>
      <c r="L718">
        <f t="shared" ca="1" si="761"/>
        <v>92.280579668663279</v>
      </c>
      <c r="M718">
        <f t="shared" ca="1" si="761"/>
        <v>89.622298029904485</v>
      </c>
      <c r="N718">
        <f t="shared" ca="1" si="761"/>
        <v>93.002929085159678</v>
      </c>
      <c r="O718">
        <f t="shared" ca="1" si="761"/>
        <v>101.48315995026348</v>
      </c>
      <c r="P718">
        <f t="shared" ca="1" si="761"/>
        <v>127.8960652513907</v>
      </c>
      <c r="Q718">
        <f t="shared" ca="1" si="752"/>
        <v>101.94845505858399</v>
      </c>
      <c r="R718">
        <f t="shared" ca="1" si="753"/>
        <v>1.9484550585839884</v>
      </c>
      <c r="S718">
        <f t="shared" ca="1" si="754"/>
        <v>1.8534277840423523</v>
      </c>
    </row>
    <row r="719" spans="5:19" x14ac:dyDescent="0.75">
      <c r="E719">
        <v>714</v>
      </c>
      <c r="F719">
        <v>100</v>
      </c>
      <c r="G719">
        <f t="shared" ca="1" si="750"/>
        <v>96.216852509389611</v>
      </c>
      <c r="H719">
        <f t="shared" ca="1" si="750"/>
        <v>93.2618062272755</v>
      </c>
      <c r="I719">
        <f t="shared" ca="1" si="750"/>
        <v>96.037880373992778</v>
      </c>
      <c r="J719">
        <f t="shared" ca="1" si="750"/>
        <v>94.236374107568366</v>
      </c>
      <c r="K719">
        <f t="shared" ref="K719:P719" ca="1" si="762">J719*EXP(($C$4-0.5*$C$5^2)*$C$10+$C$5*SQRT($C$10)*NORMINV(RAND(),0,1))</f>
        <v>96.205540022443401</v>
      </c>
      <c r="L719">
        <f t="shared" ca="1" si="762"/>
        <v>106.64742959833082</v>
      </c>
      <c r="M719">
        <f t="shared" ca="1" si="762"/>
        <v>95.193476917605807</v>
      </c>
      <c r="N719">
        <f t="shared" ca="1" si="762"/>
        <v>89.187697713653748</v>
      </c>
      <c r="O719">
        <f t="shared" ca="1" si="762"/>
        <v>90.480364548324275</v>
      </c>
      <c r="P719">
        <f t="shared" ca="1" si="762"/>
        <v>102.59302588313223</v>
      </c>
      <c r="Q719">
        <f t="shared" ca="1" si="752"/>
        <v>96.369131627428771</v>
      </c>
      <c r="R719">
        <f t="shared" ca="1" si="753"/>
        <v>0</v>
      </c>
      <c r="S719">
        <f t="shared" ca="1" si="754"/>
        <v>0</v>
      </c>
    </row>
    <row r="720" spans="5:19" x14ac:dyDescent="0.75">
      <c r="E720">
        <v>715</v>
      </c>
      <c r="F720">
        <v>100</v>
      </c>
      <c r="G720">
        <f t="shared" ca="1" si="750"/>
        <v>103.38897471192772</v>
      </c>
      <c r="H720">
        <f t="shared" ca="1" si="750"/>
        <v>112.74536642848111</v>
      </c>
      <c r="I720">
        <f t="shared" ca="1" si="750"/>
        <v>114.11213958229942</v>
      </c>
      <c r="J720">
        <f t="shared" ca="1" si="750"/>
        <v>109.25657966747566</v>
      </c>
      <c r="K720">
        <f t="shared" ref="K720:P720" ca="1" si="763">J720*EXP(($C$4-0.5*$C$5^2)*$C$10+$C$5*SQRT($C$10)*NORMINV(RAND(),0,1))</f>
        <v>106.23235767549751</v>
      </c>
      <c r="L720">
        <f t="shared" ca="1" si="763"/>
        <v>107.09252100621049</v>
      </c>
      <c r="M720">
        <f t="shared" ca="1" si="763"/>
        <v>92.7511291320167</v>
      </c>
      <c r="N720">
        <f t="shared" ca="1" si="763"/>
        <v>93.52902437986954</v>
      </c>
      <c r="O720">
        <f t="shared" ca="1" si="763"/>
        <v>95.411200800393559</v>
      </c>
      <c r="P720">
        <f t="shared" ca="1" si="763"/>
        <v>94.102648903747195</v>
      </c>
      <c r="Q720">
        <f t="shared" ca="1" si="752"/>
        <v>102.60199475344717</v>
      </c>
      <c r="R720">
        <f t="shared" ca="1" si="753"/>
        <v>2.6019947534471726</v>
      </c>
      <c r="S720">
        <f t="shared" ca="1" si="754"/>
        <v>2.475093971875431</v>
      </c>
    </row>
    <row r="721" spans="5:19" x14ac:dyDescent="0.75">
      <c r="E721">
        <v>716</v>
      </c>
      <c r="F721">
        <v>100</v>
      </c>
      <c r="G721">
        <f t="shared" ca="1" si="750"/>
        <v>95.662672238230158</v>
      </c>
      <c r="H721">
        <f t="shared" ca="1" si="750"/>
        <v>97.35791911396791</v>
      </c>
      <c r="I721">
        <f t="shared" ca="1" si="750"/>
        <v>93.241292332138983</v>
      </c>
      <c r="J721">
        <f t="shared" ca="1" si="750"/>
        <v>91.173604072039467</v>
      </c>
      <c r="K721">
        <f t="shared" ref="K721:P721" ca="1" si="764">J721*EXP(($C$4-0.5*$C$5^2)*$C$10+$C$5*SQRT($C$10)*NORMINV(RAND(),0,1))</f>
        <v>94.797847850786312</v>
      </c>
      <c r="L721">
        <f t="shared" ca="1" si="764"/>
        <v>85.159852079227974</v>
      </c>
      <c r="M721">
        <f t="shared" ca="1" si="764"/>
        <v>84.904139911979428</v>
      </c>
      <c r="N721">
        <f t="shared" ca="1" si="764"/>
        <v>89.702560702111882</v>
      </c>
      <c r="O721">
        <f t="shared" ca="1" si="764"/>
        <v>87.174687186973031</v>
      </c>
      <c r="P721">
        <f t="shared" ca="1" si="764"/>
        <v>80.943665470951061</v>
      </c>
      <c r="Q721">
        <f t="shared" ca="1" si="752"/>
        <v>90.919840087127838</v>
      </c>
      <c r="R721">
        <f t="shared" ca="1" si="753"/>
        <v>0</v>
      </c>
      <c r="S721">
        <f t="shared" ca="1" si="754"/>
        <v>0</v>
      </c>
    </row>
    <row r="722" spans="5:19" x14ac:dyDescent="0.75">
      <c r="E722">
        <v>717</v>
      </c>
      <c r="F722">
        <v>100</v>
      </c>
      <c r="G722">
        <f t="shared" ca="1" si="750"/>
        <v>104.726306095811</v>
      </c>
      <c r="H722">
        <f t="shared" ca="1" si="750"/>
        <v>95.503757686422432</v>
      </c>
      <c r="I722">
        <f t="shared" ca="1" si="750"/>
        <v>95.075744119214974</v>
      </c>
      <c r="J722">
        <f t="shared" ca="1" si="750"/>
        <v>98.789580602224234</v>
      </c>
      <c r="K722">
        <f t="shared" ref="K722:P722" ca="1" si="765">J722*EXP(($C$4-0.5*$C$5^2)*$C$10+$C$5*SQRT($C$10)*NORMINV(RAND(),0,1))</f>
        <v>94.600788323762941</v>
      </c>
      <c r="L722">
        <f t="shared" ca="1" si="765"/>
        <v>82.441266038115856</v>
      </c>
      <c r="M722">
        <f t="shared" ca="1" si="765"/>
        <v>77.287949059609204</v>
      </c>
      <c r="N722">
        <f t="shared" ca="1" si="765"/>
        <v>80.489430753022219</v>
      </c>
      <c r="O722">
        <f t="shared" ca="1" si="765"/>
        <v>76.444860785606011</v>
      </c>
      <c r="P722">
        <f t="shared" ca="1" si="765"/>
        <v>75.773881310308781</v>
      </c>
      <c r="Q722">
        <f t="shared" ca="1" si="752"/>
        <v>89.193960434008872</v>
      </c>
      <c r="R722">
        <f t="shared" ca="1" si="753"/>
        <v>0</v>
      </c>
      <c r="S722">
        <f t="shared" ca="1" si="754"/>
        <v>0</v>
      </c>
    </row>
    <row r="723" spans="5:19" x14ac:dyDescent="0.75">
      <c r="E723">
        <v>718</v>
      </c>
      <c r="F723">
        <v>100</v>
      </c>
      <c r="G723">
        <f t="shared" ca="1" si="750"/>
        <v>94.62010305940143</v>
      </c>
      <c r="H723">
        <f t="shared" ca="1" si="750"/>
        <v>96.501298193231122</v>
      </c>
      <c r="I723">
        <f t="shared" ca="1" si="750"/>
        <v>92.399147700203471</v>
      </c>
      <c r="J723">
        <f t="shared" ca="1" si="750"/>
        <v>90.633635040696092</v>
      </c>
      <c r="K723">
        <f t="shared" ref="K723:P723" ca="1" si="766">J723*EXP(($C$4-0.5*$C$5^2)*$C$10+$C$5*SQRT($C$10)*NORMINV(RAND(),0,1))</f>
        <v>97.139578946978403</v>
      </c>
      <c r="L723">
        <f t="shared" ca="1" si="766"/>
        <v>92.296493247777761</v>
      </c>
      <c r="M723">
        <f t="shared" ca="1" si="766"/>
        <v>89.315912555335117</v>
      </c>
      <c r="N723">
        <f t="shared" ca="1" si="766"/>
        <v>84.995331445754744</v>
      </c>
      <c r="O723">
        <f t="shared" ca="1" si="766"/>
        <v>78.537418622761379</v>
      </c>
      <c r="P723">
        <f t="shared" ca="1" si="766"/>
        <v>73.658362275363388</v>
      </c>
      <c r="Q723">
        <f t="shared" ca="1" si="752"/>
        <v>90.008843735227529</v>
      </c>
      <c r="R723">
        <f t="shared" ca="1" si="753"/>
        <v>0</v>
      </c>
      <c r="S723">
        <f t="shared" ca="1" si="754"/>
        <v>0</v>
      </c>
    </row>
    <row r="724" spans="5:19" x14ac:dyDescent="0.75">
      <c r="E724">
        <v>719</v>
      </c>
      <c r="F724">
        <v>100</v>
      </c>
      <c r="G724">
        <f t="shared" ca="1" si="750"/>
        <v>98.668012700385461</v>
      </c>
      <c r="H724">
        <f t="shared" ca="1" si="750"/>
        <v>90.247477536872054</v>
      </c>
      <c r="I724">
        <f t="shared" ca="1" si="750"/>
        <v>85.17439353478774</v>
      </c>
      <c r="J724">
        <f t="shared" ca="1" si="750"/>
        <v>90.831621439023237</v>
      </c>
      <c r="K724">
        <f t="shared" ref="K724:P724" ca="1" si="767">J724*EXP(($C$4-0.5*$C$5^2)*$C$10+$C$5*SQRT($C$10)*NORMINV(RAND(),0,1))</f>
        <v>81.727534944984214</v>
      </c>
      <c r="L724">
        <f t="shared" ca="1" si="767"/>
        <v>74.495774278057581</v>
      </c>
      <c r="M724">
        <f t="shared" ca="1" si="767"/>
        <v>71.206428108660759</v>
      </c>
      <c r="N724">
        <f t="shared" ca="1" si="767"/>
        <v>72.270859589063093</v>
      </c>
      <c r="O724">
        <f t="shared" ca="1" si="767"/>
        <v>71.752827891825618</v>
      </c>
      <c r="P724">
        <f t="shared" ca="1" si="767"/>
        <v>76.542955014229975</v>
      </c>
      <c r="Q724">
        <f t="shared" ca="1" si="752"/>
        <v>82.992535003444516</v>
      </c>
      <c r="R724">
        <f t="shared" ca="1" si="753"/>
        <v>0</v>
      </c>
      <c r="S724">
        <f t="shared" ca="1" si="754"/>
        <v>0</v>
      </c>
    </row>
    <row r="725" spans="5:19" x14ac:dyDescent="0.75">
      <c r="E725">
        <v>720</v>
      </c>
      <c r="F725">
        <v>100</v>
      </c>
      <c r="G725">
        <f t="shared" ca="1" si="750"/>
        <v>93.649657682462333</v>
      </c>
      <c r="H725">
        <f t="shared" ca="1" si="750"/>
        <v>99.453144693704445</v>
      </c>
      <c r="I725">
        <f t="shared" ca="1" si="750"/>
        <v>89.856299996579224</v>
      </c>
      <c r="J725">
        <f t="shared" ca="1" si="750"/>
        <v>88.869045992192454</v>
      </c>
      <c r="K725">
        <f t="shared" ref="K725:P725" ca="1" si="768">J725*EXP(($C$4-0.5*$C$5^2)*$C$10+$C$5*SQRT($C$10)*NORMINV(RAND(),0,1))</f>
        <v>98.909291593087943</v>
      </c>
      <c r="L725">
        <f t="shared" ca="1" si="768"/>
        <v>90.00336473807306</v>
      </c>
      <c r="M725">
        <f t="shared" ca="1" si="768"/>
        <v>95.664106155349899</v>
      </c>
      <c r="N725">
        <f t="shared" ca="1" si="768"/>
        <v>91.70369925483466</v>
      </c>
      <c r="O725">
        <f t="shared" ca="1" si="768"/>
        <v>91.564349259667964</v>
      </c>
      <c r="P725">
        <f t="shared" ca="1" si="768"/>
        <v>85.338855933086677</v>
      </c>
      <c r="Q725">
        <f t="shared" ca="1" si="752"/>
        <v>93.182892299912609</v>
      </c>
      <c r="R725">
        <f t="shared" ca="1" si="753"/>
        <v>0</v>
      </c>
      <c r="S725">
        <f t="shared" ca="1" si="754"/>
        <v>0</v>
      </c>
    </row>
    <row r="726" spans="5:19" x14ac:dyDescent="0.75">
      <c r="E726">
        <v>721</v>
      </c>
      <c r="F726">
        <v>100</v>
      </c>
      <c r="G726">
        <f t="shared" ca="1" si="750"/>
        <v>94.719821874120157</v>
      </c>
      <c r="H726">
        <f t="shared" ca="1" si="750"/>
        <v>97.744141530830788</v>
      </c>
      <c r="I726">
        <f t="shared" ca="1" si="750"/>
        <v>90.649369191334344</v>
      </c>
      <c r="J726">
        <f t="shared" ca="1" si="750"/>
        <v>79.686709890969425</v>
      </c>
      <c r="K726">
        <f t="shared" ref="K726:P726" ca="1" si="769">J726*EXP(($C$4-0.5*$C$5^2)*$C$10+$C$5*SQRT($C$10)*NORMINV(RAND(),0,1))</f>
        <v>72.891902646215996</v>
      </c>
      <c r="L726">
        <f t="shared" ca="1" si="769"/>
        <v>71.721243385719191</v>
      </c>
      <c r="M726">
        <f t="shared" ca="1" si="769"/>
        <v>75.816471569222173</v>
      </c>
      <c r="N726">
        <f t="shared" ca="1" si="769"/>
        <v>72.379673213908887</v>
      </c>
      <c r="O726">
        <f t="shared" ca="1" si="769"/>
        <v>71.045835328578107</v>
      </c>
      <c r="P726">
        <f t="shared" ca="1" si="769"/>
        <v>73.703920464681801</v>
      </c>
      <c r="Q726">
        <f t="shared" ca="1" si="752"/>
        <v>81.850826281416431</v>
      </c>
      <c r="R726">
        <f t="shared" ca="1" si="753"/>
        <v>0</v>
      </c>
      <c r="S726">
        <f t="shared" ca="1" si="754"/>
        <v>0</v>
      </c>
    </row>
    <row r="727" spans="5:19" x14ac:dyDescent="0.75">
      <c r="E727">
        <v>722</v>
      </c>
      <c r="F727">
        <v>100</v>
      </c>
      <c r="G727">
        <f t="shared" ca="1" si="750"/>
        <v>110.48079634425036</v>
      </c>
      <c r="H727">
        <f t="shared" ca="1" si="750"/>
        <v>108.44510723274668</v>
      </c>
      <c r="I727">
        <f t="shared" ca="1" si="750"/>
        <v>109.61864430934212</v>
      </c>
      <c r="J727">
        <f t="shared" ca="1" si="750"/>
        <v>106.92319106072154</v>
      </c>
      <c r="K727">
        <f t="shared" ref="K727:P727" ca="1" si="770">J727*EXP(($C$4-0.5*$C$5^2)*$C$10+$C$5*SQRT($C$10)*NORMINV(RAND(),0,1))</f>
        <v>96.745407141622564</v>
      </c>
      <c r="L727">
        <f t="shared" ca="1" si="770"/>
        <v>99.116798179863792</v>
      </c>
      <c r="M727">
        <f t="shared" ca="1" si="770"/>
        <v>95.771891085629932</v>
      </c>
      <c r="N727">
        <f t="shared" ca="1" si="770"/>
        <v>81.766136538039873</v>
      </c>
      <c r="O727">
        <f t="shared" ca="1" si="770"/>
        <v>89.320017676630187</v>
      </c>
      <c r="P727">
        <f t="shared" ca="1" si="770"/>
        <v>92.842594046029305</v>
      </c>
      <c r="Q727">
        <f t="shared" ca="1" si="752"/>
        <v>99.184598510443308</v>
      </c>
      <c r="R727">
        <f t="shared" ca="1" si="753"/>
        <v>0</v>
      </c>
      <c r="S727">
        <f t="shared" ca="1" si="754"/>
        <v>0</v>
      </c>
    </row>
    <row r="728" spans="5:19" x14ac:dyDescent="0.75">
      <c r="E728">
        <v>723</v>
      </c>
      <c r="F728">
        <v>100</v>
      </c>
      <c r="G728">
        <f t="shared" ca="1" si="750"/>
        <v>102.65388454006603</v>
      </c>
      <c r="H728">
        <f t="shared" ca="1" si="750"/>
        <v>115.89552134697261</v>
      </c>
      <c r="I728">
        <f t="shared" ca="1" si="750"/>
        <v>112.28174780223073</v>
      </c>
      <c r="J728">
        <f t="shared" ca="1" si="750"/>
        <v>112.13915629388241</v>
      </c>
      <c r="K728">
        <f t="shared" ref="K728:P728" ca="1" si="771">J728*EXP(($C$4-0.5*$C$5^2)*$C$10+$C$5*SQRT($C$10)*NORMINV(RAND(),0,1))</f>
        <v>103.73570924664062</v>
      </c>
      <c r="L728">
        <f t="shared" ca="1" si="771"/>
        <v>92.826740819031016</v>
      </c>
      <c r="M728">
        <f t="shared" ca="1" si="771"/>
        <v>94.975599139911751</v>
      </c>
      <c r="N728">
        <f t="shared" ca="1" si="771"/>
        <v>104.02965841086737</v>
      </c>
      <c r="O728">
        <f t="shared" ca="1" si="771"/>
        <v>100.09437979312702</v>
      </c>
      <c r="P728">
        <f t="shared" ca="1" si="771"/>
        <v>94.397095349828291</v>
      </c>
      <c r="Q728">
        <f t="shared" ca="1" si="752"/>
        <v>103.00268115841436</v>
      </c>
      <c r="R728">
        <f t="shared" ca="1" si="753"/>
        <v>3.0026811584143616</v>
      </c>
      <c r="S728">
        <f t="shared" ca="1" si="754"/>
        <v>2.8562386702776306</v>
      </c>
    </row>
    <row r="729" spans="5:19" x14ac:dyDescent="0.75">
      <c r="E729">
        <v>724</v>
      </c>
      <c r="F729">
        <v>100</v>
      </c>
      <c r="G729">
        <f t="shared" ca="1" si="750"/>
        <v>101.67145144796525</v>
      </c>
      <c r="H729">
        <f t="shared" ca="1" si="750"/>
        <v>109.51761788997682</v>
      </c>
      <c r="I729">
        <f t="shared" ca="1" si="750"/>
        <v>115.15456204818426</v>
      </c>
      <c r="J729">
        <f t="shared" ca="1" si="750"/>
        <v>111.13749850134568</v>
      </c>
      <c r="K729">
        <f t="shared" ref="K729:P729" ca="1" si="772">J729*EXP(($C$4-0.5*$C$5^2)*$C$10+$C$5*SQRT($C$10)*NORMINV(RAND(),0,1))</f>
        <v>116.93569241178463</v>
      </c>
      <c r="L729">
        <f t="shared" ca="1" si="772"/>
        <v>111.77887162215227</v>
      </c>
      <c r="M729">
        <f t="shared" ca="1" si="772"/>
        <v>110.91149771415954</v>
      </c>
      <c r="N729">
        <f t="shared" ca="1" si="772"/>
        <v>106.32358712625518</v>
      </c>
      <c r="O729">
        <f t="shared" ca="1" si="772"/>
        <v>102.99533844743725</v>
      </c>
      <c r="P729">
        <f t="shared" ca="1" si="772"/>
        <v>106.08931426975164</v>
      </c>
      <c r="Q729">
        <f t="shared" ca="1" si="752"/>
        <v>108.41049377081931</v>
      </c>
      <c r="R729">
        <f t="shared" ca="1" si="753"/>
        <v>8.4104937708193148</v>
      </c>
      <c r="S729">
        <f t="shared" ca="1" si="754"/>
        <v>8.0003091493832965</v>
      </c>
    </row>
    <row r="730" spans="5:19" x14ac:dyDescent="0.75">
      <c r="E730">
        <v>725</v>
      </c>
      <c r="F730">
        <v>100</v>
      </c>
      <c r="G730">
        <f t="shared" ca="1" si="750"/>
        <v>99.217058729196083</v>
      </c>
      <c r="H730">
        <f t="shared" ca="1" si="750"/>
        <v>93.807041731467237</v>
      </c>
      <c r="I730">
        <f t="shared" ca="1" si="750"/>
        <v>103.60124655885919</v>
      </c>
      <c r="J730">
        <f t="shared" ca="1" si="750"/>
        <v>102.65004868058902</v>
      </c>
      <c r="K730">
        <f t="shared" ref="K730:P730" ca="1" si="773">J730*EXP(($C$4-0.5*$C$5^2)*$C$10+$C$5*SQRT($C$10)*NORMINV(RAND(),0,1))</f>
        <v>93.071645681779572</v>
      </c>
      <c r="L730">
        <f t="shared" ca="1" si="773"/>
        <v>87.605839464352897</v>
      </c>
      <c r="M730">
        <f t="shared" ca="1" si="773"/>
        <v>88.106425805401543</v>
      </c>
      <c r="N730">
        <f t="shared" ca="1" si="773"/>
        <v>91.574776882801501</v>
      </c>
      <c r="O730">
        <f t="shared" ca="1" si="773"/>
        <v>94.820926660547343</v>
      </c>
      <c r="P730">
        <f t="shared" ca="1" si="773"/>
        <v>94.274414631089755</v>
      </c>
      <c r="Q730">
        <f t="shared" ca="1" si="752"/>
        <v>95.339038620553097</v>
      </c>
      <c r="R730">
        <f t="shared" ca="1" si="753"/>
        <v>0</v>
      </c>
      <c r="S730">
        <f t="shared" ca="1" si="754"/>
        <v>0</v>
      </c>
    </row>
    <row r="731" spans="5:19" x14ac:dyDescent="0.75">
      <c r="E731">
        <v>726</v>
      </c>
      <c r="F731">
        <v>100</v>
      </c>
      <c r="G731">
        <f t="shared" ca="1" si="750"/>
        <v>102.27005190343607</v>
      </c>
      <c r="H731">
        <f t="shared" ca="1" si="750"/>
        <v>96.943484115843006</v>
      </c>
      <c r="I731">
        <f t="shared" ca="1" si="750"/>
        <v>88.376130087104215</v>
      </c>
      <c r="J731">
        <f t="shared" ca="1" si="750"/>
        <v>87.674160498938051</v>
      </c>
      <c r="K731">
        <f t="shared" ref="K731:P731" ca="1" si="774">J731*EXP(($C$4-0.5*$C$5^2)*$C$10+$C$5*SQRT($C$10)*NORMINV(RAND(),0,1))</f>
        <v>85.088102158857154</v>
      </c>
      <c r="L731">
        <f t="shared" ca="1" si="774"/>
        <v>91.8576763978282</v>
      </c>
      <c r="M731">
        <f t="shared" ca="1" si="774"/>
        <v>99.904264111874753</v>
      </c>
      <c r="N731">
        <f t="shared" ca="1" si="774"/>
        <v>97.286594914773985</v>
      </c>
      <c r="O731">
        <f t="shared" ca="1" si="774"/>
        <v>99.985179072560342</v>
      </c>
      <c r="P731">
        <f t="shared" ca="1" si="774"/>
        <v>103.42037736866688</v>
      </c>
      <c r="Q731">
        <f t="shared" ca="1" si="752"/>
        <v>95.709638239080235</v>
      </c>
      <c r="R731">
        <f t="shared" ca="1" si="753"/>
        <v>0</v>
      </c>
      <c r="S731">
        <f t="shared" ca="1" si="754"/>
        <v>0</v>
      </c>
    </row>
    <row r="732" spans="5:19" x14ac:dyDescent="0.75">
      <c r="E732">
        <v>727</v>
      </c>
      <c r="F732">
        <v>100</v>
      </c>
      <c r="G732">
        <f t="shared" ca="1" si="750"/>
        <v>102.98579976085134</v>
      </c>
      <c r="H732">
        <f t="shared" ca="1" si="750"/>
        <v>105.26116863895086</v>
      </c>
      <c r="I732">
        <f t="shared" ca="1" si="750"/>
        <v>104.5222955321251</v>
      </c>
      <c r="J732">
        <f t="shared" ca="1" si="750"/>
        <v>103.30122305857356</v>
      </c>
      <c r="K732">
        <f t="shared" ref="K732:P732" ca="1" si="775">J732*EXP(($C$4-0.5*$C$5^2)*$C$10+$C$5*SQRT($C$10)*NORMINV(RAND(),0,1))</f>
        <v>111.29123821680102</v>
      </c>
      <c r="L732">
        <f t="shared" ca="1" si="775"/>
        <v>113.83285418718555</v>
      </c>
      <c r="M732">
        <f t="shared" ca="1" si="775"/>
        <v>119.24663971072897</v>
      </c>
      <c r="N732">
        <f t="shared" ca="1" si="775"/>
        <v>126.38969859537399</v>
      </c>
      <c r="O732">
        <f t="shared" ca="1" si="775"/>
        <v>133.86789934931943</v>
      </c>
      <c r="P732">
        <f t="shared" ca="1" si="775"/>
        <v>138.81141352299585</v>
      </c>
      <c r="Q732">
        <f t="shared" ca="1" si="752"/>
        <v>114.50093005208232</v>
      </c>
      <c r="R732">
        <f t="shared" ca="1" si="753"/>
        <v>14.500930052082325</v>
      </c>
      <c r="S732">
        <f t="shared" ca="1" si="754"/>
        <v>13.793711348167378</v>
      </c>
    </row>
    <row r="733" spans="5:19" x14ac:dyDescent="0.75">
      <c r="E733">
        <v>728</v>
      </c>
      <c r="F733">
        <v>100</v>
      </c>
      <c r="G733">
        <f t="shared" ca="1" si="750"/>
        <v>98.412779285591427</v>
      </c>
      <c r="H733">
        <f t="shared" ca="1" si="750"/>
        <v>98.423631583598606</v>
      </c>
      <c r="I733">
        <f t="shared" ca="1" si="750"/>
        <v>101.8838848178826</v>
      </c>
      <c r="J733">
        <f t="shared" ca="1" si="750"/>
        <v>91.516329522817927</v>
      </c>
      <c r="K733">
        <f t="shared" ref="K733:P733" ca="1" si="776">J733*EXP(($C$4-0.5*$C$5^2)*$C$10+$C$5*SQRT($C$10)*NORMINV(RAND(),0,1))</f>
        <v>99.362965105505921</v>
      </c>
      <c r="L733">
        <f t="shared" ca="1" si="776"/>
        <v>104.70841232326615</v>
      </c>
      <c r="M733">
        <f t="shared" ca="1" si="776"/>
        <v>104.89691062425702</v>
      </c>
      <c r="N733">
        <f t="shared" ca="1" si="776"/>
        <v>106.97395902223832</v>
      </c>
      <c r="O733">
        <f t="shared" ca="1" si="776"/>
        <v>98.870671417381558</v>
      </c>
      <c r="P733">
        <f t="shared" ca="1" si="776"/>
        <v>100.85829466698469</v>
      </c>
      <c r="Q733">
        <f t="shared" ca="1" si="752"/>
        <v>100.53707621541129</v>
      </c>
      <c r="R733">
        <f t="shared" ca="1" si="753"/>
        <v>0.53707621541128958</v>
      </c>
      <c r="S733">
        <f t="shared" ca="1" si="754"/>
        <v>0.51088269929870245</v>
      </c>
    </row>
    <row r="734" spans="5:19" x14ac:dyDescent="0.75">
      <c r="E734">
        <v>729</v>
      </c>
      <c r="F734">
        <v>100</v>
      </c>
      <c r="G734">
        <f t="shared" ca="1" si="750"/>
        <v>111.47487040325188</v>
      </c>
      <c r="H734">
        <f t="shared" ca="1" si="750"/>
        <v>120.65166938092381</v>
      </c>
      <c r="I734">
        <f t="shared" ca="1" si="750"/>
        <v>134.82156252526133</v>
      </c>
      <c r="J734">
        <f t="shared" ca="1" si="750"/>
        <v>120.35858318119637</v>
      </c>
      <c r="K734">
        <f t="shared" ref="K734:P734" ca="1" si="777">J734*EXP(($C$4-0.5*$C$5^2)*$C$10+$C$5*SQRT($C$10)*NORMINV(RAND(),0,1))</f>
        <v>125.05298549121575</v>
      </c>
      <c r="L734">
        <f t="shared" ca="1" si="777"/>
        <v>127.32053157509989</v>
      </c>
      <c r="M734">
        <f t="shared" ca="1" si="777"/>
        <v>142.61688230333039</v>
      </c>
      <c r="N734">
        <f t="shared" ca="1" si="777"/>
        <v>146.50241147967418</v>
      </c>
      <c r="O734">
        <f t="shared" ca="1" si="777"/>
        <v>143.55101454069333</v>
      </c>
      <c r="P734">
        <f t="shared" ca="1" si="777"/>
        <v>147.5432443975013</v>
      </c>
      <c r="Q734">
        <f t="shared" ca="1" si="752"/>
        <v>129.08125047983165</v>
      </c>
      <c r="R734">
        <f t="shared" ca="1" si="753"/>
        <v>29.081250479831652</v>
      </c>
      <c r="S734">
        <f t="shared" ca="1" si="754"/>
        <v>27.662941157691375</v>
      </c>
    </row>
    <row r="735" spans="5:19" x14ac:dyDescent="0.75">
      <c r="E735">
        <v>730</v>
      </c>
      <c r="F735">
        <v>100</v>
      </c>
      <c r="G735">
        <f t="shared" ca="1" si="750"/>
        <v>98.749256931362311</v>
      </c>
      <c r="H735">
        <f t="shared" ca="1" si="750"/>
        <v>100.97965290178854</v>
      </c>
      <c r="I735">
        <f t="shared" ca="1" si="750"/>
        <v>106.00894986564508</v>
      </c>
      <c r="J735">
        <f t="shared" ca="1" si="750"/>
        <v>107.69866621039391</v>
      </c>
      <c r="K735">
        <f t="shared" ref="K735:P735" ca="1" si="778">J735*EXP(($C$4-0.5*$C$5^2)*$C$10+$C$5*SQRT($C$10)*NORMINV(RAND(),0,1))</f>
        <v>108.16391562042178</v>
      </c>
      <c r="L735">
        <f t="shared" ca="1" si="778"/>
        <v>100.84367135939944</v>
      </c>
      <c r="M735">
        <f t="shared" ca="1" si="778"/>
        <v>99.443296257853049</v>
      </c>
      <c r="N735">
        <f t="shared" ca="1" si="778"/>
        <v>105.82410261689158</v>
      </c>
      <c r="O735">
        <f t="shared" ca="1" si="778"/>
        <v>98.489977647377074</v>
      </c>
      <c r="P735">
        <f t="shared" ca="1" si="778"/>
        <v>93.597871488136988</v>
      </c>
      <c r="Q735">
        <f t="shared" ca="1" si="752"/>
        <v>101.79994189993361</v>
      </c>
      <c r="R735">
        <f t="shared" ca="1" si="753"/>
        <v>1.7999418999336143</v>
      </c>
      <c r="S735">
        <f t="shared" ca="1" si="754"/>
        <v>1.7121576976085737</v>
      </c>
    </row>
    <row r="736" spans="5:19" x14ac:dyDescent="0.75">
      <c r="E736">
        <v>731</v>
      </c>
      <c r="F736">
        <v>100</v>
      </c>
      <c r="G736">
        <f t="shared" ca="1" si="750"/>
        <v>113.05631966599381</v>
      </c>
      <c r="H736">
        <f t="shared" ca="1" si="750"/>
        <v>121.87947472661509</v>
      </c>
      <c r="I736">
        <f t="shared" ca="1" si="750"/>
        <v>119.28958823727704</v>
      </c>
      <c r="J736">
        <f t="shared" ca="1" si="750"/>
        <v>127.44450591703801</v>
      </c>
      <c r="K736">
        <f t="shared" ref="K736:P736" ca="1" si="779">J736*EXP(($C$4-0.5*$C$5^2)*$C$10+$C$5*SQRT($C$10)*NORMINV(RAND(),0,1))</f>
        <v>139.19804983252004</v>
      </c>
      <c r="L736">
        <f t="shared" ca="1" si="779"/>
        <v>144.94549862964405</v>
      </c>
      <c r="M736">
        <f t="shared" ca="1" si="779"/>
        <v>138.08810953239714</v>
      </c>
      <c r="N736">
        <f t="shared" ca="1" si="779"/>
        <v>135.65301883729003</v>
      </c>
      <c r="O736">
        <f t="shared" ca="1" si="779"/>
        <v>131.9011530797892</v>
      </c>
      <c r="P736">
        <f t="shared" ca="1" si="779"/>
        <v>126.73610405415801</v>
      </c>
      <c r="Q736">
        <f t="shared" ca="1" si="752"/>
        <v>127.1083475011566</v>
      </c>
      <c r="R736">
        <f t="shared" ca="1" si="753"/>
        <v>27.108347501156601</v>
      </c>
      <c r="S736">
        <f t="shared" ca="1" si="754"/>
        <v>25.786257792690563</v>
      </c>
    </row>
    <row r="737" spans="5:19" x14ac:dyDescent="0.75">
      <c r="E737">
        <v>732</v>
      </c>
      <c r="F737">
        <v>100</v>
      </c>
      <c r="G737">
        <f t="shared" ca="1" si="750"/>
        <v>108.21001785516025</v>
      </c>
      <c r="H737">
        <f t="shared" ca="1" si="750"/>
        <v>118.00438625903396</v>
      </c>
      <c r="I737">
        <f t="shared" ca="1" si="750"/>
        <v>130.45954867222875</v>
      </c>
      <c r="J737">
        <f t="shared" ca="1" si="750"/>
        <v>141.69664575934812</v>
      </c>
      <c r="K737">
        <f t="shared" ref="K737:P737" ca="1" si="780">J737*EXP(($C$4-0.5*$C$5^2)*$C$10+$C$5*SQRT($C$10)*NORMINV(RAND(),0,1))</f>
        <v>151.07802917589746</v>
      </c>
      <c r="L737">
        <f t="shared" ca="1" si="780"/>
        <v>154.75398300452514</v>
      </c>
      <c r="M737">
        <f t="shared" ca="1" si="780"/>
        <v>164.40084266168611</v>
      </c>
      <c r="N737">
        <f t="shared" ca="1" si="780"/>
        <v>166.72289204532825</v>
      </c>
      <c r="O737">
        <f t="shared" ca="1" si="780"/>
        <v>162.24584821130864</v>
      </c>
      <c r="P737">
        <f t="shared" ca="1" si="780"/>
        <v>174.50990280043274</v>
      </c>
      <c r="Q737">
        <f t="shared" ca="1" si="752"/>
        <v>142.9165542222681</v>
      </c>
      <c r="R737">
        <f t="shared" ca="1" si="753"/>
        <v>42.916554222268104</v>
      </c>
      <c r="S737">
        <f t="shared" ca="1" si="754"/>
        <v>40.823489174401779</v>
      </c>
    </row>
    <row r="738" spans="5:19" x14ac:dyDescent="0.75">
      <c r="E738">
        <v>733</v>
      </c>
      <c r="F738">
        <v>100</v>
      </c>
      <c r="G738">
        <f t="shared" ca="1" si="750"/>
        <v>106.26202546045009</v>
      </c>
      <c r="H738">
        <f t="shared" ca="1" si="750"/>
        <v>110.78523045193597</v>
      </c>
      <c r="I738">
        <f t="shared" ca="1" si="750"/>
        <v>117.15775171670312</v>
      </c>
      <c r="J738">
        <f t="shared" ca="1" si="750"/>
        <v>103.35073223389206</v>
      </c>
      <c r="K738">
        <f t="shared" ref="K738:P738" ca="1" si="781">J738*EXP(($C$4-0.5*$C$5^2)*$C$10+$C$5*SQRT($C$10)*NORMINV(RAND(),0,1))</f>
        <v>99.503932425788705</v>
      </c>
      <c r="L738">
        <f t="shared" ca="1" si="781"/>
        <v>92.68950614412644</v>
      </c>
      <c r="M738">
        <f t="shared" ca="1" si="781"/>
        <v>86.523729163147934</v>
      </c>
      <c r="N738">
        <f t="shared" ca="1" si="781"/>
        <v>82.39087676666027</v>
      </c>
      <c r="O738">
        <f t="shared" ca="1" si="781"/>
        <v>80.23051548212257</v>
      </c>
      <c r="P738">
        <f t="shared" ca="1" si="781"/>
        <v>84.511891388298466</v>
      </c>
      <c r="Q738">
        <f t="shared" ca="1" si="752"/>
        <v>96.673290112102322</v>
      </c>
      <c r="R738">
        <f t="shared" ca="1" si="753"/>
        <v>0</v>
      </c>
      <c r="S738">
        <f t="shared" ca="1" si="754"/>
        <v>0</v>
      </c>
    </row>
    <row r="739" spans="5:19" x14ac:dyDescent="0.75">
      <c r="E739">
        <v>734</v>
      </c>
      <c r="F739">
        <v>100</v>
      </c>
      <c r="G739">
        <f t="shared" ca="1" si="750"/>
        <v>101.98613126987732</v>
      </c>
      <c r="H739">
        <f t="shared" ca="1" si="750"/>
        <v>90.880579947167092</v>
      </c>
      <c r="I739">
        <f t="shared" ca="1" si="750"/>
        <v>111.19326998784467</v>
      </c>
      <c r="J739">
        <f t="shared" ca="1" si="750"/>
        <v>107.32939010570657</v>
      </c>
      <c r="K739">
        <f t="shared" ref="K739:P739" ca="1" si="782">J739*EXP(($C$4-0.5*$C$5^2)*$C$10+$C$5*SQRT($C$10)*NORMINV(RAND(),0,1))</f>
        <v>104.27894625880846</v>
      </c>
      <c r="L739">
        <f t="shared" ca="1" si="782"/>
        <v>98.143054758880481</v>
      </c>
      <c r="M739">
        <f t="shared" ca="1" si="782"/>
        <v>109.83040748373038</v>
      </c>
      <c r="N739">
        <f t="shared" ca="1" si="782"/>
        <v>111.85387986982475</v>
      </c>
      <c r="O739">
        <f t="shared" ca="1" si="782"/>
        <v>104.032666176699</v>
      </c>
      <c r="P739">
        <f t="shared" ca="1" si="782"/>
        <v>102.60441355713515</v>
      </c>
      <c r="Q739">
        <f t="shared" ca="1" si="752"/>
        <v>103.83024903778852</v>
      </c>
      <c r="R739">
        <f t="shared" ca="1" si="753"/>
        <v>3.8302490377885192</v>
      </c>
      <c r="S739">
        <f t="shared" ca="1" si="754"/>
        <v>3.6434455879099867</v>
      </c>
    </row>
    <row r="740" spans="5:19" x14ac:dyDescent="0.75">
      <c r="E740">
        <v>735</v>
      </c>
      <c r="F740">
        <v>100</v>
      </c>
      <c r="G740">
        <f t="shared" ca="1" si="750"/>
        <v>98.368748091700951</v>
      </c>
      <c r="H740">
        <f t="shared" ca="1" si="750"/>
        <v>99.768612537511217</v>
      </c>
      <c r="I740">
        <f t="shared" ca="1" si="750"/>
        <v>98.569843234900034</v>
      </c>
      <c r="J740">
        <f t="shared" ca="1" si="750"/>
        <v>94.738331432752815</v>
      </c>
      <c r="K740">
        <f t="shared" ref="K740:P740" ca="1" si="783">J740*EXP(($C$4-0.5*$C$5^2)*$C$10+$C$5*SQRT($C$10)*NORMINV(RAND(),0,1))</f>
        <v>102.53225326148734</v>
      </c>
      <c r="L740">
        <f t="shared" ca="1" si="783"/>
        <v>92.648078526518233</v>
      </c>
      <c r="M740">
        <f t="shared" ca="1" si="783"/>
        <v>94.288343460450136</v>
      </c>
      <c r="N740">
        <f t="shared" ca="1" si="783"/>
        <v>92.394393382997393</v>
      </c>
      <c r="O740">
        <f t="shared" ca="1" si="783"/>
        <v>90.079013853407375</v>
      </c>
      <c r="P740">
        <f t="shared" ca="1" si="783"/>
        <v>96.43845210266602</v>
      </c>
      <c r="Q740">
        <f t="shared" ca="1" si="752"/>
        <v>96.347824534944678</v>
      </c>
      <c r="R740">
        <f t="shared" ca="1" si="753"/>
        <v>0</v>
      </c>
      <c r="S740">
        <f t="shared" ca="1" si="754"/>
        <v>0</v>
      </c>
    </row>
    <row r="741" spans="5:19" x14ac:dyDescent="0.75">
      <c r="E741">
        <v>736</v>
      </c>
      <c r="F741">
        <v>100</v>
      </c>
      <c r="G741">
        <f t="shared" ca="1" si="750"/>
        <v>92.107072021125418</v>
      </c>
      <c r="H741">
        <f t="shared" ca="1" si="750"/>
        <v>92.609675722178281</v>
      </c>
      <c r="I741">
        <f t="shared" ca="1" si="750"/>
        <v>88.611772557658171</v>
      </c>
      <c r="J741">
        <f t="shared" ca="1" si="750"/>
        <v>92.531395666730731</v>
      </c>
      <c r="K741">
        <f t="shared" ref="K741:P741" ca="1" si="784">J741*EXP(($C$4-0.5*$C$5^2)*$C$10+$C$5*SQRT($C$10)*NORMINV(RAND(),0,1))</f>
        <v>89.211510425533973</v>
      </c>
      <c r="L741">
        <f t="shared" ca="1" si="784"/>
        <v>97.78161676682042</v>
      </c>
      <c r="M741">
        <f t="shared" ca="1" si="784"/>
        <v>97.048636134088895</v>
      </c>
      <c r="N741">
        <f t="shared" ca="1" si="784"/>
        <v>102.19009002112405</v>
      </c>
      <c r="O741">
        <f t="shared" ca="1" si="784"/>
        <v>98.44378857428589</v>
      </c>
      <c r="P741">
        <f t="shared" ca="1" si="784"/>
        <v>96.17675784452409</v>
      </c>
      <c r="Q741">
        <f t="shared" ca="1" si="752"/>
        <v>95.155665066733633</v>
      </c>
      <c r="R741">
        <f t="shared" ca="1" si="753"/>
        <v>0</v>
      </c>
      <c r="S741">
        <f t="shared" ca="1" si="754"/>
        <v>0</v>
      </c>
    </row>
    <row r="742" spans="5:19" x14ac:dyDescent="0.75">
      <c r="E742">
        <v>737</v>
      </c>
      <c r="F742">
        <v>100</v>
      </c>
      <c r="G742">
        <f t="shared" ca="1" si="750"/>
        <v>96.648513514444261</v>
      </c>
      <c r="H742">
        <f t="shared" ca="1" si="750"/>
        <v>101.36918474221227</v>
      </c>
      <c r="I742">
        <f t="shared" ca="1" si="750"/>
        <v>94.335172582154868</v>
      </c>
      <c r="J742">
        <f t="shared" ca="1" si="750"/>
        <v>94.904344330194917</v>
      </c>
      <c r="K742">
        <f t="shared" ref="K742:P742" ca="1" si="785">J742*EXP(($C$4-0.5*$C$5^2)*$C$10+$C$5*SQRT($C$10)*NORMINV(RAND(),0,1))</f>
        <v>97.74499474249059</v>
      </c>
      <c r="L742">
        <f t="shared" ca="1" si="785"/>
        <v>96.296579932939579</v>
      </c>
      <c r="M742">
        <f t="shared" ca="1" si="785"/>
        <v>97.270951048847891</v>
      </c>
      <c r="N742">
        <f t="shared" ca="1" si="785"/>
        <v>93.451907198742603</v>
      </c>
      <c r="O742">
        <f t="shared" ca="1" si="785"/>
        <v>93.253793951372771</v>
      </c>
      <c r="P742">
        <f t="shared" ca="1" si="785"/>
        <v>89.33187330514933</v>
      </c>
      <c r="Q742">
        <f t="shared" ca="1" si="752"/>
        <v>95.873392304413571</v>
      </c>
      <c r="R742">
        <f t="shared" ca="1" si="753"/>
        <v>0</v>
      </c>
      <c r="S742">
        <f t="shared" ca="1" si="754"/>
        <v>0</v>
      </c>
    </row>
    <row r="743" spans="5:19" x14ac:dyDescent="0.75">
      <c r="E743">
        <v>738</v>
      </c>
      <c r="F743">
        <v>100</v>
      </c>
      <c r="G743">
        <f t="shared" ca="1" si="750"/>
        <v>105.79309835647057</v>
      </c>
      <c r="H743">
        <f t="shared" ca="1" si="750"/>
        <v>103.46962584828391</v>
      </c>
      <c r="I743">
        <f t="shared" ca="1" si="750"/>
        <v>99.397721421872191</v>
      </c>
      <c r="J743">
        <f t="shared" ca="1" si="750"/>
        <v>95.47963941292592</v>
      </c>
      <c r="K743">
        <f t="shared" ref="K743:P743" ca="1" si="786">J743*EXP(($C$4-0.5*$C$5^2)*$C$10+$C$5*SQRT($C$10)*NORMINV(RAND(),0,1))</f>
        <v>98.887846796893442</v>
      </c>
      <c r="L743">
        <f t="shared" ca="1" si="786"/>
        <v>103.83176347429389</v>
      </c>
      <c r="M743">
        <f t="shared" ca="1" si="786"/>
        <v>109.18267537298723</v>
      </c>
      <c r="N743">
        <f t="shared" ca="1" si="786"/>
        <v>112.20152943496674</v>
      </c>
      <c r="O743">
        <f t="shared" ca="1" si="786"/>
        <v>110.90023268829722</v>
      </c>
      <c r="P743">
        <f t="shared" ca="1" si="786"/>
        <v>109.25473075381406</v>
      </c>
      <c r="Q743">
        <f t="shared" ca="1" si="752"/>
        <v>104.39989668734592</v>
      </c>
      <c r="R743">
        <f t="shared" ca="1" si="753"/>
        <v>4.3998966873459153</v>
      </c>
      <c r="S743">
        <f t="shared" ca="1" si="754"/>
        <v>4.1853111937666529</v>
      </c>
    </row>
    <row r="744" spans="5:19" x14ac:dyDescent="0.75">
      <c r="E744">
        <v>739</v>
      </c>
      <c r="F744">
        <v>100</v>
      </c>
      <c r="G744">
        <f t="shared" ca="1" si="750"/>
        <v>99.622288344116953</v>
      </c>
      <c r="H744">
        <f t="shared" ca="1" si="750"/>
        <v>103.52029971391177</v>
      </c>
      <c r="I744">
        <f t="shared" ca="1" si="750"/>
        <v>105.9860714509329</v>
      </c>
      <c r="J744">
        <f t="shared" ca="1" si="750"/>
        <v>97.314235750668544</v>
      </c>
      <c r="K744">
        <f t="shared" ref="K744:P744" ca="1" si="787">J744*EXP(($C$4-0.5*$C$5^2)*$C$10+$C$5*SQRT($C$10)*NORMINV(RAND(),0,1))</f>
        <v>97.142637615899389</v>
      </c>
      <c r="L744">
        <f t="shared" ca="1" si="787"/>
        <v>99.865758752575189</v>
      </c>
      <c r="M744">
        <f t="shared" ca="1" si="787"/>
        <v>95.689348628143392</v>
      </c>
      <c r="N744">
        <f t="shared" ca="1" si="787"/>
        <v>95.111182288487512</v>
      </c>
      <c r="O744">
        <f t="shared" ca="1" si="787"/>
        <v>95.342332731385582</v>
      </c>
      <c r="P744">
        <f t="shared" ca="1" si="787"/>
        <v>93.698014034237488</v>
      </c>
      <c r="Q744">
        <f t="shared" ca="1" si="752"/>
        <v>98.481106300941704</v>
      </c>
      <c r="R744">
        <f t="shared" ca="1" si="753"/>
        <v>0</v>
      </c>
      <c r="S744">
        <f t="shared" ca="1" si="754"/>
        <v>0</v>
      </c>
    </row>
    <row r="745" spans="5:19" x14ac:dyDescent="0.75">
      <c r="E745">
        <v>740</v>
      </c>
      <c r="F745">
        <v>100</v>
      </c>
      <c r="G745">
        <f t="shared" ca="1" si="750"/>
        <v>98.263032430516276</v>
      </c>
      <c r="H745">
        <f t="shared" ca="1" si="750"/>
        <v>99.827522882779817</v>
      </c>
      <c r="I745">
        <f t="shared" ca="1" si="750"/>
        <v>113.35435422831122</v>
      </c>
      <c r="J745">
        <f t="shared" ca="1" si="750"/>
        <v>101.35433745986742</v>
      </c>
      <c r="K745">
        <f t="shared" ref="K745:P745" ca="1" si="788">J745*EXP(($C$4-0.5*$C$5^2)*$C$10+$C$5*SQRT($C$10)*NORMINV(RAND(),0,1))</f>
        <v>97.927527647168787</v>
      </c>
      <c r="L745">
        <f t="shared" ca="1" si="788"/>
        <v>112.35591575158827</v>
      </c>
      <c r="M745">
        <f t="shared" ca="1" si="788"/>
        <v>107.65369892205176</v>
      </c>
      <c r="N745">
        <f t="shared" ca="1" si="788"/>
        <v>109.53057724357632</v>
      </c>
      <c r="O745">
        <f t="shared" ca="1" si="788"/>
        <v>104.75278914078929</v>
      </c>
      <c r="P745">
        <f t="shared" ca="1" si="788"/>
        <v>100.27491905671863</v>
      </c>
      <c r="Q745">
        <f t="shared" ca="1" si="752"/>
        <v>104.11769770576069</v>
      </c>
      <c r="R745">
        <f t="shared" ca="1" si="753"/>
        <v>4.1176977057606905</v>
      </c>
      <c r="S745">
        <f t="shared" ca="1" si="754"/>
        <v>3.9168752189186522</v>
      </c>
    </row>
    <row r="746" spans="5:19" x14ac:dyDescent="0.75">
      <c r="E746">
        <v>741</v>
      </c>
      <c r="F746">
        <v>100</v>
      </c>
      <c r="G746">
        <f t="shared" ca="1" si="750"/>
        <v>103.55725569884756</v>
      </c>
      <c r="H746">
        <f t="shared" ca="1" si="750"/>
        <v>100.7345854999097</v>
      </c>
      <c r="I746">
        <f t="shared" ca="1" si="750"/>
        <v>103.81448492316763</v>
      </c>
      <c r="J746">
        <f t="shared" ca="1" si="750"/>
        <v>108.83194784841108</v>
      </c>
      <c r="K746">
        <f t="shared" ref="K746:P746" ca="1" si="789">J746*EXP(($C$4-0.5*$C$5^2)*$C$10+$C$5*SQRT($C$10)*NORMINV(RAND(),0,1))</f>
        <v>112.33600084059808</v>
      </c>
      <c r="L746">
        <f t="shared" ca="1" si="789"/>
        <v>110.27493888810396</v>
      </c>
      <c r="M746">
        <f t="shared" ca="1" si="789"/>
        <v>106.11935638384858</v>
      </c>
      <c r="N746">
        <f t="shared" ca="1" si="789"/>
        <v>103.52651940975551</v>
      </c>
      <c r="O746">
        <f t="shared" ca="1" si="789"/>
        <v>102.10194860251113</v>
      </c>
      <c r="P746">
        <f t="shared" ca="1" si="789"/>
        <v>93.76571037328543</v>
      </c>
      <c r="Q746">
        <f t="shared" ca="1" si="752"/>
        <v>104.09661349713079</v>
      </c>
      <c r="R746">
        <f t="shared" ca="1" si="753"/>
        <v>4.0966134971307895</v>
      </c>
      <c r="S746">
        <f t="shared" ca="1" si="754"/>
        <v>3.8968192992775785</v>
      </c>
    </row>
    <row r="747" spans="5:19" x14ac:dyDescent="0.75">
      <c r="E747">
        <v>742</v>
      </c>
      <c r="F747">
        <v>100</v>
      </c>
      <c r="G747">
        <f t="shared" ca="1" si="750"/>
        <v>105.16642422591971</v>
      </c>
      <c r="H747">
        <f t="shared" ca="1" si="750"/>
        <v>107.13344853035957</v>
      </c>
      <c r="I747">
        <f t="shared" ca="1" si="750"/>
        <v>107.37018521246642</v>
      </c>
      <c r="J747">
        <f t="shared" ca="1" si="750"/>
        <v>109.66383708869984</v>
      </c>
      <c r="K747">
        <f t="shared" ref="K747:P747" ca="1" si="790">J747*EXP(($C$4-0.5*$C$5^2)*$C$10+$C$5*SQRT($C$10)*NORMINV(RAND(),0,1))</f>
        <v>97.959396575133795</v>
      </c>
      <c r="L747">
        <f t="shared" ca="1" si="790"/>
        <v>105.05933652807136</v>
      </c>
      <c r="M747">
        <f t="shared" ca="1" si="790"/>
        <v>102.73320890221574</v>
      </c>
      <c r="N747">
        <f t="shared" ca="1" si="790"/>
        <v>107.19065059199848</v>
      </c>
      <c r="O747">
        <f t="shared" ca="1" si="790"/>
        <v>107.31961741636739</v>
      </c>
      <c r="P747">
        <f t="shared" ca="1" si="790"/>
        <v>110.73925391731632</v>
      </c>
      <c r="Q747">
        <f t="shared" ca="1" si="752"/>
        <v>105.48503263532261</v>
      </c>
      <c r="R747">
        <f t="shared" ca="1" si="753"/>
        <v>5.4850326353226109</v>
      </c>
      <c r="S747">
        <f t="shared" ca="1" si="754"/>
        <v>5.2175244370655616</v>
      </c>
    </row>
    <row r="748" spans="5:19" x14ac:dyDescent="0.75">
      <c r="E748">
        <v>743</v>
      </c>
      <c r="F748">
        <v>100</v>
      </c>
      <c r="G748">
        <f t="shared" ca="1" si="750"/>
        <v>93.561269742862223</v>
      </c>
      <c r="H748">
        <f t="shared" ca="1" si="750"/>
        <v>94.88620505836154</v>
      </c>
      <c r="I748">
        <f t="shared" ca="1" si="750"/>
        <v>90.844131526005512</v>
      </c>
      <c r="J748">
        <f t="shared" ca="1" si="750"/>
        <v>89.205154153786793</v>
      </c>
      <c r="K748">
        <f t="shared" ref="K748:P748" ca="1" si="791">J748*EXP(($C$4-0.5*$C$5^2)*$C$10+$C$5*SQRT($C$10)*NORMINV(RAND(),0,1))</f>
        <v>85.573343855089661</v>
      </c>
      <c r="L748">
        <f t="shared" ca="1" si="791"/>
        <v>85.337456326091242</v>
      </c>
      <c r="M748">
        <f t="shared" ca="1" si="791"/>
        <v>80.11185660144902</v>
      </c>
      <c r="N748">
        <f t="shared" ca="1" si="791"/>
        <v>80.514483233588365</v>
      </c>
      <c r="O748">
        <f t="shared" ca="1" si="791"/>
        <v>75.805983009768525</v>
      </c>
      <c r="P748">
        <f t="shared" ca="1" si="791"/>
        <v>78.82426675524826</v>
      </c>
      <c r="Q748">
        <f t="shared" ca="1" si="752"/>
        <v>86.78765002384101</v>
      </c>
      <c r="R748">
        <f t="shared" ca="1" si="753"/>
        <v>0</v>
      </c>
      <c r="S748">
        <f t="shared" ca="1" si="754"/>
        <v>0</v>
      </c>
    </row>
    <row r="749" spans="5:19" x14ac:dyDescent="0.75">
      <c r="E749">
        <v>744</v>
      </c>
      <c r="F749">
        <v>100</v>
      </c>
      <c r="G749">
        <f t="shared" ca="1" si="750"/>
        <v>98.189713468541868</v>
      </c>
      <c r="H749">
        <f t="shared" ca="1" si="750"/>
        <v>97.096668465474295</v>
      </c>
      <c r="I749">
        <f t="shared" ca="1" si="750"/>
        <v>102.73772391039996</v>
      </c>
      <c r="J749">
        <f t="shared" ca="1" si="750"/>
        <v>98.273809286895286</v>
      </c>
      <c r="K749">
        <f t="shared" ref="K749:P749" ca="1" si="792">J749*EXP(($C$4-0.5*$C$5^2)*$C$10+$C$5*SQRT($C$10)*NORMINV(RAND(),0,1))</f>
        <v>91.432027745503774</v>
      </c>
      <c r="L749">
        <f t="shared" ca="1" si="792"/>
        <v>96.249136949745903</v>
      </c>
      <c r="M749">
        <f t="shared" ca="1" si="792"/>
        <v>90.521518719872006</v>
      </c>
      <c r="N749">
        <f t="shared" ca="1" si="792"/>
        <v>88.593924440648664</v>
      </c>
      <c r="O749">
        <f t="shared" ca="1" si="792"/>
        <v>97.670698535381533</v>
      </c>
      <c r="P749">
        <f t="shared" ca="1" si="792"/>
        <v>107.62504967725553</v>
      </c>
      <c r="Q749">
        <f t="shared" ca="1" si="752"/>
        <v>97.12638829088354</v>
      </c>
      <c r="R749">
        <f t="shared" ca="1" si="753"/>
        <v>0</v>
      </c>
      <c r="S749">
        <f t="shared" ca="1" si="754"/>
        <v>0</v>
      </c>
    </row>
    <row r="750" spans="5:19" x14ac:dyDescent="0.75">
      <c r="E750">
        <v>745</v>
      </c>
      <c r="F750">
        <v>100</v>
      </c>
      <c r="G750">
        <f t="shared" ca="1" si="750"/>
        <v>103.50811425921643</v>
      </c>
      <c r="H750">
        <f t="shared" ca="1" si="750"/>
        <v>100.68539093605699</v>
      </c>
      <c r="I750">
        <f t="shared" ca="1" si="750"/>
        <v>103.06318882325216</v>
      </c>
      <c r="J750">
        <f t="shared" ca="1" si="750"/>
        <v>102.20363102733693</v>
      </c>
      <c r="K750">
        <f t="shared" ref="K750:P750" ca="1" si="793">J750*EXP(($C$4-0.5*$C$5^2)*$C$10+$C$5*SQRT($C$10)*NORMINV(RAND(),0,1))</f>
        <v>124.19619639120809</v>
      </c>
      <c r="L750">
        <f t="shared" ca="1" si="793"/>
        <v>113.96233595142994</v>
      </c>
      <c r="M750">
        <f t="shared" ca="1" si="793"/>
        <v>117.44420508631951</v>
      </c>
      <c r="N750">
        <f t="shared" ca="1" si="793"/>
        <v>120.17663507464516</v>
      </c>
      <c r="O750">
        <f t="shared" ca="1" si="793"/>
        <v>114.29709919999037</v>
      </c>
      <c r="P750">
        <f t="shared" ca="1" si="793"/>
        <v>102.88579369136079</v>
      </c>
      <c r="Q750">
        <f t="shared" ca="1" si="752"/>
        <v>109.31114458552875</v>
      </c>
      <c r="R750">
        <f t="shared" ca="1" si="753"/>
        <v>9.3111445855287513</v>
      </c>
      <c r="S750">
        <f t="shared" ca="1" si="754"/>
        <v>8.8570347055354528</v>
      </c>
    </row>
    <row r="751" spans="5:19" x14ac:dyDescent="0.75">
      <c r="E751">
        <v>746</v>
      </c>
      <c r="F751">
        <v>100</v>
      </c>
      <c r="G751">
        <f t="shared" ca="1" si="750"/>
        <v>110.36196510099261</v>
      </c>
      <c r="H751">
        <f t="shared" ca="1" si="750"/>
        <v>101.47568109973976</v>
      </c>
      <c r="I751">
        <f t="shared" ca="1" si="750"/>
        <v>90.955803720725655</v>
      </c>
      <c r="J751">
        <f t="shared" ca="1" si="750"/>
        <v>89.572907080490126</v>
      </c>
      <c r="K751">
        <f t="shared" ref="K751:P751" ca="1" si="794">J751*EXP(($C$4-0.5*$C$5^2)*$C$10+$C$5*SQRT($C$10)*NORMINV(RAND(),0,1))</f>
        <v>90.189169865659309</v>
      </c>
      <c r="L751">
        <f t="shared" ca="1" si="794"/>
        <v>91.613856327715482</v>
      </c>
      <c r="M751">
        <f t="shared" ca="1" si="794"/>
        <v>81.650507189151966</v>
      </c>
      <c r="N751">
        <f t="shared" ca="1" si="794"/>
        <v>88.043740585260494</v>
      </c>
      <c r="O751">
        <f t="shared" ca="1" si="794"/>
        <v>96.978117508845287</v>
      </c>
      <c r="P751">
        <f t="shared" ca="1" si="794"/>
        <v>91.830394696818729</v>
      </c>
      <c r="Q751">
        <f t="shared" ca="1" si="752"/>
        <v>93.879285743218134</v>
      </c>
      <c r="R751">
        <f t="shared" ca="1" si="753"/>
        <v>0</v>
      </c>
      <c r="S751">
        <f t="shared" ca="1" si="754"/>
        <v>0</v>
      </c>
    </row>
    <row r="752" spans="5:19" x14ac:dyDescent="0.75">
      <c r="E752">
        <v>747</v>
      </c>
      <c r="F752">
        <v>100</v>
      </c>
      <c r="G752">
        <f t="shared" ca="1" si="750"/>
        <v>103.6199287708673</v>
      </c>
      <c r="H752">
        <f t="shared" ca="1" si="750"/>
        <v>107.116191264118</v>
      </c>
      <c r="I752">
        <f t="shared" ca="1" si="750"/>
        <v>126.87383530445283</v>
      </c>
      <c r="J752">
        <f t="shared" ca="1" si="750"/>
        <v>135.5051085335831</v>
      </c>
      <c r="K752">
        <f t="shared" ref="K752:P752" ca="1" si="795">J752*EXP(($C$4-0.5*$C$5^2)*$C$10+$C$5*SQRT($C$10)*NORMINV(RAND(),0,1))</f>
        <v>130.92566656728476</v>
      </c>
      <c r="L752">
        <f t="shared" ca="1" si="795"/>
        <v>128.81055296480355</v>
      </c>
      <c r="M752">
        <f t="shared" ca="1" si="795"/>
        <v>138.96631607390259</v>
      </c>
      <c r="N752">
        <f t="shared" ca="1" si="795"/>
        <v>167.08731152963551</v>
      </c>
      <c r="O752">
        <f t="shared" ca="1" si="795"/>
        <v>160.55054428050374</v>
      </c>
      <c r="P752">
        <f t="shared" ca="1" si="795"/>
        <v>174.33126124501237</v>
      </c>
      <c r="Q752">
        <f t="shared" ca="1" si="752"/>
        <v>133.98061059401491</v>
      </c>
      <c r="R752">
        <f t="shared" ca="1" si="753"/>
        <v>33.980610594014905</v>
      </c>
      <c r="S752">
        <f t="shared" ca="1" si="754"/>
        <v>32.323356659527661</v>
      </c>
    </row>
    <row r="753" spans="5:19" x14ac:dyDescent="0.75">
      <c r="E753">
        <v>748</v>
      </c>
      <c r="F753">
        <v>100</v>
      </c>
      <c r="G753">
        <f t="shared" ca="1" si="750"/>
        <v>100.78760154868817</v>
      </c>
      <c r="H753">
        <f t="shared" ca="1" si="750"/>
        <v>98.302399498333997</v>
      </c>
      <c r="I753">
        <f t="shared" ca="1" si="750"/>
        <v>91.268530793568488</v>
      </c>
      <c r="J753">
        <f t="shared" ca="1" si="750"/>
        <v>90.176795227102005</v>
      </c>
      <c r="K753">
        <f t="shared" ref="K753:P753" ca="1" si="796">J753*EXP(($C$4-0.5*$C$5^2)*$C$10+$C$5*SQRT($C$10)*NORMINV(RAND(),0,1))</f>
        <v>88.518191403608824</v>
      </c>
      <c r="L753">
        <f t="shared" ca="1" si="796"/>
        <v>86.566912538230454</v>
      </c>
      <c r="M753">
        <f t="shared" ca="1" si="796"/>
        <v>83.536778180333386</v>
      </c>
      <c r="N753">
        <f t="shared" ca="1" si="796"/>
        <v>82.441165115111474</v>
      </c>
      <c r="O753">
        <f t="shared" ca="1" si="796"/>
        <v>80.376102832985353</v>
      </c>
      <c r="P753">
        <f t="shared" ca="1" si="796"/>
        <v>81.840898692011109</v>
      </c>
      <c r="Q753">
        <f t="shared" ca="1" si="752"/>
        <v>89.437761439088476</v>
      </c>
      <c r="R753">
        <f t="shared" ca="1" si="753"/>
        <v>0</v>
      </c>
      <c r="S753">
        <f t="shared" ca="1" si="754"/>
        <v>0</v>
      </c>
    </row>
    <row r="754" spans="5:19" x14ac:dyDescent="0.75">
      <c r="E754">
        <v>749</v>
      </c>
      <c r="F754">
        <v>100</v>
      </c>
      <c r="G754">
        <f t="shared" ca="1" si="750"/>
        <v>99.996307748249308</v>
      </c>
      <c r="H754">
        <f t="shared" ca="1" si="750"/>
        <v>93.680708350183906</v>
      </c>
      <c r="I754">
        <f t="shared" ca="1" si="750"/>
        <v>102.94220180862987</v>
      </c>
      <c r="J754">
        <f t="shared" ca="1" si="750"/>
        <v>98.383946972925543</v>
      </c>
      <c r="K754">
        <f t="shared" ref="K754:P754" ca="1" si="797">J754*EXP(($C$4-0.5*$C$5^2)*$C$10+$C$5*SQRT($C$10)*NORMINV(RAND(),0,1))</f>
        <v>105.35413362550776</v>
      </c>
      <c r="L754">
        <f t="shared" ca="1" si="797"/>
        <v>107.72708768659952</v>
      </c>
      <c r="M754">
        <f t="shared" ca="1" si="797"/>
        <v>107.13620357390167</v>
      </c>
      <c r="N754">
        <f t="shared" ca="1" si="797"/>
        <v>107.30357603915439</v>
      </c>
      <c r="O754">
        <f t="shared" ca="1" si="797"/>
        <v>99.652242015267504</v>
      </c>
      <c r="P754">
        <f t="shared" ca="1" si="797"/>
        <v>104.78857466791816</v>
      </c>
      <c r="Q754">
        <f t="shared" ca="1" si="752"/>
        <v>102.45136204439432</v>
      </c>
      <c r="R754">
        <f t="shared" ca="1" si="753"/>
        <v>2.4513620443943154</v>
      </c>
      <c r="S754">
        <f t="shared" ca="1" si="754"/>
        <v>2.3318077067320986</v>
      </c>
    </row>
    <row r="755" spans="5:19" x14ac:dyDescent="0.75">
      <c r="E755">
        <v>750</v>
      </c>
      <c r="F755">
        <v>100</v>
      </c>
      <c r="G755">
        <f t="shared" ca="1" si="750"/>
        <v>99.422747554148359</v>
      </c>
      <c r="H755">
        <f t="shared" ca="1" si="750"/>
        <v>108.67866443817688</v>
      </c>
      <c r="I755">
        <f t="shared" ca="1" si="750"/>
        <v>105.8725627627815</v>
      </c>
      <c r="J755">
        <f t="shared" ca="1" si="750"/>
        <v>100.08795315996831</v>
      </c>
      <c r="K755">
        <f t="shared" ref="K755:P755" ca="1" si="798">J755*EXP(($C$4-0.5*$C$5^2)*$C$10+$C$5*SQRT($C$10)*NORMINV(RAND(),0,1))</f>
        <v>101.77560295027082</v>
      </c>
      <c r="L755">
        <f t="shared" ca="1" si="798"/>
        <v>105.94439372711815</v>
      </c>
      <c r="M755">
        <f t="shared" ca="1" si="798"/>
        <v>115.54307096294976</v>
      </c>
      <c r="N755">
        <f t="shared" ca="1" si="798"/>
        <v>116.5035928230959</v>
      </c>
      <c r="O755">
        <f t="shared" ca="1" si="798"/>
        <v>115.30567498595751</v>
      </c>
      <c r="P755">
        <f t="shared" ca="1" si="798"/>
        <v>103.03358489562967</v>
      </c>
      <c r="Q755">
        <f t="shared" ca="1" si="752"/>
        <v>106.56071347819062</v>
      </c>
      <c r="R755">
        <f t="shared" ca="1" si="753"/>
        <v>6.5607134781906211</v>
      </c>
      <c r="S755">
        <f t="shared" ca="1" si="754"/>
        <v>6.2407437061733422</v>
      </c>
    </row>
    <row r="756" spans="5:19" x14ac:dyDescent="0.75">
      <c r="E756">
        <v>751</v>
      </c>
      <c r="F756">
        <v>100</v>
      </c>
      <c r="G756">
        <f t="shared" ca="1" si="750"/>
        <v>96.826092619159354</v>
      </c>
      <c r="H756">
        <f t="shared" ca="1" si="750"/>
        <v>95.043204978373637</v>
      </c>
      <c r="I756">
        <f t="shared" ca="1" si="750"/>
        <v>103.25811985786896</v>
      </c>
      <c r="J756">
        <f t="shared" ca="1" si="750"/>
        <v>101.21423179308027</v>
      </c>
      <c r="K756">
        <f t="shared" ref="K756:P756" ca="1" si="799">J756*EXP(($C$4-0.5*$C$5^2)*$C$10+$C$5*SQRT($C$10)*NORMINV(RAND(),0,1))</f>
        <v>105.67932000273089</v>
      </c>
      <c r="L756">
        <f t="shared" ca="1" si="799"/>
        <v>115.9220073194325</v>
      </c>
      <c r="M756">
        <f t="shared" ca="1" si="799"/>
        <v>105.18992222356063</v>
      </c>
      <c r="N756">
        <f t="shared" ca="1" si="799"/>
        <v>110.34162120199424</v>
      </c>
      <c r="O756">
        <f t="shared" ca="1" si="799"/>
        <v>120.9805375444525</v>
      </c>
      <c r="P756">
        <f t="shared" ca="1" si="799"/>
        <v>112.89292266392965</v>
      </c>
      <c r="Q756">
        <f t="shared" ca="1" si="752"/>
        <v>106.12254365496206</v>
      </c>
      <c r="R756">
        <f t="shared" ca="1" si="753"/>
        <v>6.1225436549620582</v>
      </c>
      <c r="S756">
        <f t="shared" ca="1" si="754"/>
        <v>5.8239436773900568</v>
      </c>
    </row>
    <row r="757" spans="5:19" x14ac:dyDescent="0.75">
      <c r="E757">
        <v>752</v>
      </c>
      <c r="F757">
        <v>100</v>
      </c>
      <c r="G757">
        <f t="shared" ca="1" si="750"/>
        <v>107.49418219862778</v>
      </c>
      <c r="H757">
        <f t="shared" ca="1" si="750"/>
        <v>105.04022870485348</v>
      </c>
      <c r="I757">
        <f t="shared" ca="1" si="750"/>
        <v>110.45410008204901</v>
      </c>
      <c r="J757">
        <f t="shared" ca="1" si="750"/>
        <v>117.89323432110544</v>
      </c>
      <c r="K757">
        <f t="shared" ref="K757:P757" ca="1" si="800">J757*EXP(($C$4-0.5*$C$5^2)*$C$10+$C$5*SQRT($C$10)*NORMINV(RAND(),0,1))</f>
        <v>110.31167706837935</v>
      </c>
      <c r="L757">
        <f t="shared" ca="1" si="800"/>
        <v>117.56111027843481</v>
      </c>
      <c r="M757">
        <f t="shared" ca="1" si="800"/>
        <v>116.09612968871569</v>
      </c>
      <c r="N757">
        <f t="shared" ca="1" si="800"/>
        <v>112.63884956384767</v>
      </c>
      <c r="O757">
        <f t="shared" ca="1" si="800"/>
        <v>114.30363238529543</v>
      </c>
      <c r="P757">
        <f t="shared" ca="1" si="800"/>
        <v>122.95009351021794</v>
      </c>
      <c r="Q757">
        <f t="shared" ca="1" si="752"/>
        <v>112.24938525468424</v>
      </c>
      <c r="R757">
        <f t="shared" ca="1" si="753"/>
        <v>12.249385254684242</v>
      </c>
      <c r="S757">
        <f t="shared" ca="1" si="754"/>
        <v>11.651975686300824</v>
      </c>
    </row>
    <row r="758" spans="5:19" x14ac:dyDescent="0.75">
      <c r="E758">
        <v>753</v>
      </c>
      <c r="F758">
        <v>100</v>
      </c>
      <c r="G758">
        <f t="shared" ca="1" si="750"/>
        <v>102.8662983495431</v>
      </c>
      <c r="H758">
        <f t="shared" ca="1" si="750"/>
        <v>97.963424606650534</v>
      </c>
      <c r="I758">
        <f t="shared" ca="1" si="750"/>
        <v>94.582012734927474</v>
      </c>
      <c r="J758">
        <f t="shared" ca="1" si="750"/>
        <v>96.021288657814665</v>
      </c>
      <c r="K758">
        <f t="shared" ref="K758:P758" ca="1" si="801">J758*EXP(($C$4-0.5*$C$5^2)*$C$10+$C$5*SQRT($C$10)*NORMINV(RAND(),0,1))</f>
        <v>101.73394049718132</v>
      </c>
      <c r="L758">
        <f t="shared" ca="1" si="801"/>
        <v>108.03091112251468</v>
      </c>
      <c r="M758">
        <f t="shared" ca="1" si="801"/>
        <v>102.05933841888135</v>
      </c>
      <c r="N758">
        <f t="shared" ca="1" si="801"/>
        <v>109.8550582777731</v>
      </c>
      <c r="O758">
        <f t="shared" ca="1" si="801"/>
        <v>95.07706427646032</v>
      </c>
      <c r="P758">
        <f t="shared" ca="1" si="801"/>
        <v>94.787749087523778</v>
      </c>
      <c r="Q758">
        <f t="shared" ca="1" si="752"/>
        <v>100.27064418447912</v>
      </c>
      <c r="R758">
        <f t="shared" ca="1" si="753"/>
        <v>0.27064418447912431</v>
      </c>
      <c r="S758">
        <f t="shared" ca="1" si="754"/>
        <v>0.2574447118465425</v>
      </c>
    </row>
    <row r="759" spans="5:19" x14ac:dyDescent="0.75">
      <c r="E759">
        <v>754</v>
      </c>
      <c r="F759">
        <v>100</v>
      </c>
      <c r="G759">
        <f t="shared" ca="1" si="750"/>
        <v>105.25619536120661</v>
      </c>
      <c r="H759">
        <f t="shared" ca="1" si="750"/>
        <v>117.0419513214573</v>
      </c>
      <c r="I759">
        <f t="shared" ca="1" si="750"/>
        <v>126.27777287545804</v>
      </c>
      <c r="J759">
        <f t="shared" ca="1" si="750"/>
        <v>116.73089034180282</v>
      </c>
      <c r="K759">
        <f t="shared" ref="K759:P759" ca="1" si="802">J759*EXP(($C$4-0.5*$C$5^2)*$C$10+$C$5*SQRT($C$10)*NORMINV(RAND(),0,1))</f>
        <v>133.46182744953464</v>
      </c>
      <c r="L759">
        <f t="shared" ca="1" si="802"/>
        <v>137.30841624810108</v>
      </c>
      <c r="M759">
        <f t="shared" ca="1" si="802"/>
        <v>143.40797295646999</v>
      </c>
      <c r="N759">
        <f t="shared" ca="1" si="802"/>
        <v>149.70344199062146</v>
      </c>
      <c r="O759">
        <f t="shared" ca="1" si="802"/>
        <v>138.86263888455218</v>
      </c>
      <c r="P759">
        <f t="shared" ca="1" si="802"/>
        <v>120.6385813676977</v>
      </c>
      <c r="Q759">
        <f t="shared" ca="1" si="752"/>
        <v>126.2445171633547</v>
      </c>
      <c r="R759">
        <f t="shared" ca="1" si="753"/>
        <v>26.244517163354701</v>
      </c>
      <c r="S759">
        <f t="shared" ca="1" si="754"/>
        <v>24.964556957597004</v>
      </c>
    </row>
    <row r="760" spans="5:19" x14ac:dyDescent="0.75">
      <c r="E760">
        <v>755</v>
      </c>
      <c r="F760">
        <v>100</v>
      </c>
      <c r="G760">
        <f t="shared" ca="1" si="750"/>
        <v>114.98760154882109</v>
      </c>
      <c r="H760">
        <f t="shared" ca="1" si="750"/>
        <v>98.431783808095176</v>
      </c>
      <c r="I760">
        <f t="shared" ca="1" si="750"/>
        <v>93.091108653255006</v>
      </c>
      <c r="J760">
        <f t="shared" ca="1" si="750"/>
        <v>93.208690362571716</v>
      </c>
      <c r="K760">
        <f t="shared" ref="K760:P760" ca="1" si="803">J760*EXP(($C$4-0.5*$C$5^2)*$C$10+$C$5*SQRT($C$10)*NORMINV(RAND(),0,1))</f>
        <v>91.207017497605818</v>
      </c>
      <c r="L760">
        <f t="shared" ca="1" si="803"/>
        <v>95.096095480419734</v>
      </c>
      <c r="M760">
        <f t="shared" ca="1" si="803"/>
        <v>104.95158566088475</v>
      </c>
      <c r="N760">
        <f t="shared" ca="1" si="803"/>
        <v>96.995481392255016</v>
      </c>
      <c r="O760">
        <f t="shared" ca="1" si="803"/>
        <v>114.93839236832262</v>
      </c>
      <c r="P760">
        <f t="shared" ca="1" si="803"/>
        <v>116.41040470852299</v>
      </c>
      <c r="Q760">
        <f t="shared" ca="1" si="752"/>
        <v>101.75619649825035</v>
      </c>
      <c r="R760">
        <f t="shared" ca="1" si="753"/>
        <v>1.7561964982503468</v>
      </c>
      <c r="S760">
        <f t="shared" ca="1" si="754"/>
        <v>1.6705457843408467</v>
      </c>
    </row>
    <row r="761" spans="5:19" x14ac:dyDescent="0.75">
      <c r="E761">
        <v>756</v>
      </c>
      <c r="F761">
        <v>100</v>
      </c>
      <c r="G761">
        <f t="shared" ca="1" si="750"/>
        <v>102.36526171502705</v>
      </c>
      <c r="H761">
        <f t="shared" ca="1" si="750"/>
        <v>93.39871552032217</v>
      </c>
      <c r="I761">
        <f t="shared" ca="1" si="750"/>
        <v>95.349423834043037</v>
      </c>
      <c r="J761">
        <f t="shared" ca="1" si="750"/>
        <v>96.143806745266886</v>
      </c>
      <c r="K761">
        <f t="shared" ref="K761:P761" ca="1" si="804">J761*EXP(($C$4-0.5*$C$5^2)*$C$10+$C$5*SQRT($C$10)*NORMINV(RAND(),0,1))</f>
        <v>96.89715431826248</v>
      </c>
      <c r="L761">
        <f t="shared" ca="1" si="804"/>
        <v>97.284922913574945</v>
      </c>
      <c r="M761">
        <f t="shared" ca="1" si="804"/>
        <v>90.333434644653195</v>
      </c>
      <c r="N761">
        <f t="shared" ca="1" si="804"/>
        <v>94.382342619477882</v>
      </c>
      <c r="O761">
        <f t="shared" ca="1" si="804"/>
        <v>88.71162670383552</v>
      </c>
      <c r="P761">
        <f t="shared" ca="1" si="804"/>
        <v>96.362168099344018</v>
      </c>
      <c r="Q761">
        <f t="shared" ca="1" si="752"/>
        <v>95.566259737618836</v>
      </c>
      <c r="R761">
        <f t="shared" ca="1" si="753"/>
        <v>0</v>
      </c>
      <c r="S761">
        <f t="shared" ca="1" si="754"/>
        <v>0</v>
      </c>
    </row>
    <row r="762" spans="5:19" x14ac:dyDescent="0.75">
      <c r="E762">
        <v>757</v>
      </c>
      <c r="F762">
        <v>100</v>
      </c>
      <c r="G762">
        <f t="shared" ca="1" si="750"/>
        <v>86.874246720027813</v>
      </c>
      <c r="H762">
        <f t="shared" ca="1" si="750"/>
        <v>99.936992403880467</v>
      </c>
      <c r="I762">
        <f t="shared" ca="1" si="750"/>
        <v>99.337262763304736</v>
      </c>
      <c r="J762">
        <f t="shared" ca="1" si="750"/>
        <v>96.394048071167632</v>
      </c>
      <c r="K762">
        <f t="shared" ref="K762:P762" ca="1" si="805">J762*EXP(($C$4-0.5*$C$5^2)*$C$10+$C$5*SQRT($C$10)*NORMINV(RAND(),0,1))</f>
        <v>90.076883686640357</v>
      </c>
      <c r="L762">
        <f t="shared" ca="1" si="805"/>
        <v>93.849086485336983</v>
      </c>
      <c r="M762">
        <f t="shared" ca="1" si="805"/>
        <v>92.434171892707539</v>
      </c>
      <c r="N762">
        <f t="shared" ca="1" si="805"/>
        <v>96.752792652310148</v>
      </c>
      <c r="O762">
        <f t="shared" ca="1" si="805"/>
        <v>100.58748732130728</v>
      </c>
      <c r="P762">
        <f t="shared" ca="1" si="805"/>
        <v>97.017033701388485</v>
      </c>
      <c r="Q762">
        <f t="shared" ca="1" si="752"/>
        <v>95.750909608915606</v>
      </c>
      <c r="R762">
        <f t="shared" ca="1" si="753"/>
        <v>0</v>
      </c>
      <c r="S762">
        <f t="shared" ca="1" si="754"/>
        <v>0</v>
      </c>
    </row>
    <row r="763" spans="5:19" x14ac:dyDescent="0.75">
      <c r="E763">
        <v>758</v>
      </c>
      <c r="F763">
        <v>100</v>
      </c>
      <c r="G763">
        <f t="shared" ca="1" si="750"/>
        <v>100.65104240727835</v>
      </c>
      <c r="H763">
        <f t="shared" ca="1" si="750"/>
        <v>88.425070221538732</v>
      </c>
      <c r="I763">
        <f t="shared" ca="1" si="750"/>
        <v>79.342692278555575</v>
      </c>
      <c r="J763">
        <f t="shared" ca="1" si="750"/>
        <v>75.275500725337466</v>
      </c>
      <c r="K763">
        <f t="shared" ref="K763:P763" ca="1" si="806">J763*EXP(($C$4-0.5*$C$5^2)*$C$10+$C$5*SQRT($C$10)*NORMINV(RAND(),0,1))</f>
        <v>77.027490607313425</v>
      </c>
      <c r="L763">
        <f t="shared" ca="1" si="806"/>
        <v>73.647269488526007</v>
      </c>
      <c r="M763">
        <f t="shared" ca="1" si="806"/>
        <v>77.304456122314079</v>
      </c>
      <c r="N763">
        <f t="shared" ca="1" si="806"/>
        <v>79.797262262014385</v>
      </c>
      <c r="O763">
        <f t="shared" ca="1" si="806"/>
        <v>79.807553308182733</v>
      </c>
      <c r="P763">
        <f t="shared" ca="1" si="806"/>
        <v>79.07271447618875</v>
      </c>
      <c r="Q763">
        <f t="shared" ca="1" si="752"/>
        <v>82.759186536113575</v>
      </c>
      <c r="R763">
        <f t="shared" ca="1" si="753"/>
        <v>0</v>
      </c>
      <c r="S763">
        <f t="shared" ca="1" si="754"/>
        <v>0</v>
      </c>
    </row>
    <row r="764" spans="5:19" x14ac:dyDescent="0.75">
      <c r="E764">
        <v>759</v>
      </c>
      <c r="F764">
        <v>100</v>
      </c>
      <c r="G764">
        <f t="shared" ca="1" si="750"/>
        <v>103.8941950340123</v>
      </c>
      <c r="H764">
        <f t="shared" ca="1" si="750"/>
        <v>99.613823632339205</v>
      </c>
      <c r="I764">
        <f t="shared" ca="1" si="750"/>
        <v>99.350362667542228</v>
      </c>
      <c r="J764">
        <f t="shared" ca="1" si="750"/>
        <v>98.927650695342265</v>
      </c>
      <c r="K764">
        <f t="shared" ref="K764:P764" ca="1" si="807">J764*EXP(($C$4-0.5*$C$5^2)*$C$10+$C$5*SQRT($C$10)*NORMINV(RAND(),0,1))</f>
        <v>83.08393288992005</v>
      </c>
      <c r="L764">
        <f t="shared" ca="1" si="807"/>
        <v>81.7434469193186</v>
      </c>
      <c r="M764">
        <f t="shared" ca="1" si="807"/>
        <v>82.523795643888036</v>
      </c>
      <c r="N764">
        <f t="shared" ca="1" si="807"/>
        <v>85.860129617109024</v>
      </c>
      <c r="O764">
        <f t="shared" ca="1" si="807"/>
        <v>97.641764219065664</v>
      </c>
      <c r="P764">
        <f t="shared" ca="1" si="807"/>
        <v>95.245629710642163</v>
      </c>
      <c r="Q764">
        <f t="shared" ca="1" si="752"/>
        <v>93.444066457198133</v>
      </c>
      <c r="R764">
        <f t="shared" ca="1" si="753"/>
        <v>0</v>
      </c>
      <c r="S764">
        <f t="shared" ca="1" si="754"/>
        <v>0</v>
      </c>
    </row>
    <row r="765" spans="5:19" x14ac:dyDescent="0.75">
      <c r="E765">
        <v>760</v>
      </c>
      <c r="F765">
        <v>100</v>
      </c>
      <c r="G765">
        <f t="shared" ca="1" si="750"/>
        <v>96.953730687701693</v>
      </c>
      <c r="H765">
        <f t="shared" ca="1" si="750"/>
        <v>102.90887283532496</v>
      </c>
      <c r="I765">
        <f t="shared" ca="1" si="750"/>
        <v>103.55840116425942</v>
      </c>
      <c r="J765">
        <f t="shared" ca="1" si="750"/>
        <v>98.121559036136674</v>
      </c>
      <c r="K765">
        <f t="shared" ref="K765:P765" ca="1" si="808">J765*EXP(($C$4-0.5*$C$5^2)*$C$10+$C$5*SQRT($C$10)*NORMINV(RAND(),0,1))</f>
        <v>96.15324556707985</v>
      </c>
      <c r="L765">
        <f t="shared" ca="1" si="808"/>
        <v>100.29164218493898</v>
      </c>
      <c r="M765">
        <f t="shared" ca="1" si="808"/>
        <v>104.85603784193061</v>
      </c>
      <c r="N765">
        <f t="shared" ca="1" si="808"/>
        <v>101.04840355657323</v>
      </c>
      <c r="O765">
        <f t="shared" ca="1" si="808"/>
        <v>97.912478115760209</v>
      </c>
      <c r="P765">
        <f t="shared" ca="1" si="808"/>
        <v>98.899561852563281</v>
      </c>
      <c r="Q765">
        <f t="shared" ca="1" si="752"/>
        <v>100.06399389475172</v>
      </c>
      <c r="R765">
        <f t="shared" ca="1" si="753"/>
        <v>6.3993894751718017E-2</v>
      </c>
      <c r="S765">
        <f t="shared" ca="1" si="754"/>
        <v>6.0872875676235991E-2</v>
      </c>
    </row>
    <row r="766" spans="5:19" x14ac:dyDescent="0.75">
      <c r="E766">
        <v>761</v>
      </c>
      <c r="F766">
        <v>100</v>
      </c>
      <c r="G766">
        <f t="shared" ca="1" si="750"/>
        <v>112.04852267629096</v>
      </c>
      <c r="H766">
        <f t="shared" ca="1" si="750"/>
        <v>100.22750818969311</v>
      </c>
      <c r="I766">
        <f t="shared" ca="1" si="750"/>
        <v>85.554199552069136</v>
      </c>
      <c r="J766">
        <f t="shared" ca="1" si="750"/>
        <v>82.739876793053099</v>
      </c>
      <c r="K766">
        <f t="shared" ref="K766:P766" ca="1" si="809">J766*EXP(($C$4-0.5*$C$5^2)*$C$10+$C$5*SQRT($C$10)*NORMINV(RAND(),0,1))</f>
        <v>79.707503975663428</v>
      </c>
      <c r="L766">
        <f t="shared" ca="1" si="809"/>
        <v>89.637057394575848</v>
      </c>
      <c r="M766">
        <f t="shared" ca="1" si="809"/>
        <v>89.651968425125958</v>
      </c>
      <c r="N766">
        <f t="shared" ca="1" si="809"/>
        <v>92.855861058464441</v>
      </c>
      <c r="O766">
        <f t="shared" ca="1" si="809"/>
        <v>93.53733153521776</v>
      </c>
      <c r="P766">
        <f t="shared" ca="1" si="809"/>
        <v>86.90220428681657</v>
      </c>
      <c r="Q766">
        <f t="shared" ca="1" si="752"/>
        <v>92.078366716997294</v>
      </c>
      <c r="R766">
        <f t="shared" ca="1" si="753"/>
        <v>0</v>
      </c>
      <c r="S766">
        <f t="shared" ca="1" si="754"/>
        <v>0</v>
      </c>
    </row>
    <row r="767" spans="5:19" x14ac:dyDescent="0.75">
      <c r="E767">
        <v>762</v>
      </c>
      <c r="F767">
        <v>100</v>
      </c>
      <c r="G767">
        <f t="shared" ca="1" si="750"/>
        <v>101.09601085964587</v>
      </c>
      <c r="H767">
        <f t="shared" ca="1" si="750"/>
        <v>100.15021175360432</v>
      </c>
      <c r="I767">
        <f t="shared" ca="1" si="750"/>
        <v>105.13842821724269</v>
      </c>
      <c r="J767">
        <f t="shared" ca="1" si="750"/>
        <v>110.36276437104615</v>
      </c>
      <c r="K767">
        <f t="shared" ref="K767:P767" ca="1" si="810">J767*EXP(($C$4-0.5*$C$5^2)*$C$10+$C$5*SQRT($C$10)*NORMINV(RAND(),0,1))</f>
        <v>101.19716949907212</v>
      </c>
      <c r="L767">
        <f t="shared" ca="1" si="810"/>
        <v>108.97547421549955</v>
      </c>
      <c r="M767">
        <f t="shared" ca="1" si="810"/>
        <v>96.347728331553384</v>
      </c>
      <c r="N767">
        <f t="shared" ca="1" si="810"/>
        <v>96.009384993571345</v>
      </c>
      <c r="O767">
        <f t="shared" ca="1" si="810"/>
        <v>91.213446723970009</v>
      </c>
      <c r="P767">
        <f t="shared" ca="1" si="810"/>
        <v>85.508230851928175</v>
      </c>
      <c r="Q767">
        <f t="shared" ca="1" si="752"/>
        <v>99.636259074284865</v>
      </c>
      <c r="R767">
        <f t="shared" ca="1" si="753"/>
        <v>0</v>
      </c>
      <c r="S767">
        <f t="shared" ca="1" si="754"/>
        <v>0</v>
      </c>
    </row>
    <row r="768" spans="5:19" x14ac:dyDescent="0.75">
      <c r="E768">
        <v>763</v>
      </c>
      <c r="F768">
        <v>100</v>
      </c>
      <c r="G768">
        <f t="shared" ca="1" si="750"/>
        <v>100.7567762925065</v>
      </c>
      <c r="H768">
        <f t="shared" ca="1" si="750"/>
        <v>106.99580219871085</v>
      </c>
      <c r="I768">
        <f t="shared" ca="1" si="750"/>
        <v>107.94453664491134</v>
      </c>
      <c r="J768">
        <f t="shared" ca="1" si="750"/>
        <v>106.31287684664129</v>
      </c>
      <c r="K768">
        <f t="shared" ref="K768:P768" ca="1" si="811">J768*EXP(($C$4-0.5*$C$5^2)*$C$10+$C$5*SQRT($C$10)*NORMINV(RAND(),0,1))</f>
        <v>101.89388438374968</v>
      </c>
      <c r="L768">
        <f t="shared" ca="1" si="811"/>
        <v>99.998420277795901</v>
      </c>
      <c r="M768">
        <f t="shared" ca="1" si="811"/>
        <v>101.41648887144594</v>
      </c>
      <c r="N768">
        <f t="shared" ca="1" si="811"/>
        <v>94.922101593736357</v>
      </c>
      <c r="O768">
        <f t="shared" ca="1" si="811"/>
        <v>87.197908166616685</v>
      </c>
      <c r="P768">
        <f t="shared" ca="1" si="811"/>
        <v>81.410301390793791</v>
      </c>
      <c r="Q768">
        <f t="shared" ca="1" si="752"/>
        <v>98.986281515173474</v>
      </c>
      <c r="R768">
        <f t="shared" ca="1" si="753"/>
        <v>0</v>
      </c>
      <c r="S768">
        <f t="shared" ca="1" si="754"/>
        <v>0</v>
      </c>
    </row>
    <row r="769" spans="5:19" x14ac:dyDescent="0.75">
      <c r="E769">
        <v>764</v>
      </c>
      <c r="F769">
        <v>100</v>
      </c>
      <c r="G769">
        <f t="shared" ca="1" si="750"/>
        <v>108.63076733909114</v>
      </c>
      <c r="H769">
        <f t="shared" ca="1" si="750"/>
        <v>116.40236930029077</v>
      </c>
      <c r="I769">
        <f t="shared" ca="1" si="750"/>
        <v>106.13729196331377</v>
      </c>
      <c r="J769">
        <f t="shared" ca="1" si="750"/>
        <v>114.40649927741671</v>
      </c>
      <c r="K769">
        <f t="shared" ref="K769:P769" ca="1" si="812">J769*EXP(($C$4-0.5*$C$5^2)*$C$10+$C$5*SQRT($C$10)*NORMINV(RAND(),0,1))</f>
        <v>113.13646780394943</v>
      </c>
      <c r="L769">
        <f t="shared" ca="1" si="812"/>
        <v>120.86339588688287</v>
      </c>
      <c r="M769">
        <f t="shared" ca="1" si="812"/>
        <v>118.70436856852682</v>
      </c>
      <c r="N769">
        <f t="shared" ca="1" si="812"/>
        <v>120.310498655885</v>
      </c>
      <c r="O769">
        <f t="shared" ca="1" si="812"/>
        <v>111.55620826408008</v>
      </c>
      <c r="P769">
        <f t="shared" ca="1" si="812"/>
        <v>103.3482485274717</v>
      </c>
      <c r="Q769">
        <f t="shared" ca="1" si="752"/>
        <v>112.13601050790076</v>
      </c>
      <c r="R769">
        <f t="shared" ca="1" si="753"/>
        <v>12.136010507900764</v>
      </c>
      <c r="S769">
        <f t="shared" ca="1" si="754"/>
        <v>11.544130291165061</v>
      </c>
    </row>
    <row r="770" spans="5:19" x14ac:dyDescent="0.75">
      <c r="E770">
        <v>765</v>
      </c>
      <c r="F770">
        <v>100</v>
      </c>
      <c r="G770">
        <f t="shared" ca="1" si="750"/>
        <v>101.22977873898191</v>
      </c>
      <c r="H770">
        <f t="shared" ca="1" si="750"/>
        <v>92.806026027802531</v>
      </c>
      <c r="I770">
        <f t="shared" ca="1" si="750"/>
        <v>94.674462387668186</v>
      </c>
      <c r="J770">
        <f t="shared" ca="1" si="750"/>
        <v>96.435834595522266</v>
      </c>
      <c r="K770">
        <f t="shared" ref="K770:P770" ca="1" si="813">J770*EXP(($C$4-0.5*$C$5^2)*$C$10+$C$5*SQRT($C$10)*NORMINV(RAND(),0,1))</f>
        <v>93.760573147507031</v>
      </c>
      <c r="L770">
        <f t="shared" ca="1" si="813"/>
        <v>94.329516644352225</v>
      </c>
      <c r="M770">
        <f t="shared" ca="1" si="813"/>
        <v>90.968925813118176</v>
      </c>
      <c r="N770">
        <f t="shared" ca="1" si="813"/>
        <v>87.780704043821487</v>
      </c>
      <c r="O770">
        <f t="shared" ca="1" si="813"/>
        <v>84.933705087796071</v>
      </c>
      <c r="P770">
        <f t="shared" ca="1" si="813"/>
        <v>92.127105175883202</v>
      </c>
      <c r="Q770">
        <f t="shared" ca="1" si="752"/>
        <v>93.549693787495741</v>
      </c>
      <c r="R770">
        <f t="shared" ca="1" si="753"/>
        <v>0</v>
      </c>
      <c r="S770">
        <f t="shared" ca="1" si="754"/>
        <v>0</v>
      </c>
    </row>
    <row r="771" spans="5:19" x14ac:dyDescent="0.75">
      <c r="E771">
        <v>766</v>
      </c>
      <c r="F771">
        <v>100</v>
      </c>
      <c r="G771">
        <f t="shared" ca="1" si="750"/>
        <v>92.58285039467917</v>
      </c>
      <c r="H771">
        <f t="shared" ca="1" si="750"/>
        <v>96.111722314723664</v>
      </c>
      <c r="I771">
        <f t="shared" ca="1" si="750"/>
        <v>97.51316776687942</v>
      </c>
      <c r="J771">
        <f t="shared" ca="1" si="750"/>
        <v>99.161389983633597</v>
      </c>
      <c r="K771">
        <f t="shared" ref="K771:P771" ca="1" si="814">J771*EXP(($C$4-0.5*$C$5^2)*$C$10+$C$5*SQRT($C$10)*NORMINV(RAND(),0,1))</f>
        <v>94.077129472904801</v>
      </c>
      <c r="L771">
        <f t="shared" ca="1" si="814"/>
        <v>89.069982441265694</v>
      </c>
      <c r="M771">
        <f t="shared" ca="1" si="814"/>
        <v>97.16334821136158</v>
      </c>
      <c r="N771">
        <f t="shared" ca="1" si="814"/>
        <v>104.00561108781751</v>
      </c>
      <c r="O771">
        <f t="shared" ca="1" si="814"/>
        <v>98.155137500534352</v>
      </c>
      <c r="P771">
        <f t="shared" ca="1" si="814"/>
        <v>95.643361624038405</v>
      </c>
      <c r="Q771">
        <f t="shared" ca="1" si="752"/>
        <v>96.680336436167096</v>
      </c>
      <c r="R771">
        <f t="shared" ca="1" si="753"/>
        <v>0</v>
      </c>
      <c r="S771">
        <f t="shared" ca="1" si="754"/>
        <v>0</v>
      </c>
    </row>
    <row r="772" spans="5:19" x14ac:dyDescent="0.75">
      <c r="E772">
        <v>767</v>
      </c>
      <c r="F772">
        <v>100</v>
      </c>
      <c r="G772">
        <f t="shared" ca="1" si="750"/>
        <v>102.62948763954907</v>
      </c>
      <c r="H772">
        <f t="shared" ca="1" si="750"/>
        <v>100.48624012204193</v>
      </c>
      <c r="I772">
        <f t="shared" ca="1" si="750"/>
        <v>99.263692980340267</v>
      </c>
      <c r="J772">
        <f t="shared" ca="1" si="750"/>
        <v>99.836137871768074</v>
      </c>
      <c r="K772">
        <f t="shared" ref="K772:P772" ca="1" si="815">J772*EXP(($C$4-0.5*$C$5^2)*$C$10+$C$5*SQRT($C$10)*NORMINV(RAND(),0,1))</f>
        <v>109.92515826724056</v>
      </c>
      <c r="L772">
        <f t="shared" ca="1" si="815"/>
        <v>112.49179658759212</v>
      </c>
      <c r="M772">
        <f t="shared" ca="1" si="815"/>
        <v>124.03658167694985</v>
      </c>
      <c r="N772">
        <f t="shared" ca="1" si="815"/>
        <v>116.5281807536913</v>
      </c>
      <c r="O772">
        <f t="shared" ca="1" si="815"/>
        <v>121.85275054953927</v>
      </c>
      <c r="P772">
        <f t="shared" ca="1" si="815"/>
        <v>119.51160965338025</v>
      </c>
      <c r="Q772">
        <f t="shared" ca="1" si="752"/>
        <v>109.68742146382661</v>
      </c>
      <c r="R772">
        <f t="shared" ca="1" si="753"/>
        <v>9.6874214638266096</v>
      </c>
      <c r="S772">
        <f t="shared" ca="1" si="754"/>
        <v>9.2149603439316508</v>
      </c>
    </row>
    <row r="773" spans="5:19" x14ac:dyDescent="0.75">
      <c r="E773">
        <v>768</v>
      </c>
      <c r="F773">
        <v>100</v>
      </c>
      <c r="G773">
        <f t="shared" ca="1" si="750"/>
        <v>98.429386302010059</v>
      </c>
      <c r="H773">
        <f t="shared" ca="1" si="750"/>
        <v>96.554549760119542</v>
      </c>
      <c r="I773">
        <f t="shared" ca="1" si="750"/>
        <v>94.785625703343555</v>
      </c>
      <c r="J773">
        <f t="shared" ca="1" si="750"/>
        <v>87.37771853484557</v>
      </c>
      <c r="K773">
        <f t="shared" ref="K773:P773" ca="1" si="816">J773*EXP(($C$4-0.5*$C$5^2)*$C$10+$C$5*SQRT($C$10)*NORMINV(RAND(),0,1))</f>
        <v>95.672387637862172</v>
      </c>
      <c r="L773">
        <f t="shared" ca="1" si="816"/>
        <v>99.634955535845791</v>
      </c>
      <c r="M773">
        <f t="shared" ca="1" si="816"/>
        <v>103.42480894778059</v>
      </c>
      <c r="N773">
        <f t="shared" ca="1" si="816"/>
        <v>101.86102492737186</v>
      </c>
      <c r="O773">
        <f t="shared" ca="1" si="816"/>
        <v>97.09090675328477</v>
      </c>
      <c r="P773">
        <f t="shared" ca="1" si="816"/>
        <v>108.82591059083222</v>
      </c>
      <c r="Q773">
        <f t="shared" ca="1" si="752"/>
        <v>98.514297699390553</v>
      </c>
      <c r="R773">
        <f t="shared" ca="1" si="753"/>
        <v>0</v>
      </c>
      <c r="S773">
        <f t="shared" ca="1" si="754"/>
        <v>0</v>
      </c>
    </row>
    <row r="774" spans="5:19" x14ac:dyDescent="0.75">
      <c r="E774">
        <v>769</v>
      </c>
      <c r="F774">
        <v>100</v>
      </c>
      <c r="G774">
        <f t="shared" ca="1" si="750"/>
        <v>116.41466703916605</v>
      </c>
      <c r="H774">
        <f t="shared" ca="1" si="750"/>
        <v>122.79269251163272</v>
      </c>
      <c r="I774">
        <f t="shared" ca="1" si="750"/>
        <v>131.12120199566769</v>
      </c>
      <c r="J774">
        <f t="shared" ref="J774:P774" ca="1" si="817">I774*EXP(($C$4-0.5*$C$5^2)*$C$10+$C$5*SQRT($C$10)*NORMINV(RAND(),0,1))</f>
        <v>120.08754181669562</v>
      </c>
      <c r="K774">
        <f t="shared" ca="1" si="817"/>
        <v>111.68053473243992</v>
      </c>
      <c r="L774">
        <f t="shared" ca="1" si="817"/>
        <v>104.09531625828572</v>
      </c>
      <c r="M774">
        <f t="shared" ca="1" si="817"/>
        <v>83.171686359097961</v>
      </c>
      <c r="N774">
        <f t="shared" ca="1" si="817"/>
        <v>95.179647694205514</v>
      </c>
      <c r="O774">
        <f t="shared" ca="1" si="817"/>
        <v>90.210001298936049</v>
      </c>
      <c r="P774">
        <f t="shared" ca="1" si="817"/>
        <v>94.825402938092125</v>
      </c>
      <c r="Q774">
        <f t="shared" ca="1" si="752"/>
        <v>106.32533569492904</v>
      </c>
      <c r="R774">
        <f t="shared" ca="1" si="753"/>
        <v>6.3253356949290378</v>
      </c>
      <c r="S774">
        <f t="shared" ca="1" si="754"/>
        <v>6.0168454328611727</v>
      </c>
    </row>
    <row r="775" spans="5:19" x14ac:dyDescent="0.75">
      <c r="E775">
        <v>770</v>
      </c>
      <c r="F775">
        <v>100</v>
      </c>
      <c r="G775">
        <f t="shared" ref="G775:J838" ca="1" si="818">F775*EXP(($C$4-0.5*$C$5^2)*$C$10+$C$5*SQRT($C$10)*NORMINV(RAND(),0,1))</f>
        <v>103.56945687418282</v>
      </c>
      <c r="H775">
        <f t="shared" ca="1" si="818"/>
        <v>101.23216739070618</v>
      </c>
      <c r="I775">
        <f t="shared" ca="1" si="818"/>
        <v>102.27793458593027</v>
      </c>
      <c r="J775">
        <f t="shared" ca="1" si="818"/>
        <v>96.755140676403954</v>
      </c>
      <c r="K775">
        <f t="shared" ref="K775:P775" ca="1" si="819">J775*EXP(($C$4-0.5*$C$5^2)*$C$10+$C$5*SQRT($C$10)*NORMINV(RAND(),0,1))</f>
        <v>90.524134371291481</v>
      </c>
      <c r="L775">
        <f t="shared" ca="1" si="819"/>
        <v>97.039039228435158</v>
      </c>
      <c r="M775">
        <f t="shared" ca="1" si="819"/>
        <v>100.37016027351864</v>
      </c>
      <c r="N775">
        <f t="shared" ca="1" si="819"/>
        <v>103.52258418657856</v>
      </c>
      <c r="O775">
        <f t="shared" ca="1" si="819"/>
        <v>97.614862511192854</v>
      </c>
      <c r="P775">
        <f t="shared" ca="1" si="819"/>
        <v>86.819846232185796</v>
      </c>
      <c r="Q775">
        <f t="shared" ref="Q775:Q838" ca="1" si="820">AVERAGE(F775:P775)</f>
        <v>98.156847848220522</v>
      </c>
      <c r="R775">
        <f t="shared" ref="R775:R838" ca="1" si="821">MAX(Q775-$C$7,0)</f>
        <v>0</v>
      </c>
      <c r="S775">
        <f t="shared" ref="S775:S838" ca="1" si="822">EXP(-$C$4*$C$6)*R775</f>
        <v>0</v>
      </c>
    </row>
    <row r="776" spans="5:19" x14ac:dyDescent="0.75">
      <c r="E776">
        <v>771</v>
      </c>
      <c r="F776">
        <v>100</v>
      </c>
      <c r="G776">
        <f t="shared" ca="1" si="818"/>
        <v>101.56682591303002</v>
      </c>
      <c r="H776">
        <f t="shared" ca="1" si="818"/>
        <v>98.203168043328091</v>
      </c>
      <c r="I776">
        <f t="shared" ca="1" si="818"/>
        <v>100.90072180381068</v>
      </c>
      <c r="J776">
        <f t="shared" ca="1" si="818"/>
        <v>102.49681830464326</v>
      </c>
      <c r="K776">
        <f t="shared" ref="K776:P776" ca="1" si="823">J776*EXP(($C$4-0.5*$C$5^2)*$C$10+$C$5*SQRT($C$10)*NORMINV(RAND(),0,1))</f>
        <v>96.624763982763923</v>
      </c>
      <c r="L776">
        <f t="shared" ca="1" si="823"/>
        <v>101.48016899352139</v>
      </c>
      <c r="M776">
        <f t="shared" ca="1" si="823"/>
        <v>100.76844331958792</v>
      </c>
      <c r="N776">
        <f t="shared" ca="1" si="823"/>
        <v>97.698454377817455</v>
      </c>
      <c r="O776">
        <f t="shared" ca="1" si="823"/>
        <v>99.115971271479665</v>
      </c>
      <c r="P776">
        <f t="shared" ca="1" si="823"/>
        <v>101.13406087677562</v>
      </c>
      <c r="Q776">
        <f t="shared" ca="1" si="820"/>
        <v>99.999036080614374</v>
      </c>
      <c r="R776">
        <f t="shared" ca="1" si="821"/>
        <v>0</v>
      </c>
      <c r="S776">
        <f t="shared" ca="1" si="822"/>
        <v>0</v>
      </c>
    </row>
    <row r="777" spans="5:19" x14ac:dyDescent="0.75">
      <c r="E777">
        <v>772</v>
      </c>
      <c r="F777">
        <v>100</v>
      </c>
      <c r="G777">
        <f t="shared" ca="1" si="818"/>
        <v>94.989561325298283</v>
      </c>
      <c r="H777">
        <f t="shared" ca="1" si="818"/>
        <v>91.605273949758683</v>
      </c>
      <c r="I777">
        <f t="shared" ca="1" si="818"/>
        <v>96.63345561234604</v>
      </c>
      <c r="J777">
        <f t="shared" ca="1" si="818"/>
        <v>87.329576875118107</v>
      </c>
      <c r="K777">
        <f t="shared" ref="K777:P777" ca="1" si="824">J777*EXP(($C$4-0.5*$C$5^2)*$C$10+$C$5*SQRT($C$10)*NORMINV(RAND(),0,1))</f>
        <v>91.678151800139688</v>
      </c>
      <c r="L777">
        <f t="shared" ca="1" si="824"/>
        <v>95.594327140888737</v>
      </c>
      <c r="M777">
        <f t="shared" ca="1" si="824"/>
        <v>100.6094013780324</v>
      </c>
      <c r="N777">
        <f t="shared" ca="1" si="824"/>
        <v>108.0491815525757</v>
      </c>
      <c r="O777">
        <f t="shared" ca="1" si="824"/>
        <v>101.27796925874891</v>
      </c>
      <c r="P777">
        <f t="shared" ca="1" si="824"/>
        <v>96.161289737625751</v>
      </c>
      <c r="Q777">
        <f t="shared" ca="1" si="820"/>
        <v>96.720744420957487</v>
      </c>
      <c r="R777">
        <f t="shared" ca="1" si="821"/>
        <v>0</v>
      </c>
      <c r="S777">
        <f t="shared" ca="1" si="822"/>
        <v>0</v>
      </c>
    </row>
    <row r="778" spans="5:19" x14ac:dyDescent="0.75">
      <c r="E778">
        <v>773</v>
      </c>
      <c r="F778">
        <v>100</v>
      </c>
      <c r="G778">
        <f t="shared" ca="1" si="818"/>
        <v>108.07033698608008</v>
      </c>
      <c r="H778">
        <f t="shared" ca="1" si="818"/>
        <v>101.36145925883991</v>
      </c>
      <c r="I778">
        <f t="shared" ca="1" si="818"/>
        <v>98.127586159446125</v>
      </c>
      <c r="J778">
        <f t="shared" ca="1" si="818"/>
        <v>102.95851930006008</v>
      </c>
      <c r="K778">
        <f t="shared" ref="K778:P778" ca="1" si="825">J778*EXP(($C$4-0.5*$C$5^2)*$C$10+$C$5*SQRT($C$10)*NORMINV(RAND(),0,1))</f>
        <v>99.781361071208082</v>
      </c>
      <c r="L778">
        <f t="shared" ca="1" si="825"/>
        <v>102.38089078644964</v>
      </c>
      <c r="M778">
        <f t="shared" ca="1" si="825"/>
        <v>110.97508037199026</v>
      </c>
      <c r="N778">
        <f t="shared" ca="1" si="825"/>
        <v>112.25458373379324</v>
      </c>
      <c r="O778">
        <f t="shared" ca="1" si="825"/>
        <v>105.06797088941258</v>
      </c>
      <c r="P778">
        <f t="shared" ca="1" si="825"/>
        <v>111.42387713128979</v>
      </c>
      <c r="Q778">
        <f t="shared" ca="1" si="820"/>
        <v>104.76378778986999</v>
      </c>
      <c r="R778">
        <f t="shared" ca="1" si="821"/>
        <v>4.7637877898699941</v>
      </c>
      <c r="S778">
        <f t="shared" ca="1" si="822"/>
        <v>4.5314551178015625</v>
      </c>
    </row>
    <row r="779" spans="5:19" x14ac:dyDescent="0.75">
      <c r="E779">
        <v>774</v>
      </c>
      <c r="F779">
        <v>100</v>
      </c>
      <c r="G779">
        <f t="shared" ca="1" si="818"/>
        <v>101.57201416755495</v>
      </c>
      <c r="H779">
        <f t="shared" ca="1" si="818"/>
        <v>103.4993184690837</v>
      </c>
      <c r="I779">
        <f t="shared" ca="1" si="818"/>
        <v>99.293031276446655</v>
      </c>
      <c r="J779">
        <f t="shared" ca="1" si="818"/>
        <v>96.918204590753319</v>
      </c>
      <c r="K779">
        <f t="shared" ref="K779:P779" ca="1" si="826">J779*EXP(($C$4-0.5*$C$5^2)*$C$10+$C$5*SQRT($C$10)*NORMINV(RAND(),0,1))</f>
        <v>97.264228297725893</v>
      </c>
      <c r="L779">
        <f t="shared" ca="1" si="826"/>
        <v>100.57635938886614</v>
      </c>
      <c r="M779">
        <f t="shared" ca="1" si="826"/>
        <v>98.999538236601794</v>
      </c>
      <c r="N779">
        <f t="shared" ca="1" si="826"/>
        <v>91.715713776995031</v>
      </c>
      <c r="O779">
        <f t="shared" ca="1" si="826"/>
        <v>95.271002403121429</v>
      </c>
      <c r="P779">
        <f t="shared" ca="1" si="826"/>
        <v>96.878342164810235</v>
      </c>
      <c r="Q779">
        <f t="shared" ca="1" si="820"/>
        <v>98.362522979269002</v>
      </c>
      <c r="R779">
        <f t="shared" ca="1" si="821"/>
        <v>0</v>
      </c>
      <c r="S779">
        <f t="shared" ca="1" si="822"/>
        <v>0</v>
      </c>
    </row>
    <row r="780" spans="5:19" x14ac:dyDescent="0.75">
      <c r="E780">
        <v>775</v>
      </c>
      <c r="F780">
        <v>100</v>
      </c>
      <c r="G780">
        <f t="shared" ca="1" si="818"/>
        <v>101.88006532643929</v>
      </c>
      <c r="H780">
        <f t="shared" ca="1" si="818"/>
        <v>100.07556319811403</v>
      </c>
      <c r="I780">
        <f t="shared" ca="1" si="818"/>
        <v>106.69251170954371</v>
      </c>
      <c r="J780">
        <f t="shared" ca="1" si="818"/>
        <v>99.543136482643334</v>
      </c>
      <c r="K780">
        <f t="shared" ref="K780:P780" ca="1" si="827">J780*EXP(($C$4-0.5*$C$5^2)*$C$10+$C$5*SQRT($C$10)*NORMINV(RAND(),0,1))</f>
        <v>108.58256062933013</v>
      </c>
      <c r="L780">
        <f t="shared" ca="1" si="827"/>
        <v>114.54350005370708</v>
      </c>
      <c r="M780">
        <f t="shared" ca="1" si="827"/>
        <v>126.89985849006645</v>
      </c>
      <c r="N780">
        <f t="shared" ca="1" si="827"/>
        <v>133.15879184547893</v>
      </c>
      <c r="O780">
        <f t="shared" ca="1" si="827"/>
        <v>147.73909247560454</v>
      </c>
      <c r="P780">
        <f t="shared" ca="1" si="827"/>
        <v>153.43402768791154</v>
      </c>
      <c r="Q780">
        <f t="shared" ca="1" si="820"/>
        <v>117.5044643544399</v>
      </c>
      <c r="R780">
        <f t="shared" ca="1" si="821"/>
        <v>17.504464354439904</v>
      </c>
      <c r="S780">
        <f t="shared" ca="1" si="822"/>
        <v>16.650761554067131</v>
      </c>
    </row>
    <row r="781" spans="5:19" x14ac:dyDescent="0.75">
      <c r="E781">
        <v>776</v>
      </c>
      <c r="F781">
        <v>100</v>
      </c>
      <c r="G781">
        <f t="shared" ca="1" si="818"/>
        <v>99.501363178191085</v>
      </c>
      <c r="H781">
        <f t="shared" ca="1" si="818"/>
        <v>97.655946455799182</v>
      </c>
      <c r="I781">
        <f t="shared" ca="1" si="818"/>
        <v>98.556755588047963</v>
      </c>
      <c r="J781">
        <f t="shared" ca="1" si="818"/>
        <v>104.51222833030238</v>
      </c>
      <c r="K781">
        <f t="shared" ref="K781:P781" ca="1" si="828">J781*EXP(($C$4-0.5*$C$5^2)*$C$10+$C$5*SQRT($C$10)*NORMINV(RAND(),0,1))</f>
        <v>108.92251373729034</v>
      </c>
      <c r="L781">
        <f t="shared" ca="1" si="828"/>
        <v>104.45944296813113</v>
      </c>
      <c r="M781">
        <f t="shared" ca="1" si="828"/>
        <v>93.931306230974755</v>
      </c>
      <c r="N781">
        <f t="shared" ca="1" si="828"/>
        <v>106.68091258735939</v>
      </c>
      <c r="O781">
        <f t="shared" ca="1" si="828"/>
        <v>101.80945141547235</v>
      </c>
      <c r="P781">
        <f t="shared" ca="1" si="828"/>
        <v>105.66935906831083</v>
      </c>
      <c r="Q781">
        <f t="shared" ca="1" si="820"/>
        <v>101.97266177817087</v>
      </c>
      <c r="R781">
        <f t="shared" ca="1" si="821"/>
        <v>1.972661778170874</v>
      </c>
      <c r="S781">
        <f t="shared" ca="1" si="822"/>
        <v>1.8764539279840355</v>
      </c>
    </row>
    <row r="782" spans="5:19" x14ac:dyDescent="0.75">
      <c r="E782">
        <v>777</v>
      </c>
      <c r="F782">
        <v>100</v>
      </c>
      <c r="G782">
        <f t="shared" ca="1" si="818"/>
        <v>99.304144296327621</v>
      </c>
      <c r="H782">
        <f t="shared" ca="1" si="818"/>
        <v>98.560029103857843</v>
      </c>
      <c r="I782">
        <f t="shared" ca="1" si="818"/>
        <v>100.27903221019652</v>
      </c>
      <c r="J782">
        <f t="shared" ca="1" si="818"/>
        <v>98.894335325261522</v>
      </c>
      <c r="K782">
        <f t="shared" ref="K782:P782" ca="1" si="829">J782*EXP(($C$4-0.5*$C$5^2)*$C$10+$C$5*SQRT($C$10)*NORMINV(RAND(),0,1))</f>
        <v>90.589893746963028</v>
      </c>
      <c r="L782">
        <f t="shared" ca="1" si="829"/>
        <v>86.934404504559225</v>
      </c>
      <c r="M782">
        <f t="shared" ca="1" si="829"/>
        <v>80.790311434808487</v>
      </c>
      <c r="N782">
        <f t="shared" ca="1" si="829"/>
        <v>78.323969658901575</v>
      </c>
      <c r="O782">
        <f t="shared" ca="1" si="829"/>
        <v>80.004083880828119</v>
      </c>
      <c r="P782">
        <f t="shared" ca="1" si="829"/>
        <v>82.935096018250093</v>
      </c>
      <c r="Q782">
        <f t="shared" ca="1" si="820"/>
        <v>90.60139092545036</v>
      </c>
      <c r="R782">
        <f t="shared" ca="1" si="821"/>
        <v>0</v>
      </c>
      <c r="S782">
        <f t="shared" ca="1" si="822"/>
        <v>0</v>
      </c>
    </row>
    <row r="783" spans="5:19" x14ac:dyDescent="0.75">
      <c r="E783">
        <v>778</v>
      </c>
      <c r="F783">
        <v>100</v>
      </c>
      <c r="G783">
        <f t="shared" ca="1" si="818"/>
        <v>98.56403964454708</v>
      </c>
      <c r="H783">
        <f t="shared" ca="1" si="818"/>
        <v>90.936519607980046</v>
      </c>
      <c r="I783">
        <f t="shared" ca="1" si="818"/>
        <v>96.106818381308941</v>
      </c>
      <c r="J783">
        <f t="shared" ca="1" si="818"/>
        <v>107.15349739911647</v>
      </c>
      <c r="K783">
        <f t="shared" ref="K783:P783" ca="1" si="830">J783*EXP(($C$4-0.5*$C$5^2)*$C$10+$C$5*SQRT($C$10)*NORMINV(RAND(),0,1))</f>
        <v>93.602116209279217</v>
      </c>
      <c r="L783">
        <f t="shared" ca="1" si="830"/>
        <v>92.767410537143704</v>
      </c>
      <c r="M783">
        <f t="shared" ca="1" si="830"/>
        <v>84.992982467368066</v>
      </c>
      <c r="N783">
        <f t="shared" ca="1" si="830"/>
        <v>89.489466935270727</v>
      </c>
      <c r="O783">
        <f t="shared" ca="1" si="830"/>
        <v>89.229061170245771</v>
      </c>
      <c r="P783">
        <f t="shared" ca="1" si="830"/>
        <v>89.575166134006579</v>
      </c>
      <c r="Q783">
        <f t="shared" ca="1" si="820"/>
        <v>93.85609804420605</v>
      </c>
      <c r="R783">
        <f t="shared" ca="1" si="821"/>
        <v>0</v>
      </c>
      <c r="S783">
        <f t="shared" ca="1" si="822"/>
        <v>0</v>
      </c>
    </row>
    <row r="784" spans="5:19" x14ac:dyDescent="0.75">
      <c r="E784">
        <v>779</v>
      </c>
      <c r="F784">
        <v>100</v>
      </c>
      <c r="G784">
        <f t="shared" ca="1" si="818"/>
        <v>104.8198235668212</v>
      </c>
      <c r="H784">
        <f t="shared" ca="1" si="818"/>
        <v>101.58793593482056</v>
      </c>
      <c r="I784">
        <f t="shared" ca="1" si="818"/>
        <v>101.20207496581985</v>
      </c>
      <c r="J784">
        <f t="shared" ca="1" si="818"/>
        <v>100.09793884988477</v>
      </c>
      <c r="K784">
        <f t="shared" ref="K784:P784" ca="1" si="831">J784*EXP(($C$4-0.5*$C$5^2)*$C$10+$C$5*SQRT($C$10)*NORMINV(RAND(),0,1))</f>
        <v>102.60043135866088</v>
      </c>
      <c r="L784">
        <f t="shared" ca="1" si="831"/>
        <v>100.30822777827052</v>
      </c>
      <c r="M784">
        <f t="shared" ca="1" si="831"/>
        <v>112.04338741013083</v>
      </c>
      <c r="N784">
        <f t="shared" ca="1" si="831"/>
        <v>117.06816116470668</v>
      </c>
      <c r="O784">
        <f t="shared" ca="1" si="831"/>
        <v>110.58586130431517</v>
      </c>
      <c r="P784">
        <f t="shared" ca="1" si="831"/>
        <v>112.8105549432117</v>
      </c>
      <c r="Q784">
        <f t="shared" ca="1" si="820"/>
        <v>105.73858157060381</v>
      </c>
      <c r="R784">
        <f t="shared" ca="1" si="821"/>
        <v>5.738581570603813</v>
      </c>
      <c r="S784">
        <f t="shared" ca="1" si="822"/>
        <v>5.4587076448558687</v>
      </c>
    </row>
    <row r="785" spans="5:19" x14ac:dyDescent="0.75">
      <c r="E785">
        <v>780</v>
      </c>
      <c r="F785">
        <v>100</v>
      </c>
      <c r="G785">
        <f t="shared" ca="1" si="818"/>
        <v>101.98517316739503</v>
      </c>
      <c r="H785">
        <f t="shared" ca="1" si="818"/>
        <v>93.910039793725602</v>
      </c>
      <c r="I785">
        <f t="shared" ca="1" si="818"/>
        <v>93.325330327863242</v>
      </c>
      <c r="J785">
        <f t="shared" ca="1" si="818"/>
        <v>91.819297562082298</v>
      </c>
      <c r="K785">
        <f t="shared" ref="K785:P785" ca="1" si="832">J785*EXP(($C$4-0.5*$C$5^2)*$C$10+$C$5*SQRT($C$10)*NORMINV(RAND(),0,1))</f>
        <v>86.624813997616101</v>
      </c>
      <c r="L785">
        <f t="shared" ca="1" si="832"/>
        <v>86.360369610631267</v>
      </c>
      <c r="M785">
        <f t="shared" ca="1" si="832"/>
        <v>86.090529830898816</v>
      </c>
      <c r="N785">
        <f t="shared" ca="1" si="832"/>
        <v>84.166531806800919</v>
      </c>
      <c r="O785">
        <f t="shared" ca="1" si="832"/>
        <v>87.914192560079101</v>
      </c>
      <c r="P785">
        <f t="shared" ca="1" si="832"/>
        <v>87.172462337242195</v>
      </c>
      <c r="Q785">
        <f t="shared" ca="1" si="820"/>
        <v>90.851703726757691</v>
      </c>
      <c r="R785">
        <f t="shared" ca="1" si="821"/>
        <v>0</v>
      </c>
      <c r="S785">
        <f t="shared" ca="1" si="822"/>
        <v>0</v>
      </c>
    </row>
    <row r="786" spans="5:19" x14ac:dyDescent="0.75">
      <c r="E786">
        <v>781</v>
      </c>
      <c r="F786">
        <v>100</v>
      </c>
      <c r="G786">
        <f t="shared" ca="1" si="818"/>
        <v>112.13079130666162</v>
      </c>
      <c r="H786">
        <f t="shared" ca="1" si="818"/>
        <v>114.91359018608595</v>
      </c>
      <c r="I786">
        <f t="shared" ca="1" si="818"/>
        <v>124.50053393804643</v>
      </c>
      <c r="J786">
        <f t="shared" ca="1" si="818"/>
        <v>123.07065679188902</v>
      </c>
      <c r="K786">
        <f t="shared" ref="K786:P786" ca="1" si="833">J786*EXP(($C$4-0.5*$C$5^2)*$C$10+$C$5*SQRT($C$10)*NORMINV(RAND(),0,1))</f>
        <v>122.50407598247328</v>
      </c>
      <c r="L786">
        <f t="shared" ca="1" si="833"/>
        <v>122.05458246423888</v>
      </c>
      <c r="M786">
        <f t="shared" ca="1" si="833"/>
        <v>120.2991308168293</v>
      </c>
      <c r="N786">
        <f t="shared" ca="1" si="833"/>
        <v>123.8555358877035</v>
      </c>
      <c r="O786">
        <f t="shared" ca="1" si="833"/>
        <v>125.52335031448433</v>
      </c>
      <c r="P786">
        <f t="shared" ca="1" si="833"/>
        <v>123.32261247833475</v>
      </c>
      <c r="Q786">
        <f t="shared" ca="1" si="820"/>
        <v>119.28862365152249</v>
      </c>
      <c r="R786">
        <f t="shared" ca="1" si="821"/>
        <v>19.288623651522485</v>
      </c>
      <c r="S786">
        <f t="shared" ca="1" si="822"/>
        <v>18.347906375448595</v>
      </c>
    </row>
    <row r="787" spans="5:19" x14ac:dyDescent="0.75">
      <c r="E787">
        <v>782</v>
      </c>
      <c r="F787">
        <v>100</v>
      </c>
      <c r="G787">
        <f t="shared" ca="1" si="818"/>
        <v>92.015882486011307</v>
      </c>
      <c r="H787">
        <f t="shared" ca="1" si="818"/>
        <v>99.267344249829293</v>
      </c>
      <c r="I787">
        <f t="shared" ca="1" si="818"/>
        <v>96.708231339731526</v>
      </c>
      <c r="J787">
        <f t="shared" ca="1" si="818"/>
        <v>99.550510255418516</v>
      </c>
      <c r="K787">
        <f t="shared" ref="K787:P787" ca="1" si="834">J787*EXP(($C$4-0.5*$C$5^2)*$C$10+$C$5*SQRT($C$10)*NORMINV(RAND(),0,1))</f>
        <v>97.672859254623745</v>
      </c>
      <c r="L787">
        <f t="shared" ca="1" si="834"/>
        <v>111.09991595971465</v>
      </c>
      <c r="M787">
        <f t="shared" ca="1" si="834"/>
        <v>121.70798989836453</v>
      </c>
      <c r="N787">
        <f t="shared" ca="1" si="834"/>
        <v>112.13810704484553</v>
      </c>
      <c r="O787">
        <f t="shared" ca="1" si="834"/>
        <v>112.93396307646645</v>
      </c>
      <c r="P787">
        <f t="shared" ca="1" si="834"/>
        <v>111.77815803354216</v>
      </c>
      <c r="Q787">
        <f t="shared" ca="1" si="820"/>
        <v>104.98845105441343</v>
      </c>
      <c r="R787">
        <f t="shared" ca="1" si="821"/>
        <v>4.9884510544134315</v>
      </c>
      <c r="S787">
        <f t="shared" ca="1" si="822"/>
        <v>4.7451614256396688</v>
      </c>
    </row>
    <row r="788" spans="5:19" x14ac:dyDescent="0.75">
      <c r="E788">
        <v>783</v>
      </c>
      <c r="F788">
        <v>100</v>
      </c>
      <c r="G788">
        <f t="shared" ca="1" si="818"/>
        <v>91.839637469861444</v>
      </c>
      <c r="H788">
        <f t="shared" ca="1" si="818"/>
        <v>104.25725461250275</v>
      </c>
      <c r="I788">
        <f t="shared" ca="1" si="818"/>
        <v>107.25684405188287</v>
      </c>
      <c r="J788">
        <f t="shared" ca="1" si="818"/>
        <v>109.84633303661903</v>
      </c>
      <c r="K788">
        <f t="shared" ref="K788:P788" ca="1" si="835">J788*EXP(($C$4-0.5*$C$5^2)*$C$10+$C$5*SQRT($C$10)*NORMINV(RAND(),0,1))</f>
        <v>117.79168977730403</v>
      </c>
      <c r="L788">
        <f t="shared" ca="1" si="835"/>
        <v>111.18102264701869</v>
      </c>
      <c r="M788">
        <f t="shared" ca="1" si="835"/>
        <v>118.75018299553454</v>
      </c>
      <c r="N788">
        <f t="shared" ca="1" si="835"/>
        <v>120.90035356518938</v>
      </c>
      <c r="O788">
        <f t="shared" ca="1" si="835"/>
        <v>120.266765423678</v>
      </c>
      <c r="P788">
        <f t="shared" ca="1" si="835"/>
        <v>121.56211035585342</v>
      </c>
      <c r="Q788">
        <f t="shared" ca="1" si="820"/>
        <v>111.24110853958582</v>
      </c>
      <c r="R788">
        <f t="shared" ca="1" si="821"/>
        <v>11.241108539585824</v>
      </c>
      <c r="S788">
        <f t="shared" ca="1" si="822"/>
        <v>10.692873206860284</v>
      </c>
    </row>
    <row r="789" spans="5:19" x14ac:dyDescent="0.75">
      <c r="E789">
        <v>784</v>
      </c>
      <c r="F789">
        <v>100</v>
      </c>
      <c r="G789">
        <f t="shared" ca="1" si="818"/>
        <v>104.13338129106187</v>
      </c>
      <c r="H789">
        <f t="shared" ca="1" si="818"/>
        <v>100.75096280662663</v>
      </c>
      <c r="I789">
        <f t="shared" ca="1" si="818"/>
        <v>98.450589275693972</v>
      </c>
      <c r="J789">
        <f t="shared" ca="1" si="818"/>
        <v>101.79185316739083</v>
      </c>
      <c r="K789">
        <f t="shared" ref="K789:P789" ca="1" si="836">J789*EXP(($C$4-0.5*$C$5^2)*$C$10+$C$5*SQRT($C$10)*NORMINV(RAND(),0,1))</f>
        <v>103.80423866458106</v>
      </c>
      <c r="L789">
        <f t="shared" ca="1" si="836"/>
        <v>98.718716533778974</v>
      </c>
      <c r="M789">
        <f t="shared" ca="1" si="836"/>
        <v>93.102513274948578</v>
      </c>
      <c r="N789">
        <f t="shared" ca="1" si="836"/>
        <v>100.49610105569788</v>
      </c>
      <c r="O789">
        <f t="shared" ca="1" si="836"/>
        <v>100.22803549538526</v>
      </c>
      <c r="P789">
        <f t="shared" ca="1" si="836"/>
        <v>99.676633663717794</v>
      </c>
      <c r="Q789">
        <f t="shared" ca="1" si="820"/>
        <v>100.10482047535298</v>
      </c>
      <c r="R789">
        <f t="shared" ca="1" si="821"/>
        <v>0.10482047535298022</v>
      </c>
      <c r="S789">
        <f t="shared" ca="1" si="822"/>
        <v>9.9708320445906662E-2</v>
      </c>
    </row>
    <row r="790" spans="5:19" x14ac:dyDescent="0.75">
      <c r="E790">
        <v>785</v>
      </c>
      <c r="F790">
        <v>100</v>
      </c>
      <c r="G790">
        <f t="shared" ca="1" si="818"/>
        <v>94.443646224160119</v>
      </c>
      <c r="H790">
        <f t="shared" ca="1" si="818"/>
        <v>100.3261988582824</v>
      </c>
      <c r="I790">
        <f t="shared" ca="1" si="818"/>
        <v>110.17644214065696</v>
      </c>
      <c r="J790">
        <f t="shared" ca="1" si="818"/>
        <v>106.21403899353321</v>
      </c>
      <c r="K790">
        <f t="shared" ref="K790:P790" ca="1" si="837">J790*EXP(($C$4-0.5*$C$5^2)*$C$10+$C$5*SQRT($C$10)*NORMINV(RAND(),0,1))</f>
        <v>104.54442263397944</v>
      </c>
      <c r="L790">
        <f t="shared" ca="1" si="837"/>
        <v>103.65892804383419</v>
      </c>
      <c r="M790">
        <f t="shared" ca="1" si="837"/>
        <v>93.698509088011505</v>
      </c>
      <c r="N790">
        <f t="shared" ca="1" si="837"/>
        <v>98.772469135365512</v>
      </c>
      <c r="O790">
        <f t="shared" ca="1" si="837"/>
        <v>97.755074880688781</v>
      </c>
      <c r="P790">
        <f t="shared" ca="1" si="837"/>
        <v>98.017228060002338</v>
      </c>
      <c r="Q790">
        <f t="shared" ca="1" si="820"/>
        <v>100.69154164168313</v>
      </c>
      <c r="R790">
        <f t="shared" ca="1" si="821"/>
        <v>0.69154164168313059</v>
      </c>
      <c r="S790">
        <f t="shared" ca="1" si="822"/>
        <v>0.65781475783652332</v>
      </c>
    </row>
    <row r="791" spans="5:19" x14ac:dyDescent="0.75">
      <c r="E791">
        <v>786</v>
      </c>
      <c r="F791">
        <v>100</v>
      </c>
      <c r="G791">
        <f t="shared" ca="1" si="818"/>
        <v>98.405900979498384</v>
      </c>
      <c r="H791">
        <f t="shared" ca="1" si="818"/>
        <v>96.20191146496272</v>
      </c>
      <c r="I791">
        <f t="shared" ca="1" si="818"/>
        <v>92.125874987483755</v>
      </c>
      <c r="J791">
        <f t="shared" ca="1" si="818"/>
        <v>86.222773305265562</v>
      </c>
      <c r="K791">
        <f t="shared" ref="K791:P791" ca="1" si="838">J791*EXP(($C$4-0.5*$C$5^2)*$C$10+$C$5*SQRT($C$10)*NORMINV(RAND(),0,1))</f>
        <v>84.947269598766709</v>
      </c>
      <c r="L791">
        <f t="shared" ca="1" si="838"/>
        <v>80.136356756865538</v>
      </c>
      <c r="M791">
        <f t="shared" ca="1" si="838"/>
        <v>76.38383933480381</v>
      </c>
      <c r="N791">
        <f t="shared" ca="1" si="838"/>
        <v>82.716854944132663</v>
      </c>
      <c r="O791">
        <f t="shared" ca="1" si="838"/>
        <v>88.187113867076746</v>
      </c>
      <c r="P791">
        <f t="shared" ca="1" si="838"/>
        <v>80.264089906148982</v>
      </c>
      <c r="Q791">
        <f t="shared" ca="1" si="820"/>
        <v>87.781089558636822</v>
      </c>
      <c r="R791">
        <f t="shared" ca="1" si="821"/>
        <v>0</v>
      </c>
      <c r="S791">
        <f t="shared" ca="1" si="822"/>
        <v>0</v>
      </c>
    </row>
    <row r="792" spans="5:19" x14ac:dyDescent="0.75">
      <c r="E792">
        <v>787</v>
      </c>
      <c r="F792">
        <v>100</v>
      </c>
      <c r="G792">
        <f t="shared" ca="1" si="818"/>
        <v>96.858735919031417</v>
      </c>
      <c r="H792">
        <f t="shared" ca="1" si="818"/>
        <v>97.368836122054645</v>
      </c>
      <c r="I792">
        <f t="shared" ca="1" si="818"/>
        <v>91.233654331406683</v>
      </c>
      <c r="J792">
        <f t="shared" ca="1" si="818"/>
        <v>89.473569434699925</v>
      </c>
      <c r="K792">
        <f t="shared" ref="K792:P792" ca="1" si="839">J792*EXP(($C$4-0.5*$C$5^2)*$C$10+$C$5*SQRT($C$10)*NORMINV(RAND(),0,1))</f>
        <v>84.135709620476163</v>
      </c>
      <c r="L792">
        <f t="shared" ca="1" si="839"/>
        <v>83.470364225781097</v>
      </c>
      <c r="M792">
        <f t="shared" ca="1" si="839"/>
        <v>77.681470057761643</v>
      </c>
      <c r="N792">
        <f t="shared" ca="1" si="839"/>
        <v>80.676092413285559</v>
      </c>
      <c r="O792">
        <f t="shared" ca="1" si="839"/>
        <v>88.91323993101885</v>
      </c>
      <c r="P792">
        <f t="shared" ca="1" si="839"/>
        <v>89.680331116126965</v>
      </c>
      <c r="Q792">
        <f t="shared" ca="1" si="820"/>
        <v>89.044727561058437</v>
      </c>
      <c r="R792">
        <f t="shared" ca="1" si="821"/>
        <v>0</v>
      </c>
      <c r="S792">
        <f t="shared" ca="1" si="822"/>
        <v>0</v>
      </c>
    </row>
    <row r="793" spans="5:19" x14ac:dyDescent="0.75">
      <c r="E793">
        <v>788</v>
      </c>
      <c r="F793">
        <v>100</v>
      </c>
      <c r="G793">
        <f t="shared" ca="1" si="818"/>
        <v>117.83171354470593</v>
      </c>
      <c r="H793">
        <f t="shared" ca="1" si="818"/>
        <v>120.80439004476237</v>
      </c>
      <c r="I793">
        <f t="shared" ca="1" si="818"/>
        <v>134.54444706594987</v>
      </c>
      <c r="J793">
        <f t="shared" ca="1" si="818"/>
        <v>134.21337214082112</v>
      </c>
      <c r="K793">
        <f t="shared" ref="K793:P793" ca="1" si="840">J793*EXP(($C$4-0.5*$C$5^2)*$C$10+$C$5*SQRT($C$10)*NORMINV(RAND(),0,1))</f>
        <v>133.38212700710994</v>
      </c>
      <c r="L793">
        <f t="shared" ca="1" si="840"/>
        <v>138.06583475432859</v>
      </c>
      <c r="M793">
        <f t="shared" ca="1" si="840"/>
        <v>127.94959833618177</v>
      </c>
      <c r="N793">
        <f t="shared" ca="1" si="840"/>
        <v>133.2743359772326</v>
      </c>
      <c r="O793">
        <f t="shared" ca="1" si="840"/>
        <v>130.68458346515408</v>
      </c>
      <c r="P793">
        <f t="shared" ca="1" si="840"/>
        <v>136.38228914203111</v>
      </c>
      <c r="Q793">
        <f t="shared" ca="1" si="820"/>
        <v>127.92115377075248</v>
      </c>
      <c r="R793">
        <f t="shared" ca="1" si="821"/>
        <v>27.921153770752483</v>
      </c>
      <c r="S793">
        <f t="shared" ca="1" si="822"/>
        <v>26.559423032748825</v>
      </c>
    </row>
    <row r="794" spans="5:19" x14ac:dyDescent="0.75">
      <c r="E794">
        <v>789</v>
      </c>
      <c r="F794">
        <v>100</v>
      </c>
      <c r="G794">
        <f t="shared" ca="1" si="818"/>
        <v>96.65631871507108</v>
      </c>
      <c r="H794">
        <f t="shared" ca="1" si="818"/>
        <v>94.407859545135651</v>
      </c>
      <c r="I794">
        <f t="shared" ca="1" si="818"/>
        <v>94.110086728305319</v>
      </c>
      <c r="J794">
        <f t="shared" ca="1" si="818"/>
        <v>101.31722811348091</v>
      </c>
      <c r="K794">
        <f t="shared" ref="K794:P794" ca="1" si="841">J794*EXP(($C$4-0.5*$C$5^2)*$C$10+$C$5*SQRT($C$10)*NORMINV(RAND(),0,1))</f>
        <v>106.79083685519275</v>
      </c>
      <c r="L794">
        <f t="shared" ca="1" si="841"/>
        <v>103.1029766903393</v>
      </c>
      <c r="M794">
        <f t="shared" ca="1" si="841"/>
        <v>102.62768317633201</v>
      </c>
      <c r="N794">
        <f t="shared" ca="1" si="841"/>
        <v>94.721047246040413</v>
      </c>
      <c r="O794">
        <f t="shared" ca="1" si="841"/>
        <v>103.60750720272007</v>
      </c>
      <c r="P794">
        <f t="shared" ca="1" si="841"/>
        <v>106.35833797619934</v>
      </c>
      <c r="Q794">
        <f t="shared" ca="1" si="820"/>
        <v>100.33635293171061</v>
      </c>
      <c r="R794">
        <f t="shared" ca="1" si="821"/>
        <v>0.33635293171060709</v>
      </c>
      <c r="S794">
        <f t="shared" ca="1" si="822"/>
        <v>0.31994880566020872</v>
      </c>
    </row>
    <row r="795" spans="5:19" x14ac:dyDescent="0.75">
      <c r="E795">
        <v>790</v>
      </c>
      <c r="F795">
        <v>100</v>
      </c>
      <c r="G795">
        <f t="shared" ca="1" si="818"/>
        <v>100.39791856772815</v>
      </c>
      <c r="H795">
        <f t="shared" ca="1" si="818"/>
        <v>101.31582627429152</v>
      </c>
      <c r="I795">
        <f t="shared" ca="1" si="818"/>
        <v>109.12320281368966</v>
      </c>
      <c r="J795">
        <f t="shared" ca="1" si="818"/>
        <v>121.51091084183973</v>
      </c>
      <c r="K795">
        <f t="shared" ref="K795:P795" ca="1" si="842">J795*EXP(($C$4-0.5*$C$5^2)*$C$10+$C$5*SQRT($C$10)*NORMINV(RAND(),0,1))</f>
        <v>119.00355934512147</v>
      </c>
      <c r="L795">
        <f t="shared" ca="1" si="842"/>
        <v>117.01700014374789</v>
      </c>
      <c r="M795">
        <f t="shared" ca="1" si="842"/>
        <v>115.61696012422766</v>
      </c>
      <c r="N795">
        <f t="shared" ca="1" si="842"/>
        <v>130.43389322017848</v>
      </c>
      <c r="O795">
        <f t="shared" ca="1" si="842"/>
        <v>137.71878780402199</v>
      </c>
      <c r="P795">
        <f t="shared" ca="1" si="842"/>
        <v>137.04224744927771</v>
      </c>
      <c r="Q795">
        <f t="shared" ca="1" si="820"/>
        <v>117.19820968946584</v>
      </c>
      <c r="R795">
        <f t="shared" ca="1" si="821"/>
        <v>17.198209689465841</v>
      </c>
      <c r="S795">
        <f t="shared" ca="1" si="822"/>
        <v>16.359443105353197</v>
      </c>
    </row>
    <row r="796" spans="5:19" x14ac:dyDescent="0.75">
      <c r="E796">
        <v>791</v>
      </c>
      <c r="F796">
        <v>100</v>
      </c>
      <c r="G796">
        <f t="shared" ca="1" si="818"/>
        <v>93.534149674603867</v>
      </c>
      <c r="H796">
        <f t="shared" ca="1" si="818"/>
        <v>85.263690782905201</v>
      </c>
      <c r="I796">
        <f t="shared" ca="1" si="818"/>
        <v>89.776981259321587</v>
      </c>
      <c r="J796">
        <f t="shared" ca="1" si="818"/>
        <v>92.766983743198281</v>
      </c>
      <c r="K796">
        <f t="shared" ref="K796:P796" ca="1" si="843">J796*EXP(($C$4-0.5*$C$5^2)*$C$10+$C$5*SQRT($C$10)*NORMINV(RAND(),0,1))</f>
        <v>90.914986527507168</v>
      </c>
      <c r="L796">
        <f t="shared" ca="1" si="843"/>
        <v>93.37820627690266</v>
      </c>
      <c r="M796">
        <f t="shared" ca="1" si="843"/>
        <v>96.855067932201933</v>
      </c>
      <c r="N796">
        <f t="shared" ca="1" si="843"/>
        <v>96.345031967211312</v>
      </c>
      <c r="O796">
        <f t="shared" ca="1" si="843"/>
        <v>100.85306303985543</v>
      </c>
      <c r="P796">
        <f t="shared" ca="1" si="843"/>
        <v>108.09898969211442</v>
      </c>
      <c r="Q796">
        <f t="shared" ca="1" si="820"/>
        <v>95.253377354165636</v>
      </c>
      <c r="R796">
        <f t="shared" ca="1" si="821"/>
        <v>0</v>
      </c>
      <c r="S796">
        <f t="shared" ca="1" si="822"/>
        <v>0</v>
      </c>
    </row>
    <row r="797" spans="5:19" x14ac:dyDescent="0.75">
      <c r="E797">
        <v>792</v>
      </c>
      <c r="F797">
        <v>100</v>
      </c>
      <c r="G797">
        <f t="shared" ca="1" si="818"/>
        <v>114.90986230109949</v>
      </c>
      <c r="H797">
        <f t="shared" ca="1" si="818"/>
        <v>112.28045229936896</v>
      </c>
      <c r="I797">
        <f t="shared" ca="1" si="818"/>
        <v>109.97940027059309</v>
      </c>
      <c r="J797">
        <f t="shared" ca="1" si="818"/>
        <v>117.22929920002885</v>
      </c>
      <c r="K797">
        <f t="shared" ref="K797:P797" ca="1" si="844">J797*EXP(($C$4-0.5*$C$5^2)*$C$10+$C$5*SQRT($C$10)*NORMINV(RAND(),0,1))</f>
        <v>130.22297269261207</v>
      </c>
      <c r="L797">
        <f t="shared" ca="1" si="844"/>
        <v>122.69565079436263</v>
      </c>
      <c r="M797">
        <f t="shared" ca="1" si="844"/>
        <v>122.66771493826151</v>
      </c>
      <c r="N797">
        <f t="shared" ca="1" si="844"/>
        <v>133.92665310790764</v>
      </c>
      <c r="O797">
        <f t="shared" ca="1" si="844"/>
        <v>131.92007123095192</v>
      </c>
      <c r="P797">
        <f t="shared" ca="1" si="844"/>
        <v>125.86342383779166</v>
      </c>
      <c r="Q797">
        <f t="shared" ca="1" si="820"/>
        <v>120.15413642481617</v>
      </c>
      <c r="R797">
        <f t="shared" ca="1" si="821"/>
        <v>20.154136424816173</v>
      </c>
      <c r="S797">
        <f t="shared" ca="1" si="822"/>
        <v>19.171207592686766</v>
      </c>
    </row>
    <row r="798" spans="5:19" x14ac:dyDescent="0.75">
      <c r="E798">
        <v>793</v>
      </c>
      <c r="F798">
        <v>100</v>
      </c>
      <c r="G798">
        <f t="shared" ca="1" si="818"/>
        <v>101.92122001914792</v>
      </c>
      <c r="H798">
        <f t="shared" ca="1" si="818"/>
        <v>104.86663838812746</v>
      </c>
      <c r="I798">
        <f t="shared" ca="1" si="818"/>
        <v>122.82286151742433</v>
      </c>
      <c r="J798">
        <f t="shared" ca="1" si="818"/>
        <v>128.87320687723914</v>
      </c>
      <c r="K798">
        <f t="shared" ref="K798:P798" ca="1" si="845">J798*EXP(($C$4-0.5*$C$5^2)*$C$10+$C$5*SQRT($C$10)*NORMINV(RAND(),0,1))</f>
        <v>143.99096663399104</v>
      </c>
      <c r="L798">
        <f t="shared" ca="1" si="845"/>
        <v>140.24678579074975</v>
      </c>
      <c r="M798">
        <f t="shared" ca="1" si="845"/>
        <v>137.47586800527907</v>
      </c>
      <c r="N798">
        <f t="shared" ca="1" si="845"/>
        <v>119.51048249338533</v>
      </c>
      <c r="O798">
        <f t="shared" ca="1" si="845"/>
        <v>119.0829476654494</v>
      </c>
      <c r="P798">
        <f t="shared" ca="1" si="845"/>
        <v>119.03010584875686</v>
      </c>
      <c r="Q798">
        <f t="shared" ca="1" si="820"/>
        <v>121.62009847632277</v>
      </c>
      <c r="R798">
        <f t="shared" ca="1" si="821"/>
        <v>21.620098476322767</v>
      </c>
      <c r="S798">
        <f t="shared" ca="1" si="822"/>
        <v>20.56567383128127</v>
      </c>
    </row>
    <row r="799" spans="5:19" x14ac:dyDescent="0.75">
      <c r="E799">
        <v>794</v>
      </c>
      <c r="F799">
        <v>100</v>
      </c>
      <c r="G799">
        <f t="shared" ca="1" si="818"/>
        <v>104.8485018292866</v>
      </c>
      <c r="H799">
        <f t="shared" ca="1" si="818"/>
        <v>98.509121323951462</v>
      </c>
      <c r="I799">
        <f t="shared" ca="1" si="818"/>
        <v>102.5364795941102</v>
      </c>
      <c r="J799">
        <f t="shared" ca="1" si="818"/>
        <v>107.85944043466789</v>
      </c>
      <c r="K799">
        <f t="shared" ref="K799:P799" ca="1" si="846">J799*EXP(($C$4-0.5*$C$5^2)*$C$10+$C$5*SQRT($C$10)*NORMINV(RAND(),0,1))</f>
        <v>104.63234568244802</v>
      </c>
      <c r="L799">
        <f t="shared" ca="1" si="846"/>
        <v>101.62464086530233</v>
      </c>
      <c r="M799">
        <f t="shared" ca="1" si="846"/>
        <v>98.180094085867808</v>
      </c>
      <c r="N799">
        <f t="shared" ca="1" si="846"/>
        <v>103.81422218920898</v>
      </c>
      <c r="O799">
        <f t="shared" ca="1" si="846"/>
        <v>104.27615069278518</v>
      </c>
      <c r="P799">
        <f t="shared" ca="1" si="846"/>
        <v>119.97518926665404</v>
      </c>
      <c r="Q799">
        <f t="shared" ca="1" si="820"/>
        <v>104.20510781493478</v>
      </c>
      <c r="R799">
        <f t="shared" ca="1" si="821"/>
        <v>4.2051078149347774</v>
      </c>
      <c r="S799">
        <f t="shared" ca="1" si="822"/>
        <v>4.0000222867638637</v>
      </c>
    </row>
    <row r="800" spans="5:19" x14ac:dyDescent="0.75">
      <c r="E800">
        <v>795</v>
      </c>
      <c r="F800">
        <v>100</v>
      </c>
      <c r="G800">
        <f t="shared" ca="1" si="818"/>
        <v>112.21172908360779</v>
      </c>
      <c r="H800">
        <f t="shared" ca="1" si="818"/>
        <v>105.54676131298366</v>
      </c>
      <c r="I800">
        <f t="shared" ca="1" si="818"/>
        <v>117.30329964575741</v>
      </c>
      <c r="J800">
        <f t="shared" ca="1" si="818"/>
        <v>113.90456147063564</v>
      </c>
      <c r="K800">
        <f t="shared" ref="K800:P800" ca="1" si="847">J800*EXP(($C$4-0.5*$C$5^2)*$C$10+$C$5*SQRT($C$10)*NORMINV(RAND(),0,1))</f>
        <v>102.24603580179199</v>
      </c>
      <c r="L800">
        <f t="shared" ca="1" si="847"/>
        <v>100.40641198458681</v>
      </c>
      <c r="M800">
        <f t="shared" ca="1" si="847"/>
        <v>108.20997337545029</v>
      </c>
      <c r="N800">
        <f t="shared" ca="1" si="847"/>
        <v>113.50194339751333</v>
      </c>
      <c r="O800">
        <f t="shared" ca="1" si="847"/>
        <v>122.29206586799802</v>
      </c>
      <c r="P800">
        <f t="shared" ca="1" si="847"/>
        <v>132.63602782022781</v>
      </c>
      <c r="Q800">
        <f t="shared" ca="1" si="820"/>
        <v>111.65989179641389</v>
      </c>
      <c r="R800">
        <f t="shared" ca="1" si="821"/>
        <v>11.659891796413888</v>
      </c>
      <c r="S800">
        <f t="shared" ca="1" si="822"/>
        <v>11.091232163243379</v>
      </c>
    </row>
    <row r="801" spans="5:19" x14ac:dyDescent="0.75">
      <c r="E801">
        <v>796</v>
      </c>
      <c r="F801">
        <v>100</v>
      </c>
      <c r="G801">
        <f t="shared" ca="1" si="818"/>
        <v>109.76996612269888</v>
      </c>
      <c r="H801">
        <f t="shared" ca="1" si="818"/>
        <v>120.52106102834472</v>
      </c>
      <c r="I801">
        <f t="shared" ca="1" si="818"/>
        <v>123.0180732678955</v>
      </c>
      <c r="J801">
        <f t="shared" ca="1" si="818"/>
        <v>116.77732636175263</v>
      </c>
      <c r="K801">
        <f t="shared" ref="K801:P801" ca="1" si="848">J801*EXP(($C$4-0.5*$C$5^2)*$C$10+$C$5*SQRT($C$10)*NORMINV(RAND(),0,1))</f>
        <v>117.91071667177457</v>
      </c>
      <c r="L801">
        <f t="shared" ca="1" si="848"/>
        <v>130.89907065634981</v>
      </c>
      <c r="M801">
        <f t="shared" ca="1" si="848"/>
        <v>129.71762287719363</v>
      </c>
      <c r="N801">
        <f t="shared" ca="1" si="848"/>
        <v>133.9536758328336</v>
      </c>
      <c r="O801">
        <f t="shared" ca="1" si="848"/>
        <v>143.28740375051848</v>
      </c>
      <c r="P801">
        <f t="shared" ca="1" si="848"/>
        <v>131.20081897914667</v>
      </c>
      <c r="Q801">
        <f t="shared" ca="1" si="820"/>
        <v>123.36870323168259</v>
      </c>
      <c r="R801">
        <f t="shared" ca="1" si="821"/>
        <v>23.368703231682588</v>
      </c>
      <c r="S801">
        <f t="shared" ca="1" si="822"/>
        <v>22.228998126401404</v>
      </c>
    </row>
    <row r="802" spans="5:19" x14ac:dyDescent="0.75">
      <c r="E802">
        <v>797</v>
      </c>
      <c r="F802">
        <v>100</v>
      </c>
      <c r="G802">
        <f t="shared" ca="1" si="818"/>
        <v>106.39116736761922</v>
      </c>
      <c r="H802">
        <f t="shared" ca="1" si="818"/>
        <v>108.08292063392763</v>
      </c>
      <c r="I802">
        <f t="shared" ca="1" si="818"/>
        <v>114.15740426505492</v>
      </c>
      <c r="J802">
        <f t="shared" ca="1" si="818"/>
        <v>107.42776139653925</v>
      </c>
      <c r="K802">
        <f t="shared" ref="K802:P802" ca="1" si="849">J802*EXP(($C$4-0.5*$C$5^2)*$C$10+$C$5*SQRT($C$10)*NORMINV(RAND(),0,1))</f>
        <v>120.60350423052058</v>
      </c>
      <c r="L802">
        <f t="shared" ca="1" si="849"/>
        <v>129.04710655842172</v>
      </c>
      <c r="M802">
        <f t="shared" ca="1" si="849"/>
        <v>119.92636784010743</v>
      </c>
      <c r="N802">
        <f t="shared" ca="1" si="849"/>
        <v>132.66222073334973</v>
      </c>
      <c r="O802">
        <f t="shared" ca="1" si="849"/>
        <v>128.21546604405259</v>
      </c>
      <c r="P802">
        <f t="shared" ca="1" si="849"/>
        <v>156.02326309150126</v>
      </c>
      <c r="Q802">
        <f t="shared" ca="1" si="820"/>
        <v>120.23065292373586</v>
      </c>
      <c r="R802">
        <f t="shared" ca="1" si="821"/>
        <v>20.23065292373586</v>
      </c>
      <c r="S802">
        <f t="shared" ca="1" si="822"/>
        <v>19.24399233791895</v>
      </c>
    </row>
    <row r="803" spans="5:19" x14ac:dyDescent="0.75">
      <c r="E803">
        <v>798</v>
      </c>
      <c r="F803">
        <v>100</v>
      </c>
      <c r="G803">
        <f t="shared" ca="1" si="818"/>
        <v>96.444449077470509</v>
      </c>
      <c r="H803">
        <f t="shared" ca="1" si="818"/>
        <v>100.75381854975669</v>
      </c>
      <c r="I803">
        <f t="shared" ca="1" si="818"/>
        <v>104.06003061443982</v>
      </c>
      <c r="J803">
        <f t="shared" ca="1" si="818"/>
        <v>102.1333799290982</v>
      </c>
      <c r="K803">
        <f t="shared" ref="K803:P803" ca="1" si="850">J803*EXP(($C$4-0.5*$C$5^2)*$C$10+$C$5*SQRT($C$10)*NORMINV(RAND(),0,1))</f>
        <v>100.4783235853004</v>
      </c>
      <c r="L803">
        <f t="shared" ca="1" si="850"/>
        <v>97.274550991009207</v>
      </c>
      <c r="M803">
        <f t="shared" ca="1" si="850"/>
        <v>98.626850603548405</v>
      </c>
      <c r="N803">
        <f t="shared" ca="1" si="850"/>
        <v>93.527338551776069</v>
      </c>
      <c r="O803">
        <f t="shared" ca="1" si="850"/>
        <v>81.195440160409987</v>
      </c>
      <c r="P803">
        <f t="shared" ca="1" si="850"/>
        <v>84.056068487359454</v>
      </c>
      <c r="Q803">
        <f t="shared" ca="1" si="820"/>
        <v>96.231840959106236</v>
      </c>
      <c r="R803">
        <f t="shared" ca="1" si="821"/>
        <v>0</v>
      </c>
      <c r="S803">
        <f t="shared" ca="1" si="822"/>
        <v>0</v>
      </c>
    </row>
    <row r="804" spans="5:19" x14ac:dyDescent="0.75">
      <c r="E804">
        <v>799</v>
      </c>
      <c r="F804">
        <v>100</v>
      </c>
      <c r="G804">
        <f t="shared" ca="1" si="818"/>
        <v>98.274448739718252</v>
      </c>
      <c r="H804">
        <f t="shared" ca="1" si="818"/>
        <v>102.91334210396211</v>
      </c>
      <c r="I804">
        <f t="shared" ca="1" si="818"/>
        <v>109.21374699670325</v>
      </c>
      <c r="J804">
        <f t="shared" ca="1" si="818"/>
        <v>113.20246716779674</v>
      </c>
      <c r="K804">
        <f t="shared" ref="K804:P804" ca="1" si="851">J804*EXP(($C$4-0.5*$C$5^2)*$C$10+$C$5*SQRT($C$10)*NORMINV(RAND(),0,1))</f>
        <v>102.75983301793501</v>
      </c>
      <c r="L804">
        <f t="shared" ca="1" si="851"/>
        <v>100.18337451282756</v>
      </c>
      <c r="M804">
        <f t="shared" ca="1" si="851"/>
        <v>116.2118325774113</v>
      </c>
      <c r="N804">
        <f t="shared" ca="1" si="851"/>
        <v>120.73672110922246</v>
      </c>
      <c r="O804">
        <f t="shared" ca="1" si="851"/>
        <v>118.17308010503412</v>
      </c>
      <c r="P804">
        <f t="shared" ca="1" si="851"/>
        <v>107.99555215021087</v>
      </c>
      <c r="Q804">
        <f t="shared" ca="1" si="820"/>
        <v>108.15130895280195</v>
      </c>
      <c r="R804">
        <f t="shared" ca="1" si="821"/>
        <v>8.1513089528019549</v>
      </c>
      <c r="S804">
        <f t="shared" ca="1" si="822"/>
        <v>7.7537649241013211</v>
      </c>
    </row>
    <row r="805" spans="5:19" x14ac:dyDescent="0.75">
      <c r="E805">
        <v>800</v>
      </c>
      <c r="F805">
        <v>100</v>
      </c>
      <c r="G805">
        <f t="shared" ca="1" si="818"/>
        <v>85.847760274302871</v>
      </c>
      <c r="H805">
        <f t="shared" ca="1" si="818"/>
        <v>91.267932058152326</v>
      </c>
      <c r="I805">
        <f t="shared" ca="1" si="818"/>
        <v>76.969802155826073</v>
      </c>
      <c r="J805">
        <f t="shared" ca="1" si="818"/>
        <v>77.265699420745236</v>
      </c>
      <c r="K805">
        <f t="shared" ref="K805:P805" ca="1" si="852">J805*EXP(($C$4-0.5*$C$5^2)*$C$10+$C$5*SQRT($C$10)*NORMINV(RAND(),0,1))</f>
        <v>78.284135261607588</v>
      </c>
      <c r="L805">
        <f t="shared" ca="1" si="852"/>
        <v>79.987104739184602</v>
      </c>
      <c r="M805">
        <f t="shared" ca="1" si="852"/>
        <v>78.846321399412915</v>
      </c>
      <c r="N805">
        <f t="shared" ca="1" si="852"/>
        <v>81.251245495364273</v>
      </c>
      <c r="O805">
        <f t="shared" ca="1" si="852"/>
        <v>92.23292031254411</v>
      </c>
      <c r="P805">
        <f t="shared" ca="1" si="852"/>
        <v>89.412428475886827</v>
      </c>
      <c r="Q805">
        <f t="shared" ca="1" si="820"/>
        <v>84.669577235729719</v>
      </c>
      <c r="R805">
        <f t="shared" ca="1" si="821"/>
        <v>0</v>
      </c>
      <c r="S805">
        <f t="shared" ca="1" si="822"/>
        <v>0</v>
      </c>
    </row>
    <row r="806" spans="5:19" x14ac:dyDescent="0.75">
      <c r="E806">
        <v>801</v>
      </c>
      <c r="F806">
        <v>100</v>
      </c>
      <c r="G806">
        <f t="shared" ca="1" si="818"/>
        <v>105.01917994826458</v>
      </c>
      <c r="H806">
        <f t="shared" ca="1" si="818"/>
        <v>101.9401967150948</v>
      </c>
      <c r="I806">
        <f t="shared" ca="1" si="818"/>
        <v>108.32728314460094</v>
      </c>
      <c r="J806">
        <f t="shared" ca="1" si="818"/>
        <v>111.1932351199944</v>
      </c>
      <c r="K806">
        <f t="shared" ref="K806:P806" ca="1" si="853">J806*EXP(($C$4-0.5*$C$5^2)*$C$10+$C$5*SQRT($C$10)*NORMINV(RAND(),0,1))</f>
        <v>109.97559871636589</v>
      </c>
      <c r="L806">
        <f t="shared" ca="1" si="853"/>
        <v>105.18273627480458</v>
      </c>
      <c r="M806">
        <f t="shared" ca="1" si="853"/>
        <v>98.521332412555594</v>
      </c>
      <c r="N806">
        <f t="shared" ca="1" si="853"/>
        <v>92.894250534868178</v>
      </c>
      <c r="O806">
        <f t="shared" ca="1" si="853"/>
        <v>93.276758395272992</v>
      </c>
      <c r="P806">
        <f t="shared" ca="1" si="853"/>
        <v>85.913703784802948</v>
      </c>
      <c r="Q806">
        <f t="shared" ca="1" si="820"/>
        <v>101.11311591332955</v>
      </c>
      <c r="R806">
        <f t="shared" ca="1" si="821"/>
        <v>1.1131159133295512</v>
      </c>
      <c r="S806">
        <f t="shared" ca="1" si="822"/>
        <v>1.0588286096390556</v>
      </c>
    </row>
    <row r="807" spans="5:19" x14ac:dyDescent="0.75">
      <c r="E807">
        <v>802</v>
      </c>
      <c r="F807">
        <v>100</v>
      </c>
      <c r="G807">
        <f t="shared" ca="1" si="818"/>
        <v>103.46655934018607</v>
      </c>
      <c r="H807">
        <f t="shared" ca="1" si="818"/>
        <v>100.36343654728175</v>
      </c>
      <c r="I807">
        <f t="shared" ca="1" si="818"/>
        <v>99.160011203049635</v>
      </c>
      <c r="J807">
        <f t="shared" ca="1" si="818"/>
        <v>106.16186164992227</v>
      </c>
      <c r="K807">
        <f t="shared" ref="K807:P807" ca="1" si="854">J807*EXP(($C$4-0.5*$C$5^2)*$C$10+$C$5*SQRT($C$10)*NORMINV(RAND(),0,1))</f>
        <v>114.7652565392593</v>
      </c>
      <c r="L807">
        <f t="shared" ca="1" si="854"/>
        <v>114.35762483479829</v>
      </c>
      <c r="M807">
        <f t="shared" ca="1" si="854"/>
        <v>113.9365860448914</v>
      </c>
      <c r="N807">
        <f t="shared" ca="1" si="854"/>
        <v>106.5422593139792</v>
      </c>
      <c r="O807">
        <f t="shared" ca="1" si="854"/>
        <v>107.6966321360716</v>
      </c>
      <c r="P807">
        <f t="shared" ca="1" si="854"/>
        <v>116.41458809228668</v>
      </c>
      <c r="Q807">
        <f t="shared" ca="1" si="820"/>
        <v>107.53316506379329</v>
      </c>
      <c r="R807">
        <f t="shared" ca="1" si="821"/>
        <v>7.533165063793291</v>
      </c>
      <c r="S807">
        <f t="shared" ca="1" si="822"/>
        <v>7.1657682683009769</v>
      </c>
    </row>
    <row r="808" spans="5:19" x14ac:dyDescent="0.75">
      <c r="E808">
        <v>803</v>
      </c>
      <c r="F808">
        <v>100</v>
      </c>
      <c r="G808">
        <f t="shared" ca="1" si="818"/>
        <v>101.6438653623936</v>
      </c>
      <c r="H808">
        <f t="shared" ca="1" si="818"/>
        <v>98.717704615045363</v>
      </c>
      <c r="I808">
        <f t="shared" ca="1" si="818"/>
        <v>109.52731046551811</v>
      </c>
      <c r="J808">
        <f t="shared" ca="1" si="818"/>
        <v>108.90084209947673</v>
      </c>
      <c r="K808">
        <f t="shared" ref="K808:P808" ca="1" si="855">J808*EXP(($C$4-0.5*$C$5^2)*$C$10+$C$5*SQRT($C$10)*NORMINV(RAND(),0,1))</f>
        <v>97.140681058955835</v>
      </c>
      <c r="L808">
        <f t="shared" ca="1" si="855"/>
        <v>94.276411115063382</v>
      </c>
      <c r="M808">
        <f t="shared" ca="1" si="855"/>
        <v>102.35781797539343</v>
      </c>
      <c r="N808">
        <f t="shared" ca="1" si="855"/>
        <v>117.46246504018389</v>
      </c>
      <c r="O808">
        <f t="shared" ca="1" si="855"/>
        <v>113.44966162132653</v>
      </c>
      <c r="P808">
        <f t="shared" ca="1" si="855"/>
        <v>110.79994171828633</v>
      </c>
      <c r="Q808">
        <f t="shared" ca="1" si="820"/>
        <v>104.93424555196758</v>
      </c>
      <c r="R808">
        <f t="shared" ca="1" si="821"/>
        <v>4.9342455519675781</v>
      </c>
      <c r="S808">
        <f t="shared" ca="1" si="822"/>
        <v>4.6935995567433269</v>
      </c>
    </row>
    <row r="809" spans="5:19" x14ac:dyDescent="0.75">
      <c r="E809">
        <v>804</v>
      </c>
      <c r="F809">
        <v>100</v>
      </c>
      <c r="G809">
        <f t="shared" ca="1" si="818"/>
        <v>104.80540221136762</v>
      </c>
      <c r="H809">
        <f t="shared" ca="1" si="818"/>
        <v>94.375707777727229</v>
      </c>
      <c r="I809">
        <f t="shared" ca="1" si="818"/>
        <v>90.725560914050831</v>
      </c>
      <c r="J809">
        <f t="shared" ca="1" si="818"/>
        <v>81.080054698600918</v>
      </c>
      <c r="K809">
        <f t="shared" ref="K809:P809" ca="1" si="856">J809*EXP(($C$4-0.5*$C$5^2)*$C$10+$C$5*SQRT($C$10)*NORMINV(RAND(),0,1))</f>
        <v>74.910648379566581</v>
      </c>
      <c r="L809">
        <f t="shared" ca="1" si="856"/>
        <v>75.782418201326067</v>
      </c>
      <c r="M809">
        <f t="shared" ca="1" si="856"/>
        <v>85.892058428907461</v>
      </c>
      <c r="N809">
        <f t="shared" ca="1" si="856"/>
        <v>89.769485908676074</v>
      </c>
      <c r="O809">
        <f t="shared" ca="1" si="856"/>
        <v>93.869322764088466</v>
      </c>
      <c r="P809">
        <f t="shared" ca="1" si="856"/>
        <v>96.471089478705764</v>
      </c>
      <c r="Q809">
        <f t="shared" ca="1" si="820"/>
        <v>89.789249887547001</v>
      </c>
      <c r="R809">
        <f t="shared" ca="1" si="821"/>
        <v>0</v>
      </c>
      <c r="S809">
        <f t="shared" ca="1" si="822"/>
        <v>0</v>
      </c>
    </row>
    <row r="810" spans="5:19" x14ac:dyDescent="0.75">
      <c r="E810">
        <v>805</v>
      </c>
      <c r="F810">
        <v>100</v>
      </c>
      <c r="G810">
        <f t="shared" ca="1" si="818"/>
        <v>99.003594696905679</v>
      </c>
      <c r="H810">
        <f t="shared" ca="1" si="818"/>
        <v>98.775616196487675</v>
      </c>
      <c r="I810">
        <f t="shared" ca="1" si="818"/>
        <v>90.720682210865732</v>
      </c>
      <c r="J810">
        <f t="shared" ca="1" si="818"/>
        <v>82.729875336210071</v>
      </c>
      <c r="K810">
        <f t="shared" ref="K810:P810" ca="1" si="857">J810*EXP(($C$4-0.5*$C$5^2)*$C$10+$C$5*SQRT($C$10)*NORMINV(RAND(),0,1))</f>
        <v>79.346344758502028</v>
      </c>
      <c r="L810">
        <f t="shared" ca="1" si="857"/>
        <v>77.317405731539793</v>
      </c>
      <c r="M810">
        <f t="shared" ca="1" si="857"/>
        <v>78.617864202509935</v>
      </c>
      <c r="N810">
        <f t="shared" ca="1" si="857"/>
        <v>72.190365965075685</v>
      </c>
      <c r="O810">
        <f t="shared" ca="1" si="857"/>
        <v>75.289730238681372</v>
      </c>
      <c r="P810">
        <f t="shared" ca="1" si="857"/>
        <v>79.775529100385072</v>
      </c>
      <c r="Q810">
        <f t="shared" ca="1" si="820"/>
        <v>84.887909857923901</v>
      </c>
      <c r="R810">
        <f t="shared" ca="1" si="821"/>
        <v>0</v>
      </c>
      <c r="S810">
        <f t="shared" ca="1" si="822"/>
        <v>0</v>
      </c>
    </row>
    <row r="811" spans="5:19" x14ac:dyDescent="0.75">
      <c r="E811">
        <v>806</v>
      </c>
      <c r="F811">
        <v>100</v>
      </c>
      <c r="G811">
        <f t="shared" ca="1" si="818"/>
        <v>99.014725480726824</v>
      </c>
      <c r="H811">
        <f t="shared" ca="1" si="818"/>
        <v>89.840390331821226</v>
      </c>
      <c r="I811">
        <f t="shared" ca="1" si="818"/>
        <v>94.335956475042465</v>
      </c>
      <c r="J811">
        <f t="shared" ca="1" si="818"/>
        <v>84.587583483128441</v>
      </c>
      <c r="K811">
        <f t="shared" ref="K811:P811" ca="1" si="858">J811*EXP(($C$4-0.5*$C$5^2)*$C$10+$C$5*SQRT($C$10)*NORMINV(RAND(),0,1))</f>
        <v>76.862638634977912</v>
      </c>
      <c r="L811">
        <f t="shared" ca="1" si="858"/>
        <v>83.08204163576228</v>
      </c>
      <c r="M811">
        <f t="shared" ca="1" si="858"/>
        <v>81.900377472157047</v>
      </c>
      <c r="N811">
        <f t="shared" ca="1" si="858"/>
        <v>79.243428859558833</v>
      </c>
      <c r="O811">
        <f t="shared" ca="1" si="858"/>
        <v>85.522661891665209</v>
      </c>
      <c r="P811">
        <f t="shared" ca="1" si="858"/>
        <v>89.442910507434249</v>
      </c>
      <c r="Q811">
        <f t="shared" ca="1" si="820"/>
        <v>87.621155888388586</v>
      </c>
      <c r="R811">
        <f t="shared" ca="1" si="821"/>
        <v>0</v>
      </c>
      <c r="S811">
        <f t="shared" ca="1" si="822"/>
        <v>0</v>
      </c>
    </row>
    <row r="812" spans="5:19" x14ac:dyDescent="0.75">
      <c r="E812">
        <v>807</v>
      </c>
      <c r="F812">
        <v>100</v>
      </c>
      <c r="G812">
        <f t="shared" ca="1" si="818"/>
        <v>112.72427659397491</v>
      </c>
      <c r="H812">
        <f t="shared" ca="1" si="818"/>
        <v>104.71529109303096</v>
      </c>
      <c r="I812">
        <f t="shared" ca="1" si="818"/>
        <v>112.20834999124473</v>
      </c>
      <c r="J812">
        <f t="shared" ca="1" si="818"/>
        <v>111.11500073834263</v>
      </c>
      <c r="K812">
        <f t="shared" ref="K812:P812" ca="1" si="859">J812*EXP(($C$4-0.5*$C$5^2)*$C$10+$C$5*SQRT($C$10)*NORMINV(RAND(),0,1))</f>
        <v>110.54077904028061</v>
      </c>
      <c r="L812">
        <f t="shared" ca="1" si="859"/>
        <v>103.27806898840558</v>
      </c>
      <c r="M812">
        <f t="shared" ca="1" si="859"/>
        <v>113.26231096032883</v>
      </c>
      <c r="N812">
        <f t="shared" ca="1" si="859"/>
        <v>118.6809906277531</v>
      </c>
      <c r="O812">
        <f t="shared" ca="1" si="859"/>
        <v>117.09836054386471</v>
      </c>
      <c r="P812">
        <f t="shared" ca="1" si="859"/>
        <v>123.97029828906582</v>
      </c>
      <c r="Q812">
        <f t="shared" ca="1" si="820"/>
        <v>111.59942971511745</v>
      </c>
      <c r="R812">
        <f t="shared" ca="1" si="821"/>
        <v>11.599429715117452</v>
      </c>
      <c r="S812">
        <f t="shared" ca="1" si="822"/>
        <v>11.033718852447656</v>
      </c>
    </row>
    <row r="813" spans="5:19" x14ac:dyDescent="0.75">
      <c r="E813">
        <v>808</v>
      </c>
      <c r="F813">
        <v>100</v>
      </c>
      <c r="G813">
        <f t="shared" ca="1" si="818"/>
        <v>99.362308380160883</v>
      </c>
      <c r="H813">
        <f t="shared" ca="1" si="818"/>
        <v>85.29949577671519</v>
      </c>
      <c r="I813">
        <f t="shared" ca="1" si="818"/>
        <v>92.426923525693397</v>
      </c>
      <c r="J813">
        <f t="shared" ca="1" si="818"/>
        <v>91.633257807861938</v>
      </c>
      <c r="K813">
        <f t="shared" ref="K813:P813" ca="1" si="860">J813*EXP(($C$4-0.5*$C$5^2)*$C$10+$C$5*SQRT($C$10)*NORMINV(RAND(),0,1))</f>
        <v>98.864221534692078</v>
      </c>
      <c r="L813">
        <f t="shared" ca="1" si="860"/>
        <v>98.73513623765254</v>
      </c>
      <c r="M813">
        <f t="shared" ca="1" si="860"/>
        <v>91.557317345029603</v>
      </c>
      <c r="N813">
        <f t="shared" ca="1" si="860"/>
        <v>88.900008932024193</v>
      </c>
      <c r="O813">
        <f t="shared" ca="1" si="860"/>
        <v>76.862892283993858</v>
      </c>
      <c r="P813">
        <f t="shared" ca="1" si="860"/>
        <v>73.777228686107648</v>
      </c>
      <c r="Q813">
        <f t="shared" ca="1" si="820"/>
        <v>90.674435500902845</v>
      </c>
      <c r="R813">
        <f t="shared" ca="1" si="821"/>
        <v>0</v>
      </c>
      <c r="S813">
        <f t="shared" ca="1" si="822"/>
        <v>0</v>
      </c>
    </row>
    <row r="814" spans="5:19" x14ac:dyDescent="0.75">
      <c r="E814">
        <v>809</v>
      </c>
      <c r="F814">
        <v>100</v>
      </c>
      <c r="G814">
        <f t="shared" ca="1" si="818"/>
        <v>97.730124776535945</v>
      </c>
      <c r="H814">
        <f t="shared" ca="1" si="818"/>
        <v>103.53577803156053</v>
      </c>
      <c r="I814">
        <f t="shared" ca="1" si="818"/>
        <v>102.92598676137766</v>
      </c>
      <c r="J814">
        <f t="shared" ca="1" si="818"/>
        <v>93.370877105335367</v>
      </c>
      <c r="K814">
        <f t="shared" ref="K814:P814" ca="1" si="861">J814*EXP(($C$4-0.5*$C$5^2)*$C$10+$C$5*SQRT($C$10)*NORMINV(RAND(),0,1))</f>
        <v>91.853651408695129</v>
      </c>
      <c r="L814">
        <f t="shared" ca="1" si="861"/>
        <v>97.052346464868876</v>
      </c>
      <c r="M814">
        <f t="shared" ca="1" si="861"/>
        <v>92.39399295198956</v>
      </c>
      <c r="N814">
        <f t="shared" ca="1" si="861"/>
        <v>94.137335485358165</v>
      </c>
      <c r="O814">
        <f t="shared" ca="1" si="861"/>
        <v>93.746546750241805</v>
      </c>
      <c r="P814">
        <f t="shared" ca="1" si="861"/>
        <v>86.393653924258814</v>
      </c>
      <c r="Q814">
        <f t="shared" ca="1" si="820"/>
        <v>95.740026696383794</v>
      </c>
      <c r="R814">
        <f t="shared" ca="1" si="821"/>
        <v>0</v>
      </c>
      <c r="S814">
        <f t="shared" ca="1" si="822"/>
        <v>0</v>
      </c>
    </row>
    <row r="815" spans="5:19" x14ac:dyDescent="0.75">
      <c r="E815">
        <v>810</v>
      </c>
      <c r="F815">
        <v>100</v>
      </c>
      <c r="G815">
        <f t="shared" ca="1" si="818"/>
        <v>93.312366755237932</v>
      </c>
      <c r="H815">
        <f t="shared" ca="1" si="818"/>
        <v>97.878379812106814</v>
      </c>
      <c r="I815">
        <f t="shared" ca="1" si="818"/>
        <v>90.309843069854878</v>
      </c>
      <c r="J815">
        <f t="shared" ca="1" si="818"/>
        <v>87.778144261935466</v>
      </c>
      <c r="K815">
        <f t="shared" ref="K815:P815" ca="1" si="862">J815*EXP(($C$4-0.5*$C$5^2)*$C$10+$C$5*SQRT($C$10)*NORMINV(RAND(),0,1))</f>
        <v>89.007161943769688</v>
      </c>
      <c r="L815">
        <f t="shared" ca="1" si="862"/>
        <v>88.507232621900087</v>
      </c>
      <c r="M815">
        <f t="shared" ca="1" si="862"/>
        <v>90.254420992747626</v>
      </c>
      <c r="N815">
        <f t="shared" ca="1" si="862"/>
        <v>84.688752453499717</v>
      </c>
      <c r="O815">
        <f t="shared" ca="1" si="862"/>
        <v>82.509773377267507</v>
      </c>
      <c r="P815">
        <f t="shared" ca="1" si="862"/>
        <v>79.247787818789448</v>
      </c>
      <c r="Q815">
        <f t="shared" ca="1" si="820"/>
        <v>89.408533009737212</v>
      </c>
      <c r="R815">
        <f t="shared" ca="1" si="821"/>
        <v>0</v>
      </c>
      <c r="S815">
        <f t="shared" ca="1" si="822"/>
        <v>0</v>
      </c>
    </row>
    <row r="816" spans="5:19" x14ac:dyDescent="0.75">
      <c r="E816">
        <v>811</v>
      </c>
      <c r="F816">
        <v>100</v>
      </c>
      <c r="G816">
        <f t="shared" ca="1" si="818"/>
        <v>99.61253318956669</v>
      </c>
      <c r="H816">
        <f t="shared" ca="1" si="818"/>
        <v>98.627695502914378</v>
      </c>
      <c r="I816">
        <f t="shared" ca="1" si="818"/>
        <v>102.55350823254525</v>
      </c>
      <c r="J816">
        <f t="shared" ca="1" si="818"/>
        <v>100.59984017168902</v>
      </c>
      <c r="K816">
        <f t="shared" ref="K816:P816" ca="1" si="863">J816*EXP(($C$4-0.5*$C$5^2)*$C$10+$C$5*SQRT($C$10)*NORMINV(RAND(),0,1))</f>
        <v>105.4957386849327</v>
      </c>
      <c r="L816">
        <f t="shared" ca="1" si="863"/>
        <v>98.969191157537281</v>
      </c>
      <c r="M816">
        <f t="shared" ca="1" si="863"/>
        <v>109.56787382634651</v>
      </c>
      <c r="N816">
        <f t="shared" ca="1" si="863"/>
        <v>106.72831026221894</v>
      </c>
      <c r="O816">
        <f t="shared" ca="1" si="863"/>
        <v>107.15146452224701</v>
      </c>
      <c r="P816">
        <f t="shared" ca="1" si="863"/>
        <v>109.89896563984169</v>
      </c>
      <c r="Q816">
        <f t="shared" ca="1" si="820"/>
        <v>103.56410192634903</v>
      </c>
      <c r="R816">
        <f t="shared" ca="1" si="821"/>
        <v>3.564101926349025</v>
      </c>
      <c r="S816">
        <f t="shared" ca="1" si="822"/>
        <v>3.3902786242628693</v>
      </c>
    </row>
    <row r="817" spans="5:19" x14ac:dyDescent="0.75">
      <c r="E817">
        <v>812</v>
      </c>
      <c r="F817">
        <v>100</v>
      </c>
      <c r="G817">
        <f t="shared" ca="1" si="818"/>
        <v>100.96423077183022</v>
      </c>
      <c r="H817">
        <f t="shared" ca="1" si="818"/>
        <v>108.07187486431339</v>
      </c>
      <c r="I817">
        <f t="shared" ca="1" si="818"/>
        <v>116.61333361225172</v>
      </c>
      <c r="J817">
        <f t="shared" ca="1" si="818"/>
        <v>110.59221079179164</v>
      </c>
      <c r="K817">
        <f t="shared" ref="K817:P817" ca="1" si="864">J817*EXP(($C$4-0.5*$C$5^2)*$C$10+$C$5*SQRT($C$10)*NORMINV(RAND(),0,1))</f>
        <v>105.80814846442986</v>
      </c>
      <c r="L817">
        <f t="shared" ca="1" si="864"/>
        <v>106.36185019696724</v>
      </c>
      <c r="M817">
        <f t="shared" ca="1" si="864"/>
        <v>103.27611330102232</v>
      </c>
      <c r="N817">
        <f t="shared" ca="1" si="864"/>
        <v>102.43175678755749</v>
      </c>
      <c r="O817">
        <f t="shared" ca="1" si="864"/>
        <v>103.89121518056481</v>
      </c>
      <c r="P817">
        <f t="shared" ca="1" si="864"/>
        <v>108.9053855307635</v>
      </c>
      <c r="Q817">
        <f t="shared" ca="1" si="820"/>
        <v>106.08328359104475</v>
      </c>
      <c r="R817">
        <f t="shared" ca="1" si="821"/>
        <v>6.0832835910447471</v>
      </c>
      <c r="S817">
        <f t="shared" ca="1" si="822"/>
        <v>5.786598349384132</v>
      </c>
    </row>
    <row r="818" spans="5:19" x14ac:dyDescent="0.75">
      <c r="E818">
        <v>813</v>
      </c>
      <c r="F818">
        <v>100</v>
      </c>
      <c r="G818">
        <f t="shared" ca="1" si="818"/>
        <v>104.03130658205552</v>
      </c>
      <c r="H818">
        <f t="shared" ca="1" si="818"/>
        <v>107.38864464984039</v>
      </c>
      <c r="I818">
        <f t="shared" ca="1" si="818"/>
        <v>114.40512856455676</v>
      </c>
      <c r="J818">
        <f t="shared" ca="1" si="818"/>
        <v>117.37080839924478</v>
      </c>
      <c r="K818">
        <f t="shared" ref="K818:P818" ca="1" si="865">J818*EXP(($C$4-0.5*$C$5^2)*$C$10+$C$5*SQRT($C$10)*NORMINV(RAND(),0,1))</f>
        <v>125.81482008804517</v>
      </c>
      <c r="L818">
        <f t="shared" ca="1" si="865"/>
        <v>127.04358815877212</v>
      </c>
      <c r="M818">
        <f t="shared" ca="1" si="865"/>
        <v>113.2538133918402</v>
      </c>
      <c r="N818">
        <f t="shared" ca="1" si="865"/>
        <v>111.46531748734624</v>
      </c>
      <c r="O818">
        <f t="shared" ca="1" si="865"/>
        <v>119.91138882575719</v>
      </c>
      <c r="P818">
        <f t="shared" ca="1" si="865"/>
        <v>122.69637787221124</v>
      </c>
      <c r="Q818">
        <f t="shared" ca="1" si="820"/>
        <v>114.85283581996997</v>
      </c>
      <c r="R818">
        <f t="shared" ca="1" si="821"/>
        <v>14.852835819969968</v>
      </c>
      <c r="S818">
        <f t="shared" ca="1" si="822"/>
        <v>14.128454469233624</v>
      </c>
    </row>
    <row r="819" spans="5:19" x14ac:dyDescent="0.75">
      <c r="E819">
        <v>814</v>
      </c>
      <c r="F819">
        <v>100</v>
      </c>
      <c r="G819">
        <f t="shared" ca="1" si="818"/>
        <v>114.08456516266565</v>
      </c>
      <c r="H819">
        <f t="shared" ca="1" si="818"/>
        <v>108.53084019524822</v>
      </c>
      <c r="I819">
        <f t="shared" ca="1" si="818"/>
        <v>94.39208269145189</v>
      </c>
      <c r="J819">
        <f t="shared" ca="1" si="818"/>
        <v>95.610415625150083</v>
      </c>
      <c r="K819">
        <f t="shared" ref="K819:P819" ca="1" si="866">J819*EXP(($C$4-0.5*$C$5^2)*$C$10+$C$5*SQRT($C$10)*NORMINV(RAND(),0,1))</f>
        <v>100.58810084885984</v>
      </c>
      <c r="L819">
        <f t="shared" ca="1" si="866"/>
        <v>106.63091131835228</v>
      </c>
      <c r="M819">
        <f t="shared" ca="1" si="866"/>
        <v>103.62288151022766</v>
      </c>
      <c r="N819">
        <f t="shared" ca="1" si="866"/>
        <v>110.50344048111849</v>
      </c>
      <c r="O819">
        <f t="shared" ca="1" si="866"/>
        <v>116.79022063269112</v>
      </c>
      <c r="P819">
        <f t="shared" ca="1" si="866"/>
        <v>121.02405227114434</v>
      </c>
      <c r="Q819">
        <f t="shared" ca="1" si="820"/>
        <v>106.52522824880994</v>
      </c>
      <c r="R819">
        <f t="shared" ca="1" si="821"/>
        <v>6.5252282488099382</v>
      </c>
      <c r="S819">
        <f t="shared" ca="1" si="822"/>
        <v>6.2069891118512794</v>
      </c>
    </row>
    <row r="820" spans="5:19" x14ac:dyDescent="0.75">
      <c r="E820">
        <v>815</v>
      </c>
      <c r="F820">
        <v>100</v>
      </c>
      <c r="G820">
        <f t="shared" ca="1" si="818"/>
        <v>91.860455060594703</v>
      </c>
      <c r="H820">
        <f t="shared" ca="1" si="818"/>
        <v>87.481922209760256</v>
      </c>
      <c r="I820">
        <f t="shared" ca="1" si="818"/>
        <v>88.537270491589709</v>
      </c>
      <c r="J820">
        <f t="shared" ca="1" si="818"/>
        <v>94.038081220278968</v>
      </c>
      <c r="K820">
        <f t="shared" ref="K820:P820" ca="1" si="867">J820*EXP(($C$4-0.5*$C$5^2)*$C$10+$C$5*SQRT($C$10)*NORMINV(RAND(),0,1))</f>
        <v>84.795710311750355</v>
      </c>
      <c r="L820">
        <f t="shared" ca="1" si="867"/>
        <v>81.15482083575229</v>
      </c>
      <c r="M820">
        <f t="shared" ca="1" si="867"/>
        <v>80.046492905032167</v>
      </c>
      <c r="N820">
        <f t="shared" ca="1" si="867"/>
        <v>80.335240192124544</v>
      </c>
      <c r="O820">
        <f t="shared" ca="1" si="867"/>
        <v>77.762736340689713</v>
      </c>
      <c r="P820">
        <f t="shared" ca="1" si="867"/>
        <v>76.330743381141914</v>
      </c>
      <c r="Q820">
        <f t="shared" ca="1" si="820"/>
        <v>85.667588449883155</v>
      </c>
      <c r="R820">
        <f t="shared" ca="1" si="821"/>
        <v>0</v>
      </c>
      <c r="S820">
        <f t="shared" ca="1" si="822"/>
        <v>0</v>
      </c>
    </row>
    <row r="821" spans="5:19" x14ac:dyDescent="0.75">
      <c r="E821">
        <v>816</v>
      </c>
      <c r="F821">
        <v>100</v>
      </c>
      <c r="G821">
        <f t="shared" ca="1" si="818"/>
        <v>103.26373039495222</v>
      </c>
      <c r="H821">
        <f t="shared" ca="1" si="818"/>
        <v>112.09973284001366</v>
      </c>
      <c r="I821">
        <f t="shared" ca="1" si="818"/>
        <v>99.332286848858288</v>
      </c>
      <c r="J821">
        <f t="shared" ca="1" si="818"/>
        <v>102.22371706517616</v>
      </c>
      <c r="K821">
        <f t="shared" ref="K821:P821" ca="1" si="868">J821*EXP(($C$4-0.5*$C$5^2)*$C$10+$C$5*SQRT($C$10)*NORMINV(RAND(),0,1))</f>
        <v>98.857700727988643</v>
      </c>
      <c r="L821">
        <f t="shared" ca="1" si="868"/>
        <v>95.497517344372028</v>
      </c>
      <c r="M821">
        <f t="shared" ca="1" si="868"/>
        <v>89.768232186596563</v>
      </c>
      <c r="N821">
        <f t="shared" ca="1" si="868"/>
        <v>96.667716494696862</v>
      </c>
      <c r="O821">
        <f t="shared" ca="1" si="868"/>
        <v>98.932375012266505</v>
      </c>
      <c r="P821">
        <f t="shared" ca="1" si="868"/>
        <v>102.38114515009944</v>
      </c>
      <c r="Q821">
        <f t="shared" ca="1" si="820"/>
        <v>99.911286733183672</v>
      </c>
      <c r="R821">
        <f t="shared" ca="1" si="821"/>
        <v>0</v>
      </c>
      <c r="S821">
        <f t="shared" ca="1" si="822"/>
        <v>0</v>
      </c>
    </row>
    <row r="822" spans="5:19" x14ac:dyDescent="0.75">
      <c r="E822">
        <v>817</v>
      </c>
      <c r="F822">
        <v>100</v>
      </c>
      <c r="G822">
        <f t="shared" ca="1" si="818"/>
        <v>107.59181374587085</v>
      </c>
      <c r="H822">
        <f t="shared" ca="1" si="818"/>
        <v>105.79313038464255</v>
      </c>
      <c r="I822">
        <f t="shared" ca="1" si="818"/>
        <v>118.37443701003141</v>
      </c>
      <c r="J822">
        <f t="shared" ca="1" si="818"/>
        <v>109.7785155644454</v>
      </c>
      <c r="K822">
        <f t="shared" ref="K822:P822" ca="1" si="869">J822*EXP(($C$4-0.5*$C$5^2)*$C$10+$C$5*SQRT($C$10)*NORMINV(RAND(),0,1))</f>
        <v>104.97365164260191</v>
      </c>
      <c r="L822">
        <f t="shared" ca="1" si="869"/>
        <v>98.206909219883613</v>
      </c>
      <c r="M822">
        <f t="shared" ca="1" si="869"/>
        <v>97.286315112205727</v>
      </c>
      <c r="N822">
        <f t="shared" ca="1" si="869"/>
        <v>92.622449827950476</v>
      </c>
      <c r="O822">
        <f t="shared" ca="1" si="869"/>
        <v>97.646063750848981</v>
      </c>
      <c r="P822">
        <f t="shared" ca="1" si="869"/>
        <v>101.73977054051429</v>
      </c>
      <c r="Q822">
        <f t="shared" ca="1" si="820"/>
        <v>103.09209607263593</v>
      </c>
      <c r="R822">
        <f t="shared" ca="1" si="821"/>
        <v>3.0920960726359255</v>
      </c>
      <c r="S822">
        <f t="shared" ca="1" si="822"/>
        <v>2.9412927676743892</v>
      </c>
    </row>
    <row r="823" spans="5:19" x14ac:dyDescent="0.75">
      <c r="E823">
        <v>818</v>
      </c>
      <c r="F823">
        <v>100</v>
      </c>
      <c r="G823">
        <f t="shared" ca="1" si="818"/>
        <v>103.84904645550969</v>
      </c>
      <c r="H823">
        <f t="shared" ca="1" si="818"/>
        <v>109.98391591812357</v>
      </c>
      <c r="I823">
        <f t="shared" ca="1" si="818"/>
        <v>110.52041035667496</v>
      </c>
      <c r="J823">
        <f t="shared" ca="1" si="818"/>
        <v>108.3406846425365</v>
      </c>
      <c r="K823">
        <f t="shared" ref="K823:P823" ca="1" si="870">J823*EXP(($C$4-0.5*$C$5^2)*$C$10+$C$5*SQRT($C$10)*NORMINV(RAND(),0,1))</f>
        <v>119.62577117108795</v>
      </c>
      <c r="L823">
        <f t="shared" ca="1" si="870"/>
        <v>111.77635078961615</v>
      </c>
      <c r="M823">
        <f t="shared" ca="1" si="870"/>
        <v>127.20087840705958</v>
      </c>
      <c r="N823">
        <f t="shared" ca="1" si="870"/>
        <v>119.89058983653412</v>
      </c>
      <c r="O823">
        <f t="shared" ca="1" si="870"/>
        <v>115.21853876914511</v>
      </c>
      <c r="P823">
        <f t="shared" ca="1" si="870"/>
        <v>111.53534343103806</v>
      </c>
      <c r="Q823">
        <f t="shared" ca="1" si="820"/>
        <v>112.54013907066597</v>
      </c>
      <c r="R823">
        <f t="shared" ca="1" si="821"/>
        <v>12.540139070665973</v>
      </c>
      <c r="S823">
        <f t="shared" ca="1" si="822"/>
        <v>11.928549271348512</v>
      </c>
    </row>
    <row r="824" spans="5:19" x14ac:dyDescent="0.75">
      <c r="E824">
        <v>819</v>
      </c>
      <c r="F824">
        <v>100</v>
      </c>
      <c r="G824">
        <f t="shared" ca="1" si="818"/>
        <v>98.486932264145082</v>
      </c>
      <c r="H824">
        <f t="shared" ca="1" si="818"/>
        <v>94.625234507309585</v>
      </c>
      <c r="I824">
        <f t="shared" ca="1" si="818"/>
        <v>91.176370135526668</v>
      </c>
      <c r="J824">
        <f t="shared" ca="1" si="818"/>
        <v>97.764776729471379</v>
      </c>
      <c r="K824">
        <f t="shared" ref="K824:P824" ca="1" si="871">J824*EXP(($C$4-0.5*$C$5^2)*$C$10+$C$5*SQRT($C$10)*NORMINV(RAND(),0,1))</f>
        <v>101.55028717655327</v>
      </c>
      <c r="L824">
        <f t="shared" ca="1" si="871"/>
        <v>101.2774281014332</v>
      </c>
      <c r="M824">
        <f t="shared" ca="1" si="871"/>
        <v>94.380669474858678</v>
      </c>
      <c r="N824">
        <f t="shared" ca="1" si="871"/>
        <v>85.125938066419479</v>
      </c>
      <c r="O824">
        <f t="shared" ca="1" si="871"/>
        <v>80.129332567567275</v>
      </c>
      <c r="P824">
        <f t="shared" ca="1" si="871"/>
        <v>84.194246808770558</v>
      </c>
      <c r="Q824">
        <f t="shared" ca="1" si="820"/>
        <v>93.519201439277737</v>
      </c>
      <c r="R824">
        <f t="shared" ca="1" si="821"/>
        <v>0</v>
      </c>
      <c r="S824">
        <f t="shared" ca="1" si="822"/>
        <v>0</v>
      </c>
    </row>
    <row r="825" spans="5:19" x14ac:dyDescent="0.75">
      <c r="E825">
        <v>820</v>
      </c>
      <c r="F825">
        <v>100</v>
      </c>
      <c r="G825">
        <f t="shared" ca="1" si="818"/>
        <v>109.10366870866062</v>
      </c>
      <c r="H825">
        <f t="shared" ca="1" si="818"/>
        <v>129.83557852327075</v>
      </c>
      <c r="I825">
        <f t="shared" ca="1" si="818"/>
        <v>124.1471609582517</v>
      </c>
      <c r="J825">
        <f t="shared" ca="1" si="818"/>
        <v>130.77994654412342</v>
      </c>
      <c r="K825">
        <f t="shared" ref="K825:P825" ca="1" si="872">J825*EXP(($C$4-0.5*$C$5^2)*$C$10+$C$5*SQRT($C$10)*NORMINV(RAND(),0,1))</f>
        <v>120.38283477057661</v>
      </c>
      <c r="L825">
        <f t="shared" ca="1" si="872"/>
        <v>125.37667695262232</v>
      </c>
      <c r="M825">
        <f t="shared" ca="1" si="872"/>
        <v>118.39159269989207</v>
      </c>
      <c r="N825">
        <f t="shared" ca="1" si="872"/>
        <v>107.79871837965534</v>
      </c>
      <c r="O825">
        <f t="shared" ca="1" si="872"/>
        <v>109.25442464477234</v>
      </c>
      <c r="P825">
        <f t="shared" ca="1" si="872"/>
        <v>105.72606821511553</v>
      </c>
      <c r="Q825">
        <f t="shared" ca="1" si="820"/>
        <v>116.43606094517644</v>
      </c>
      <c r="R825">
        <f t="shared" ca="1" si="821"/>
        <v>16.436060945176436</v>
      </c>
      <c r="S825">
        <f t="shared" ca="1" si="822"/>
        <v>15.634464793938843</v>
      </c>
    </row>
    <row r="826" spans="5:19" x14ac:dyDescent="0.75">
      <c r="E826">
        <v>821</v>
      </c>
      <c r="F826">
        <v>100</v>
      </c>
      <c r="G826">
        <f t="shared" ca="1" si="818"/>
        <v>105.91575204166639</v>
      </c>
      <c r="H826">
        <f t="shared" ca="1" si="818"/>
        <v>104.67262417780957</v>
      </c>
      <c r="I826">
        <f t="shared" ca="1" si="818"/>
        <v>113.31342653170975</v>
      </c>
      <c r="J826">
        <f t="shared" ca="1" si="818"/>
        <v>112.89073755297659</v>
      </c>
      <c r="K826">
        <f t="shared" ref="K826:P826" ca="1" si="873">J826*EXP(($C$4-0.5*$C$5^2)*$C$10+$C$5*SQRT($C$10)*NORMINV(RAND(),0,1))</f>
        <v>118.50420062556358</v>
      </c>
      <c r="L826">
        <f t="shared" ca="1" si="873"/>
        <v>123.79567369523825</v>
      </c>
      <c r="M826">
        <f t="shared" ca="1" si="873"/>
        <v>116.72853133331674</v>
      </c>
      <c r="N826">
        <f t="shared" ca="1" si="873"/>
        <v>117.08854822338118</v>
      </c>
      <c r="O826">
        <f t="shared" ca="1" si="873"/>
        <v>117.49620480875693</v>
      </c>
      <c r="P826">
        <f t="shared" ca="1" si="873"/>
        <v>106.02113422375812</v>
      </c>
      <c r="Q826">
        <f t="shared" ca="1" si="820"/>
        <v>112.40243938310699</v>
      </c>
      <c r="R826">
        <f t="shared" ca="1" si="821"/>
        <v>12.402439383106994</v>
      </c>
      <c r="S826">
        <f t="shared" ca="1" si="822"/>
        <v>11.797565276797856</v>
      </c>
    </row>
    <row r="827" spans="5:19" x14ac:dyDescent="0.75">
      <c r="E827">
        <v>822</v>
      </c>
      <c r="F827">
        <v>100</v>
      </c>
      <c r="G827">
        <f t="shared" ca="1" si="818"/>
        <v>102.30635971101434</v>
      </c>
      <c r="H827">
        <f t="shared" ca="1" si="818"/>
        <v>109.0620536014263</v>
      </c>
      <c r="I827">
        <f t="shared" ca="1" si="818"/>
        <v>106.09082648516376</v>
      </c>
      <c r="J827">
        <f t="shared" ca="1" si="818"/>
        <v>104.01512351653749</v>
      </c>
      <c r="K827">
        <f t="shared" ref="K827:P827" ca="1" si="874">J827*EXP(($C$4-0.5*$C$5^2)*$C$10+$C$5*SQRT($C$10)*NORMINV(RAND(),0,1))</f>
        <v>100.30062874032676</v>
      </c>
      <c r="L827">
        <f t="shared" ca="1" si="874"/>
        <v>97.819743546090848</v>
      </c>
      <c r="M827">
        <f t="shared" ca="1" si="874"/>
        <v>95.826581233269806</v>
      </c>
      <c r="N827">
        <f t="shared" ca="1" si="874"/>
        <v>96.648546246050685</v>
      </c>
      <c r="O827">
        <f t="shared" ca="1" si="874"/>
        <v>96.989308827376661</v>
      </c>
      <c r="P827">
        <f t="shared" ca="1" si="874"/>
        <v>98.354509155821276</v>
      </c>
      <c r="Q827">
        <f t="shared" ca="1" si="820"/>
        <v>100.67397100573436</v>
      </c>
      <c r="R827">
        <f t="shared" ca="1" si="821"/>
        <v>0.67397100573435864</v>
      </c>
      <c r="S827">
        <f t="shared" ca="1" si="822"/>
        <v>0.64110105191486144</v>
      </c>
    </row>
    <row r="828" spans="5:19" x14ac:dyDescent="0.75">
      <c r="E828">
        <v>823</v>
      </c>
      <c r="F828">
        <v>100</v>
      </c>
      <c r="G828">
        <f t="shared" ca="1" si="818"/>
        <v>102.25957119938285</v>
      </c>
      <c r="H828">
        <f t="shared" ca="1" si="818"/>
        <v>100.07278215239756</v>
      </c>
      <c r="I828">
        <f t="shared" ca="1" si="818"/>
        <v>92.686478650773537</v>
      </c>
      <c r="J828">
        <f t="shared" ca="1" si="818"/>
        <v>103.48100633185386</v>
      </c>
      <c r="K828">
        <f t="shared" ref="K828:P828" ca="1" si="875">J828*EXP(($C$4-0.5*$C$5^2)*$C$10+$C$5*SQRT($C$10)*NORMINV(RAND(),0,1))</f>
        <v>114.13554007210465</v>
      </c>
      <c r="L828">
        <f t="shared" ca="1" si="875"/>
        <v>98.800041440164875</v>
      </c>
      <c r="M828">
        <f t="shared" ca="1" si="875"/>
        <v>94.029653703805977</v>
      </c>
      <c r="N828">
        <f t="shared" ca="1" si="875"/>
        <v>89.22650304384878</v>
      </c>
      <c r="O828">
        <f t="shared" ca="1" si="875"/>
        <v>90.582613989464036</v>
      </c>
      <c r="P828">
        <f t="shared" ca="1" si="875"/>
        <v>109.93760349872566</v>
      </c>
      <c r="Q828">
        <f t="shared" ca="1" si="820"/>
        <v>99.564708552956517</v>
      </c>
      <c r="R828">
        <f t="shared" ca="1" si="821"/>
        <v>0</v>
      </c>
      <c r="S828">
        <f t="shared" ca="1" si="822"/>
        <v>0</v>
      </c>
    </row>
    <row r="829" spans="5:19" x14ac:dyDescent="0.75">
      <c r="E829">
        <v>824</v>
      </c>
      <c r="F829">
        <v>100</v>
      </c>
      <c r="G829">
        <f t="shared" ca="1" si="818"/>
        <v>101.66753405890347</v>
      </c>
      <c r="H829">
        <f t="shared" ca="1" si="818"/>
        <v>95.215169130636966</v>
      </c>
      <c r="I829">
        <f t="shared" ca="1" si="818"/>
        <v>91.755128290753589</v>
      </c>
      <c r="J829">
        <f t="shared" ca="1" si="818"/>
        <v>93.875839189305538</v>
      </c>
      <c r="K829">
        <f t="shared" ref="K829:P829" ca="1" si="876">J829*EXP(($C$4-0.5*$C$5^2)*$C$10+$C$5*SQRT($C$10)*NORMINV(RAND(),0,1))</f>
        <v>97.194691236547413</v>
      </c>
      <c r="L829">
        <f t="shared" ca="1" si="876"/>
        <v>94.538333496334261</v>
      </c>
      <c r="M829">
        <f t="shared" ca="1" si="876"/>
        <v>106.15446240263547</v>
      </c>
      <c r="N829">
        <f t="shared" ca="1" si="876"/>
        <v>112.81943334873012</v>
      </c>
      <c r="O829">
        <f t="shared" ca="1" si="876"/>
        <v>112.16968380939483</v>
      </c>
      <c r="P829">
        <f t="shared" ca="1" si="876"/>
        <v>119.79458845327287</v>
      </c>
      <c r="Q829">
        <f t="shared" ca="1" si="820"/>
        <v>102.28953303786497</v>
      </c>
      <c r="R829">
        <f t="shared" ca="1" si="821"/>
        <v>2.2895330378649703</v>
      </c>
      <c r="S829">
        <f t="shared" ca="1" si="822"/>
        <v>2.177871193983667</v>
      </c>
    </row>
    <row r="830" spans="5:19" x14ac:dyDescent="0.75">
      <c r="E830">
        <v>825</v>
      </c>
      <c r="F830">
        <v>100</v>
      </c>
      <c r="G830">
        <f t="shared" ca="1" si="818"/>
        <v>102.65801591093692</v>
      </c>
      <c r="H830">
        <f t="shared" ca="1" si="818"/>
        <v>103.52967433156149</v>
      </c>
      <c r="I830">
        <f t="shared" ca="1" si="818"/>
        <v>103.9955617758683</v>
      </c>
      <c r="J830">
        <f t="shared" ca="1" si="818"/>
        <v>99.486225362290384</v>
      </c>
      <c r="K830">
        <f t="shared" ref="K830:P830" ca="1" si="877">J830*EXP(($C$4-0.5*$C$5^2)*$C$10+$C$5*SQRT($C$10)*NORMINV(RAND(),0,1))</f>
        <v>103.72463317012738</v>
      </c>
      <c r="L830">
        <f t="shared" ca="1" si="877"/>
        <v>103.90839026125776</v>
      </c>
      <c r="M830">
        <f t="shared" ca="1" si="877"/>
        <v>113.02075078386684</v>
      </c>
      <c r="N830">
        <f t="shared" ca="1" si="877"/>
        <v>112.73130243597367</v>
      </c>
      <c r="O830">
        <f t="shared" ca="1" si="877"/>
        <v>107.82350423490517</v>
      </c>
      <c r="P830">
        <f t="shared" ca="1" si="877"/>
        <v>111.86392731430116</v>
      </c>
      <c r="Q830">
        <f t="shared" ca="1" si="820"/>
        <v>105.70381687100812</v>
      </c>
      <c r="R830">
        <f t="shared" ca="1" si="821"/>
        <v>5.7038168710081152</v>
      </c>
      <c r="S830">
        <f t="shared" ca="1" si="822"/>
        <v>5.4256384396665132</v>
      </c>
    </row>
    <row r="831" spans="5:19" x14ac:dyDescent="0.75">
      <c r="E831">
        <v>826</v>
      </c>
      <c r="F831">
        <v>100</v>
      </c>
      <c r="G831">
        <f t="shared" ca="1" si="818"/>
        <v>105.99055392680914</v>
      </c>
      <c r="H831">
        <f t="shared" ca="1" si="818"/>
        <v>102.38583385273178</v>
      </c>
      <c r="I831">
        <f t="shared" ca="1" si="818"/>
        <v>101.33099558285747</v>
      </c>
      <c r="J831">
        <f t="shared" ca="1" si="818"/>
        <v>102.81159573538123</v>
      </c>
      <c r="K831">
        <f t="shared" ref="K831:P831" ca="1" si="878">J831*EXP(($C$4-0.5*$C$5^2)*$C$10+$C$5*SQRT($C$10)*NORMINV(RAND(),0,1))</f>
        <v>109.29301958556337</v>
      </c>
      <c r="L831">
        <f t="shared" ca="1" si="878"/>
        <v>109.7047692139285</v>
      </c>
      <c r="M831">
        <f t="shared" ca="1" si="878"/>
        <v>100.45483744805557</v>
      </c>
      <c r="N831">
        <f t="shared" ca="1" si="878"/>
        <v>94.725733753639631</v>
      </c>
      <c r="O831">
        <f t="shared" ca="1" si="878"/>
        <v>91.455151759535724</v>
      </c>
      <c r="P831">
        <f t="shared" ca="1" si="878"/>
        <v>88.79274352856973</v>
      </c>
      <c r="Q831">
        <f t="shared" ca="1" si="820"/>
        <v>100.63138494427926</v>
      </c>
      <c r="R831">
        <f t="shared" ca="1" si="821"/>
        <v>0.63138494427926162</v>
      </c>
      <c r="S831">
        <f t="shared" ca="1" si="822"/>
        <v>0.60059193718517745</v>
      </c>
    </row>
    <row r="832" spans="5:19" x14ac:dyDescent="0.75">
      <c r="E832">
        <v>827</v>
      </c>
      <c r="F832">
        <v>100</v>
      </c>
      <c r="G832">
        <f t="shared" ca="1" si="818"/>
        <v>106.07875854424466</v>
      </c>
      <c r="H832">
        <f t="shared" ca="1" si="818"/>
        <v>109.56901935763072</v>
      </c>
      <c r="I832">
        <f t="shared" ca="1" si="818"/>
        <v>97.96954376904101</v>
      </c>
      <c r="J832">
        <f t="shared" ca="1" si="818"/>
        <v>89.902834566019294</v>
      </c>
      <c r="K832">
        <f t="shared" ref="K832:P832" ca="1" si="879">J832*EXP(($C$4-0.5*$C$5^2)*$C$10+$C$5*SQRT($C$10)*NORMINV(RAND(),0,1))</f>
        <v>85.302571371897699</v>
      </c>
      <c r="L832">
        <f t="shared" ca="1" si="879"/>
        <v>83.866741045938198</v>
      </c>
      <c r="M832">
        <f t="shared" ca="1" si="879"/>
        <v>85.839970580018743</v>
      </c>
      <c r="N832">
        <f t="shared" ca="1" si="879"/>
        <v>91.731421467581541</v>
      </c>
      <c r="O832">
        <f t="shared" ca="1" si="879"/>
        <v>88.587061948251261</v>
      </c>
      <c r="P832">
        <f t="shared" ca="1" si="879"/>
        <v>90.004796070553326</v>
      </c>
      <c r="Q832">
        <f t="shared" ca="1" si="820"/>
        <v>93.53206533828876</v>
      </c>
      <c r="R832">
        <f t="shared" ca="1" si="821"/>
        <v>0</v>
      </c>
      <c r="S832">
        <f t="shared" ca="1" si="822"/>
        <v>0</v>
      </c>
    </row>
    <row r="833" spans="5:19" x14ac:dyDescent="0.75">
      <c r="E833">
        <v>828</v>
      </c>
      <c r="F833">
        <v>100</v>
      </c>
      <c r="G833">
        <f t="shared" ca="1" si="818"/>
        <v>104.03108255920539</v>
      </c>
      <c r="H833">
        <f t="shared" ca="1" si="818"/>
        <v>93.280195182328086</v>
      </c>
      <c r="I833">
        <f t="shared" ca="1" si="818"/>
        <v>95.883507420628746</v>
      </c>
      <c r="J833">
        <f t="shared" ca="1" si="818"/>
        <v>86.731095167478585</v>
      </c>
      <c r="K833">
        <f t="shared" ref="K833:P833" ca="1" si="880">J833*EXP(($C$4-0.5*$C$5^2)*$C$10+$C$5*SQRT($C$10)*NORMINV(RAND(),0,1))</f>
        <v>77.704674794092924</v>
      </c>
      <c r="L833">
        <f t="shared" ca="1" si="880"/>
        <v>89.611911055921283</v>
      </c>
      <c r="M833">
        <f t="shared" ca="1" si="880"/>
        <v>100.90430041280823</v>
      </c>
      <c r="N833">
        <f t="shared" ca="1" si="880"/>
        <v>101.97973398814607</v>
      </c>
      <c r="O833">
        <f t="shared" ca="1" si="880"/>
        <v>95.952898315852039</v>
      </c>
      <c r="P833">
        <f t="shared" ca="1" si="880"/>
        <v>98.040092776135069</v>
      </c>
      <c r="Q833">
        <f t="shared" ca="1" si="820"/>
        <v>94.919953788417857</v>
      </c>
      <c r="R833">
        <f t="shared" ca="1" si="821"/>
        <v>0</v>
      </c>
      <c r="S833">
        <f t="shared" ca="1" si="822"/>
        <v>0</v>
      </c>
    </row>
    <row r="834" spans="5:19" x14ac:dyDescent="0.75">
      <c r="E834">
        <v>829</v>
      </c>
      <c r="F834">
        <v>100</v>
      </c>
      <c r="G834">
        <f t="shared" ca="1" si="818"/>
        <v>100.90605800703803</v>
      </c>
      <c r="H834">
        <f t="shared" ca="1" si="818"/>
        <v>107.84640489701721</v>
      </c>
      <c r="I834">
        <f t="shared" ca="1" si="818"/>
        <v>120.07108031926137</v>
      </c>
      <c r="J834">
        <f t="shared" ca="1" si="818"/>
        <v>124.8970625349467</v>
      </c>
      <c r="K834">
        <f t="shared" ref="K834:P834" ca="1" si="881">J834*EXP(($C$4-0.5*$C$5^2)*$C$10+$C$5*SQRT($C$10)*NORMINV(RAND(),0,1))</f>
        <v>128.58157710843628</v>
      </c>
      <c r="L834">
        <f t="shared" ca="1" si="881"/>
        <v>138.27621985992019</v>
      </c>
      <c r="M834">
        <f t="shared" ca="1" si="881"/>
        <v>144.21887620709586</v>
      </c>
      <c r="N834">
        <f t="shared" ca="1" si="881"/>
        <v>125.85086273338912</v>
      </c>
      <c r="O834">
        <f t="shared" ca="1" si="881"/>
        <v>130.33745974994659</v>
      </c>
      <c r="P834">
        <f t="shared" ca="1" si="881"/>
        <v>126.82766671193481</v>
      </c>
      <c r="Q834">
        <f t="shared" ca="1" si="820"/>
        <v>122.52847892081694</v>
      </c>
      <c r="R834">
        <f t="shared" ca="1" si="821"/>
        <v>22.528478920816937</v>
      </c>
      <c r="S834">
        <f t="shared" ca="1" si="822"/>
        <v>21.429752038725162</v>
      </c>
    </row>
    <row r="835" spans="5:19" x14ac:dyDescent="0.75">
      <c r="E835">
        <v>830</v>
      </c>
      <c r="F835">
        <v>100</v>
      </c>
      <c r="G835">
        <f t="shared" ca="1" si="818"/>
        <v>100.12305306043625</v>
      </c>
      <c r="H835">
        <f t="shared" ca="1" si="818"/>
        <v>98.774436534171215</v>
      </c>
      <c r="I835">
        <f t="shared" ca="1" si="818"/>
        <v>105.34421451276755</v>
      </c>
      <c r="J835">
        <f t="shared" ca="1" si="818"/>
        <v>106.51292706760363</v>
      </c>
      <c r="K835">
        <f t="shared" ref="K835:P835" ca="1" si="882">J835*EXP(($C$4-0.5*$C$5^2)*$C$10+$C$5*SQRT($C$10)*NORMINV(RAND(),0,1))</f>
        <v>109.06869718885491</v>
      </c>
      <c r="L835">
        <f t="shared" ca="1" si="882"/>
        <v>122.20194526922539</v>
      </c>
      <c r="M835">
        <f t="shared" ca="1" si="882"/>
        <v>125.95514729160811</v>
      </c>
      <c r="N835">
        <f t="shared" ca="1" si="882"/>
        <v>118.50760319355078</v>
      </c>
      <c r="O835">
        <f t="shared" ca="1" si="882"/>
        <v>109.76424310604105</v>
      </c>
      <c r="P835">
        <f t="shared" ca="1" si="882"/>
        <v>100.10224586561465</v>
      </c>
      <c r="Q835">
        <f t="shared" ca="1" si="820"/>
        <v>108.75950118998848</v>
      </c>
      <c r="R835">
        <f t="shared" ca="1" si="821"/>
        <v>8.7595011899884838</v>
      </c>
      <c r="S835">
        <f t="shared" ca="1" si="822"/>
        <v>8.3322952758660644</v>
      </c>
    </row>
    <row r="836" spans="5:19" x14ac:dyDescent="0.75">
      <c r="E836">
        <v>831</v>
      </c>
      <c r="F836">
        <v>100</v>
      </c>
      <c r="G836">
        <f t="shared" ca="1" si="818"/>
        <v>105.83204295696325</v>
      </c>
      <c r="H836">
        <f t="shared" ca="1" si="818"/>
        <v>116.02710368188799</v>
      </c>
      <c r="I836">
        <f t="shared" ca="1" si="818"/>
        <v>118.35187667938372</v>
      </c>
      <c r="J836">
        <f t="shared" ca="1" si="818"/>
        <v>120.9817895125819</v>
      </c>
      <c r="K836">
        <f t="shared" ref="K836:P836" ca="1" si="883">J836*EXP(($C$4-0.5*$C$5^2)*$C$10+$C$5*SQRT($C$10)*NORMINV(RAND(),0,1))</f>
        <v>123.65333918782751</v>
      </c>
      <c r="L836">
        <f t="shared" ca="1" si="883"/>
        <v>119.86249439835457</v>
      </c>
      <c r="M836">
        <f t="shared" ca="1" si="883"/>
        <v>130.69565128181145</v>
      </c>
      <c r="N836">
        <f t="shared" ca="1" si="883"/>
        <v>135.06025328648792</v>
      </c>
      <c r="O836">
        <f t="shared" ca="1" si="883"/>
        <v>131.21691625324152</v>
      </c>
      <c r="P836">
        <f t="shared" ca="1" si="883"/>
        <v>139.48214204535051</v>
      </c>
      <c r="Q836">
        <f t="shared" ca="1" si="820"/>
        <v>121.92396448035369</v>
      </c>
      <c r="R836">
        <f t="shared" ca="1" si="821"/>
        <v>21.923964480353689</v>
      </c>
      <c r="S836">
        <f t="shared" ca="1" si="822"/>
        <v>20.854720115420935</v>
      </c>
    </row>
    <row r="837" spans="5:19" x14ac:dyDescent="0.75">
      <c r="E837">
        <v>832</v>
      </c>
      <c r="F837">
        <v>100</v>
      </c>
      <c r="G837">
        <f t="shared" ca="1" si="818"/>
        <v>95.236577745834836</v>
      </c>
      <c r="H837">
        <f t="shared" ca="1" si="818"/>
        <v>96.607129137759841</v>
      </c>
      <c r="I837">
        <f t="shared" ca="1" si="818"/>
        <v>101.97564287602808</v>
      </c>
      <c r="J837">
        <f t="shared" ca="1" si="818"/>
        <v>102.92051167283086</v>
      </c>
      <c r="K837">
        <f t="shared" ref="K837:P837" ca="1" si="884">J837*EXP(($C$4-0.5*$C$5^2)*$C$10+$C$5*SQRT($C$10)*NORMINV(RAND(),0,1))</f>
        <v>100.06363605619973</v>
      </c>
      <c r="L837">
        <f t="shared" ca="1" si="884"/>
        <v>101.14816395280774</v>
      </c>
      <c r="M837">
        <f t="shared" ca="1" si="884"/>
        <v>109.34536067037898</v>
      </c>
      <c r="N837">
        <f t="shared" ca="1" si="884"/>
        <v>109.66051032561163</v>
      </c>
      <c r="O837">
        <f t="shared" ca="1" si="884"/>
        <v>111.33526240256896</v>
      </c>
      <c r="P837">
        <f t="shared" ca="1" si="884"/>
        <v>116.22895452569951</v>
      </c>
      <c r="Q837">
        <f t="shared" ca="1" si="820"/>
        <v>104.04743176052001</v>
      </c>
      <c r="R837">
        <f t="shared" ca="1" si="821"/>
        <v>4.0474317605200127</v>
      </c>
      <c r="S837">
        <f t="shared" ca="1" si="822"/>
        <v>3.8500361842653636</v>
      </c>
    </row>
    <row r="838" spans="5:19" x14ac:dyDescent="0.75">
      <c r="E838">
        <v>833</v>
      </c>
      <c r="F838">
        <v>100</v>
      </c>
      <c r="G838">
        <f t="shared" ca="1" si="818"/>
        <v>110.96352122811548</v>
      </c>
      <c r="H838">
        <f t="shared" ca="1" si="818"/>
        <v>116.36575620520222</v>
      </c>
      <c r="I838">
        <f t="shared" ca="1" si="818"/>
        <v>114.59402032796534</v>
      </c>
      <c r="J838">
        <f t="shared" ref="J838:P838" ca="1" si="885">I838*EXP(($C$4-0.5*$C$5^2)*$C$10+$C$5*SQRT($C$10)*NORMINV(RAND(),0,1))</f>
        <v>106.09928233803697</v>
      </c>
      <c r="K838">
        <f t="shared" ca="1" si="885"/>
        <v>106.4602945275079</v>
      </c>
      <c r="L838">
        <f t="shared" ca="1" si="885"/>
        <v>108.53118774992723</v>
      </c>
      <c r="M838">
        <f t="shared" ca="1" si="885"/>
        <v>101.37391394191621</v>
      </c>
      <c r="N838">
        <f t="shared" ca="1" si="885"/>
        <v>98.239696477757533</v>
      </c>
      <c r="O838">
        <f t="shared" ca="1" si="885"/>
        <v>97.387835012418549</v>
      </c>
      <c r="P838">
        <f t="shared" ca="1" si="885"/>
        <v>94.761178742733179</v>
      </c>
      <c r="Q838">
        <f t="shared" ca="1" si="820"/>
        <v>104.97969877741643</v>
      </c>
      <c r="R838">
        <f t="shared" ca="1" si="821"/>
        <v>4.9796987774164307</v>
      </c>
      <c r="S838">
        <f t="shared" ca="1" si="822"/>
        <v>4.736836002228741</v>
      </c>
    </row>
    <row r="839" spans="5:19" x14ac:dyDescent="0.75">
      <c r="E839">
        <v>834</v>
      </c>
      <c r="F839">
        <v>100</v>
      </c>
      <c r="G839">
        <f t="shared" ref="G839:J902" ca="1" si="886">F839*EXP(($C$4-0.5*$C$5^2)*$C$10+$C$5*SQRT($C$10)*NORMINV(RAND(),0,1))</f>
        <v>97.637824374437358</v>
      </c>
      <c r="H839">
        <f t="shared" ca="1" si="886"/>
        <v>86.625053298878726</v>
      </c>
      <c r="I839">
        <f t="shared" ca="1" si="886"/>
        <v>96.473213127449725</v>
      </c>
      <c r="J839">
        <f t="shared" ca="1" si="886"/>
        <v>85.049352729709724</v>
      </c>
      <c r="K839">
        <f t="shared" ref="K839:P839" ca="1" si="887">J839*EXP(($C$4-0.5*$C$5^2)*$C$10+$C$5*SQRT($C$10)*NORMINV(RAND(),0,1))</f>
        <v>93.017334482754521</v>
      </c>
      <c r="L839">
        <f t="shared" ca="1" si="887"/>
        <v>82.647700771943761</v>
      </c>
      <c r="M839">
        <f t="shared" ca="1" si="887"/>
        <v>81.970914387507165</v>
      </c>
      <c r="N839">
        <f t="shared" ca="1" si="887"/>
        <v>77.392645187801421</v>
      </c>
      <c r="O839">
        <f t="shared" ca="1" si="887"/>
        <v>78.618231992877881</v>
      </c>
      <c r="P839">
        <f t="shared" ca="1" si="887"/>
        <v>76.407479927179182</v>
      </c>
      <c r="Q839">
        <f t="shared" ref="Q839:Q902" ca="1" si="888">AVERAGE(F839:P839)</f>
        <v>86.894522752776325</v>
      </c>
      <c r="R839">
        <f t="shared" ref="R839:R902" ca="1" si="889">MAX(Q839-$C$7,0)</f>
        <v>0</v>
      </c>
      <c r="S839">
        <f t="shared" ref="S839:S902" ca="1" si="890">EXP(-$C$4*$C$6)*R839</f>
        <v>0</v>
      </c>
    </row>
    <row r="840" spans="5:19" x14ac:dyDescent="0.75">
      <c r="E840">
        <v>835</v>
      </c>
      <c r="F840">
        <v>100</v>
      </c>
      <c r="G840">
        <f t="shared" ca="1" si="886"/>
        <v>96.233903846486058</v>
      </c>
      <c r="H840">
        <f t="shared" ca="1" si="886"/>
        <v>95.560737471586634</v>
      </c>
      <c r="I840">
        <f t="shared" ca="1" si="886"/>
        <v>107.43017921802216</v>
      </c>
      <c r="J840">
        <f t="shared" ca="1" si="886"/>
        <v>98.35069405496634</v>
      </c>
      <c r="K840">
        <f t="shared" ref="K840:P840" ca="1" si="891">J840*EXP(($C$4-0.5*$C$5^2)*$C$10+$C$5*SQRT($C$10)*NORMINV(RAND(),0,1))</f>
        <v>103.08146334208956</v>
      </c>
      <c r="L840">
        <f t="shared" ca="1" si="891"/>
        <v>99.751399278755187</v>
      </c>
      <c r="M840">
        <f t="shared" ca="1" si="891"/>
        <v>91.265699416746273</v>
      </c>
      <c r="N840">
        <f t="shared" ca="1" si="891"/>
        <v>96.161512430753774</v>
      </c>
      <c r="O840">
        <f t="shared" ca="1" si="891"/>
        <v>103.22794824293862</v>
      </c>
      <c r="P840">
        <f t="shared" ca="1" si="891"/>
        <v>103.35436430178241</v>
      </c>
      <c r="Q840">
        <f t="shared" ca="1" si="888"/>
        <v>99.492536509466106</v>
      </c>
      <c r="R840">
        <f t="shared" ca="1" si="889"/>
        <v>0</v>
      </c>
      <c r="S840">
        <f t="shared" ca="1" si="890"/>
        <v>0</v>
      </c>
    </row>
    <row r="841" spans="5:19" x14ac:dyDescent="0.75">
      <c r="E841">
        <v>836</v>
      </c>
      <c r="F841">
        <v>100</v>
      </c>
      <c r="G841">
        <f t="shared" ca="1" si="886"/>
        <v>103.34078949031758</v>
      </c>
      <c r="H841">
        <f t="shared" ca="1" si="886"/>
        <v>96.934265207249069</v>
      </c>
      <c r="I841">
        <f t="shared" ca="1" si="886"/>
        <v>95.74325808590757</v>
      </c>
      <c r="J841">
        <f t="shared" ca="1" si="886"/>
        <v>90.792675689115754</v>
      </c>
      <c r="K841">
        <f t="shared" ref="K841:P841" ca="1" si="892">J841*EXP(($C$4-0.5*$C$5^2)*$C$10+$C$5*SQRT($C$10)*NORMINV(RAND(),0,1))</f>
        <v>88.067238106316665</v>
      </c>
      <c r="L841">
        <f t="shared" ca="1" si="892"/>
        <v>97.59660468304314</v>
      </c>
      <c r="M841">
        <f t="shared" ca="1" si="892"/>
        <v>109.14078385739694</v>
      </c>
      <c r="N841">
        <f t="shared" ca="1" si="892"/>
        <v>108.17299658167386</v>
      </c>
      <c r="O841">
        <f t="shared" ca="1" si="892"/>
        <v>114.04297803787622</v>
      </c>
      <c r="P841">
        <f t="shared" ca="1" si="892"/>
        <v>117.61222776951149</v>
      </c>
      <c r="Q841">
        <f t="shared" ca="1" si="888"/>
        <v>101.94943795530985</v>
      </c>
      <c r="R841">
        <f t="shared" ca="1" si="889"/>
        <v>1.9494379553098469</v>
      </c>
      <c r="S841">
        <f t="shared" ca="1" si="890"/>
        <v>1.8543627443292343</v>
      </c>
    </row>
    <row r="842" spans="5:19" x14ac:dyDescent="0.75">
      <c r="E842">
        <v>837</v>
      </c>
      <c r="F842">
        <v>100</v>
      </c>
      <c r="G842">
        <f t="shared" ca="1" si="886"/>
        <v>97.648816734536808</v>
      </c>
      <c r="H842">
        <f t="shared" ca="1" si="886"/>
        <v>97.838902340162633</v>
      </c>
      <c r="I842">
        <f t="shared" ca="1" si="886"/>
        <v>90.622368587606857</v>
      </c>
      <c r="J842">
        <f t="shared" ca="1" si="886"/>
        <v>82.969611976748439</v>
      </c>
      <c r="K842">
        <f t="shared" ref="K842:P842" ca="1" si="893">J842*EXP(($C$4-0.5*$C$5^2)*$C$10+$C$5*SQRT($C$10)*NORMINV(RAND(),0,1))</f>
        <v>80.690481740283445</v>
      </c>
      <c r="L842">
        <f t="shared" ca="1" si="893"/>
        <v>87.679563712569944</v>
      </c>
      <c r="M842">
        <f t="shared" ca="1" si="893"/>
        <v>86.91456675433443</v>
      </c>
      <c r="N842">
        <f t="shared" ca="1" si="893"/>
        <v>82.988952572733339</v>
      </c>
      <c r="O842">
        <f t="shared" ca="1" si="893"/>
        <v>76.457410908754625</v>
      </c>
      <c r="P842">
        <f t="shared" ca="1" si="893"/>
        <v>81.648831373301732</v>
      </c>
      <c r="Q842">
        <f t="shared" ca="1" si="888"/>
        <v>87.769046063730201</v>
      </c>
      <c r="R842">
        <f t="shared" ca="1" si="889"/>
        <v>0</v>
      </c>
      <c r="S842">
        <f t="shared" ca="1" si="890"/>
        <v>0</v>
      </c>
    </row>
    <row r="843" spans="5:19" x14ac:dyDescent="0.75">
      <c r="E843">
        <v>838</v>
      </c>
      <c r="F843">
        <v>100</v>
      </c>
      <c r="G843">
        <f t="shared" ca="1" si="886"/>
        <v>93.376404622415762</v>
      </c>
      <c r="H843">
        <f t="shared" ca="1" si="886"/>
        <v>99.467391594016775</v>
      </c>
      <c r="I843">
        <f t="shared" ca="1" si="886"/>
        <v>97.263212085558777</v>
      </c>
      <c r="J843">
        <f t="shared" ca="1" si="886"/>
        <v>105.48715862345753</v>
      </c>
      <c r="K843">
        <f t="shared" ref="K843:P843" ca="1" si="894">J843*EXP(($C$4-0.5*$C$5^2)*$C$10+$C$5*SQRT($C$10)*NORMINV(RAND(),0,1))</f>
        <v>120.5439326319958</v>
      </c>
      <c r="L843">
        <f t="shared" ca="1" si="894"/>
        <v>133.33990245114174</v>
      </c>
      <c r="M843">
        <f t="shared" ca="1" si="894"/>
        <v>141.83365255928655</v>
      </c>
      <c r="N843">
        <f t="shared" ca="1" si="894"/>
        <v>141.16378140491929</v>
      </c>
      <c r="O843">
        <f t="shared" ca="1" si="894"/>
        <v>128.29235437267539</v>
      </c>
      <c r="P843">
        <f t="shared" ca="1" si="894"/>
        <v>132.18239608701137</v>
      </c>
      <c r="Q843">
        <f t="shared" ca="1" si="888"/>
        <v>117.54092603931626</v>
      </c>
      <c r="R843">
        <f t="shared" ca="1" si="889"/>
        <v>17.540926039316261</v>
      </c>
      <c r="S843">
        <f t="shared" ca="1" si="890"/>
        <v>16.685444981588397</v>
      </c>
    </row>
    <row r="844" spans="5:19" x14ac:dyDescent="0.75">
      <c r="E844">
        <v>839</v>
      </c>
      <c r="F844">
        <v>100</v>
      </c>
      <c r="G844">
        <f t="shared" ca="1" si="886"/>
        <v>99.283803516955075</v>
      </c>
      <c r="H844">
        <f t="shared" ca="1" si="886"/>
        <v>95.376583293041179</v>
      </c>
      <c r="I844">
        <f t="shared" ca="1" si="886"/>
        <v>97.367856684060698</v>
      </c>
      <c r="J844">
        <f t="shared" ca="1" si="886"/>
        <v>93.873399955234191</v>
      </c>
      <c r="K844">
        <f t="shared" ref="K844:P844" ca="1" si="895">J844*EXP(($C$4-0.5*$C$5^2)*$C$10+$C$5*SQRT($C$10)*NORMINV(RAND(),0,1))</f>
        <v>96.010388867505426</v>
      </c>
      <c r="L844">
        <f t="shared" ca="1" si="895"/>
        <v>95.393328497025891</v>
      </c>
      <c r="M844">
        <f t="shared" ca="1" si="895"/>
        <v>97.227558830130818</v>
      </c>
      <c r="N844">
        <f t="shared" ca="1" si="895"/>
        <v>94.751085932540832</v>
      </c>
      <c r="O844">
        <f t="shared" ca="1" si="895"/>
        <v>95.446964811736166</v>
      </c>
      <c r="P844">
        <f t="shared" ca="1" si="895"/>
        <v>89.90194925098524</v>
      </c>
      <c r="Q844">
        <f t="shared" ca="1" si="888"/>
        <v>95.875719967201391</v>
      </c>
      <c r="R844">
        <f t="shared" ca="1" si="889"/>
        <v>0</v>
      </c>
      <c r="S844">
        <f t="shared" ca="1" si="890"/>
        <v>0</v>
      </c>
    </row>
    <row r="845" spans="5:19" x14ac:dyDescent="0.75">
      <c r="E845">
        <v>840</v>
      </c>
      <c r="F845">
        <v>100</v>
      </c>
      <c r="G845">
        <f t="shared" ca="1" si="886"/>
        <v>102.0017509877928</v>
      </c>
      <c r="H845">
        <f t="shared" ca="1" si="886"/>
        <v>99.188510236597722</v>
      </c>
      <c r="I845">
        <f t="shared" ca="1" si="886"/>
        <v>106.00793035037965</v>
      </c>
      <c r="J845">
        <f t="shared" ca="1" si="886"/>
        <v>101.94634600147553</v>
      </c>
      <c r="K845">
        <f t="shared" ref="K845:P845" ca="1" si="896">J845*EXP(($C$4-0.5*$C$5^2)*$C$10+$C$5*SQRT($C$10)*NORMINV(RAND(),0,1))</f>
        <v>113.12381699945043</v>
      </c>
      <c r="L845">
        <f t="shared" ca="1" si="896"/>
        <v>104.19491396538797</v>
      </c>
      <c r="M845">
        <f t="shared" ca="1" si="896"/>
        <v>111.09607573529105</v>
      </c>
      <c r="N845">
        <f t="shared" ca="1" si="896"/>
        <v>115.4931634414089</v>
      </c>
      <c r="O845">
        <f t="shared" ca="1" si="896"/>
        <v>106.50878765452075</v>
      </c>
      <c r="P845">
        <f t="shared" ca="1" si="896"/>
        <v>111.94488321768756</v>
      </c>
      <c r="Q845">
        <f t="shared" ca="1" si="888"/>
        <v>106.50056168999932</v>
      </c>
      <c r="R845">
        <f t="shared" ca="1" si="889"/>
        <v>6.5005616899993157</v>
      </c>
      <c r="S845">
        <f t="shared" ca="1" si="890"/>
        <v>6.1835255553094379</v>
      </c>
    </row>
    <row r="846" spans="5:19" x14ac:dyDescent="0.75">
      <c r="E846">
        <v>841</v>
      </c>
      <c r="F846">
        <v>100</v>
      </c>
      <c r="G846">
        <f t="shared" ca="1" si="886"/>
        <v>100.73273355295093</v>
      </c>
      <c r="H846">
        <f t="shared" ca="1" si="886"/>
        <v>106.3351738451974</v>
      </c>
      <c r="I846">
        <f t="shared" ca="1" si="886"/>
        <v>106.22644246603065</v>
      </c>
      <c r="J846">
        <f t="shared" ca="1" si="886"/>
        <v>96.884300603442597</v>
      </c>
      <c r="K846">
        <f t="shared" ref="K846:P846" ca="1" si="897">J846*EXP(($C$4-0.5*$C$5^2)*$C$10+$C$5*SQRT($C$10)*NORMINV(RAND(),0,1))</f>
        <v>98.70315898757184</v>
      </c>
      <c r="L846">
        <f t="shared" ca="1" si="897"/>
        <v>95.663532438742465</v>
      </c>
      <c r="M846">
        <f t="shared" ca="1" si="897"/>
        <v>92.08764458840308</v>
      </c>
      <c r="N846">
        <f t="shared" ca="1" si="897"/>
        <v>110.30814951763111</v>
      </c>
      <c r="O846">
        <f t="shared" ca="1" si="897"/>
        <v>116.04383776905372</v>
      </c>
      <c r="P846">
        <f t="shared" ca="1" si="897"/>
        <v>129.86529125812444</v>
      </c>
      <c r="Q846">
        <f t="shared" ca="1" si="888"/>
        <v>104.80456954792258</v>
      </c>
      <c r="R846">
        <f t="shared" ca="1" si="889"/>
        <v>4.8045695479225827</v>
      </c>
      <c r="S846">
        <f t="shared" ca="1" si="890"/>
        <v>4.5702479260440541</v>
      </c>
    </row>
    <row r="847" spans="5:19" x14ac:dyDescent="0.75">
      <c r="E847">
        <v>842</v>
      </c>
      <c r="F847">
        <v>100</v>
      </c>
      <c r="G847">
        <f t="shared" ca="1" si="886"/>
        <v>95.26876438337699</v>
      </c>
      <c r="H847">
        <f t="shared" ca="1" si="886"/>
        <v>100.13042299836697</v>
      </c>
      <c r="I847">
        <f t="shared" ca="1" si="886"/>
        <v>102.07897406485631</v>
      </c>
      <c r="J847">
        <f t="shared" ca="1" si="886"/>
        <v>112.09190836264398</v>
      </c>
      <c r="K847">
        <f t="shared" ref="K847:P847" ca="1" si="898">J847*EXP(($C$4-0.5*$C$5^2)*$C$10+$C$5*SQRT($C$10)*NORMINV(RAND(),0,1))</f>
        <v>111.34272602336259</v>
      </c>
      <c r="L847">
        <f t="shared" ca="1" si="898"/>
        <v>115.50592459498641</v>
      </c>
      <c r="M847">
        <f t="shared" ca="1" si="898"/>
        <v>125.96335485628644</v>
      </c>
      <c r="N847">
        <f t="shared" ca="1" si="898"/>
        <v>130.70530657965944</v>
      </c>
      <c r="O847">
        <f t="shared" ca="1" si="898"/>
        <v>130.0267337931046</v>
      </c>
      <c r="P847">
        <f t="shared" ca="1" si="898"/>
        <v>134.93654094724181</v>
      </c>
      <c r="Q847">
        <f t="shared" ca="1" si="888"/>
        <v>114.36824150944413</v>
      </c>
      <c r="R847">
        <f t="shared" ca="1" si="889"/>
        <v>14.368241509444132</v>
      </c>
      <c r="S847">
        <f t="shared" ca="1" si="890"/>
        <v>13.667494102115812</v>
      </c>
    </row>
    <row r="848" spans="5:19" x14ac:dyDescent="0.75">
      <c r="E848">
        <v>843</v>
      </c>
      <c r="F848">
        <v>100</v>
      </c>
      <c r="G848">
        <f t="shared" ca="1" si="886"/>
        <v>99.319074355110985</v>
      </c>
      <c r="H848">
        <f t="shared" ca="1" si="886"/>
        <v>102.99231971430456</v>
      </c>
      <c r="I848">
        <f t="shared" ca="1" si="886"/>
        <v>107.30630412358609</v>
      </c>
      <c r="J848">
        <f t="shared" ca="1" si="886"/>
        <v>103.07097386410096</v>
      </c>
      <c r="K848">
        <f t="shared" ref="K848:P848" ca="1" si="899">J848*EXP(($C$4-0.5*$C$5^2)*$C$10+$C$5*SQRT($C$10)*NORMINV(RAND(),0,1))</f>
        <v>114.4946286397672</v>
      </c>
      <c r="L848">
        <f t="shared" ca="1" si="899"/>
        <v>103.81520580825452</v>
      </c>
      <c r="M848">
        <f t="shared" ca="1" si="899"/>
        <v>100.63296695345913</v>
      </c>
      <c r="N848">
        <f t="shared" ca="1" si="899"/>
        <v>102.98350891789583</v>
      </c>
      <c r="O848">
        <f t="shared" ca="1" si="899"/>
        <v>108.87141748609849</v>
      </c>
      <c r="P848">
        <f t="shared" ca="1" si="899"/>
        <v>121.14899366937237</v>
      </c>
      <c r="Q848">
        <f t="shared" ca="1" si="888"/>
        <v>105.87594486654093</v>
      </c>
      <c r="R848">
        <f t="shared" ca="1" si="889"/>
        <v>5.8759448665409337</v>
      </c>
      <c r="S848">
        <f t="shared" ca="1" si="890"/>
        <v>5.5893716537976577</v>
      </c>
    </row>
    <row r="849" spans="5:19" x14ac:dyDescent="0.75">
      <c r="E849">
        <v>844</v>
      </c>
      <c r="F849">
        <v>100</v>
      </c>
      <c r="G849">
        <f t="shared" ca="1" si="886"/>
        <v>93.378006952865164</v>
      </c>
      <c r="H849">
        <f t="shared" ca="1" si="886"/>
        <v>88.162340953890094</v>
      </c>
      <c r="I849">
        <f t="shared" ca="1" si="886"/>
        <v>86.371802458521216</v>
      </c>
      <c r="J849">
        <f t="shared" ca="1" si="886"/>
        <v>90.80373363094688</v>
      </c>
      <c r="K849">
        <f t="shared" ref="K849:P849" ca="1" si="900">J849*EXP(($C$4-0.5*$C$5^2)*$C$10+$C$5*SQRT($C$10)*NORMINV(RAND(),0,1))</f>
        <v>97.51312260735655</v>
      </c>
      <c r="L849">
        <f t="shared" ca="1" si="900"/>
        <v>93.078408325476175</v>
      </c>
      <c r="M849">
        <f t="shared" ca="1" si="900"/>
        <v>98.322884892018209</v>
      </c>
      <c r="N849">
        <f t="shared" ca="1" si="900"/>
        <v>90.817975361197909</v>
      </c>
      <c r="O849">
        <f t="shared" ca="1" si="900"/>
        <v>95.290491681326131</v>
      </c>
      <c r="P849">
        <f t="shared" ca="1" si="900"/>
        <v>96.129893435816726</v>
      </c>
      <c r="Q849">
        <f t="shared" ca="1" si="888"/>
        <v>93.624423663583187</v>
      </c>
      <c r="R849">
        <f t="shared" ca="1" si="889"/>
        <v>0</v>
      </c>
      <c r="S849">
        <f t="shared" ca="1" si="890"/>
        <v>0</v>
      </c>
    </row>
    <row r="850" spans="5:19" x14ac:dyDescent="0.75">
      <c r="E850">
        <v>845</v>
      </c>
      <c r="F850">
        <v>100</v>
      </c>
      <c r="G850">
        <f t="shared" ca="1" si="886"/>
        <v>91.880205324221407</v>
      </c>
      <c r="H850">
        <f t="shared" ca="1" si="886"/>
        <v>102.2770180518352</v>
      </c>
      <c r="I850">
        <f t="shared" ca="1" si="886"/>
        <v>106.02963286543449</v>
      </c>
      <c r="J850">
        <f t="shared" ca="1" si="886"/>
        <v>108.05037173555726</v>
      </c>
      <c r="K850">
        <f t="shared" ref="K850:P850" ca="1" si="901">J850*EXP(($C$4-0.5*$C$5^2)*$C$10+$C$5*SQRT($C$10)*NORMINV(RAND(),0,1))</f>
        <v>100.72719148999271</v>
      </c>
      <c r="L850">
        <f t="shared" ca="1" si="901"/>
        <v>98.506461901724052</v>
      </c>
      <c r="M850">
        <f t="shared" ca="1" si="901"/>
        <v>103.56402204220046</v>
      </c>
      <c r="N850">
        <f t="shared" ca="1" si="901"/>
        <v>98.408251586723395</v>
      </c>
      <c r="O850">
        <f t="shared" ca="1" si="901"/>
        <v>104.34511706992994</v>
      </c>
      <c r="P850">
        <f t="shared" ca="1" si="901"/>
        <v>106.4156495110783</v>
      </c>
      <c r="Q850">
        <f t="shared" ca="1" si="888"/>
        <v>101.83672014351792</v>
      </c>
      <c r="R850">
        <f t="shared" ca="1" si="889"/>
        <v>1.8367201435179226</v>
      </c>
      <c r="S850">
        <f t="shared" ca="1" si="890"/>
        <v>1.7471422450874223</v>
      </c>
    </row>
    <row r="851" spans="5:19" x14ac:dyDescent="0.75">
      <c r="E851">
        <v>846</v>
      </c>
      <c r="F851">
        <v>100</v>
      </c>
      <c r="G851">
        <f t="shared" ca="1" si="886"/>
        <v>94.718527649481985</v>
      </c>
      <c r="H851">
        <f t="shared" ca="1" si="886"/>
        <v>103.80144506746217</v>
      </c>
      <c r="I851">
        <f t="shared" ca="1" si="886"/>
        <v>101.17629390220405</v>
      </c>
      <c r="J851">
        <f t="shared" ca="1" si="886"/>
        <v>101.9909141223408</v>
      </c>
      <c r="K851">
        <f t="shared" ref="K851:P851" ca="1" si="902">J851*EXP(($C$4-0.5*$C$5^2)*$C$10+$C$5*SQRT($C$10)*NORMINV(RAND(),0,1))</f>
        <v>103.30336842766205</v>
      </c>
      <c r="L851">
        <f t="shared" ca="1" si="902"/>
        <v>101.81194222429953</v>
      </c>
      <c r="M851">
        <f t="shared" ca="1" si="902"/>
        <v>100.87208234367884</v>
      </c>
      <c r="N851">
        <f t="shared" ca="1" si="902"/>
        <v>110.44055297599068</v>
      </c>
      <c r="O851">
        <f t="shared" ca="1" si="902"/>
        <v>99.812986142870287</v>
      </c>
      <c r="P851">
        <f t="shared" ca="1" si="902"/>
        <v>104.60497418854531</v>
      </c>
      <c r="Q851">
        <f t="shared" ca="1" si="888"/>
        <v>102.04846245859416</v>
      </c>
      <c r="R851">
        <f t="shared" ca="1" si="889"/>
        <v>2.0484624585941589</v>
      </c>
      <c r="S851">
        <f t="shared" ca="1" si="890"/>
        <v>1.9485577655998394</v>
      </c>
    </row>
    <row r="852" spans="5:19" x14ac:dyDescent="0.75">
      <c r="E852">
        <v>847</v>
      </c>
      <c r="F852">
        <v>100</v>
      </c>
      <c r="G852">
        <f t="shared" ca="1" si="886"/>
        <v>108.10765729826663</v>
      </c>
      <c r="H852">
        <f t="shared" ca="1" si="886"/>
        <v>100.65479622588144</v>
      </c>
      <c r="I852">
        <f t="shared" ca="1" si="886"/>
        <v>103.23540088489213</v>
      </c>
      <c r="J852">
        <f t="shared" ca="1" si="886"/>
        <v>92.432211839541452</v>
      </c>
      <c r="K852">
        <f t="shared" ref="K852:P852" ca="1" si="903">J852*EXP(($C$4-0.5*$C$5^2)*$C$10+$C$5*SQRT($C$10)*NORMINV(RAND(),0,1))</f>
        <v>88.618913552563001</v>
      </c>
      <c r="L852">
        <f t="shared" ca="1" si="903"/>
        <v>93.656067909770073</v>
      </c>
      <c r="M852">
        <f t="shared" ca="1" si="903"/>
        <v>84.6911677112044</v>
      </c>
      <c r="N852">
        <f t="shared" ca="1" si="903"/>
        <v>85.040116631092417</v>
      </c>
      <c r="O852">
        <f t="shared" ca="1" si="903"/>
        <v>81.150134860194214</v>
      </c>
      <c r="P852">
        <f t="shared" ca="1" si="903"/>
        <v>74.7232862612166</v>
      </c>
      <c r="Q852">
        <f t="shared" ca="1" si="888"/>
        <v>92.028159379511095</v>
      </c>
      <c r="R852">
        <f t="shared" ca="1" si="889"/>
        <v>0</v>
      </c>
      <c r="S852">
        <f t="shared" ca="1" si="890"/>
        <v>0</v>
      </c>
    </row>
    <row r="853" spans="5:19" x14ac:dyDescent="0.75">
      <c r="E853">
        <v>848</v>
      </c>
      <c r="F853">
        <v>100</v>
      </c>
      <c r="G853">
        <f t="shared" ca="1" si="886"/>
        <v>96.542718162084839</v>
      </c>
      <c r="H853">
        <f t="shared" ca="1" si="886"/>
        <v>96.227553990618532</v>
      </c>
      <c r="I853">
        <f t="shared" ca="1" si="886"/>
        <v>100.81837062472256</v>
      </c>
      <c r="J853">
        <f t="shared" ca="1" si="886"/>
        <v>91.511858877234332</v>
      </c>
      <c r="K853">
        <f t="shared" ref="K853:P853" ca="1" si="904">J853*EXP(($C$4-0.5*$C$5^2)*$C$10+$C$5*SQRT($C$10)*NORMINV(RAND(),0,1))</f>
        <v>98.623151247720784</v>
      </c>
      <c r="L853">
        <f t="shared" ca="1" si="904"/>
        <v>95.901074259463641</v>
      </c>
      <c r="M853">
        <f t="shared" ca="1" si="904"/>
        <v>98.781749098580789</v>
      </c>
      <c r="N853">
        <f t="shared" ca="1" si="904"/>
        <v>102.45061035857201</v>
      </c>
      <c r="O853">
        <f t="shared" ca="1" si="904"/>
        <v>99.35812384670183</v>
      </c>
      <c r="P853">
        <f t="shared" ca="1" si="904"/>
        <v>99.840645853723686</v>
      </c>
      <c r="Q853">
        <f t="shared" ca="1" si="888"/>
        <v>98.186896029038451</v>
      </c>
      <c r="R853">
        <f t="shared" ca="1" si="889"/>
        <v>0</v>
      </c>
      <c r="S853">
        <f t="shared" ca="1" si="890"/>
        <v>0</v>
      </c>
    </row>
    <row r="854" spans="5:19" x14ac:dyDescent="0.75">
      <c r="E854">
        <v>849</v>
      </c>
      <c r="F854">
        <v>100</v>
      </c>
      <c r="G854">
        <f t="shared" ca="1" si="886"/>
        <v>95.598853538880689</v>
      </c>
      <c r="H854">
        <f t="shared" ca="1" si="886"/>
        <v>88.691953064121691</v>
      </c>
      <c r="I854">
        <f t="shared" ca="1" si="886"/>
        <v>84.321235528834436</v>
      </c>
      <c r="J854">
        <f t="shared" ca="1" si="886"/>
        <v>79.050357814894483</v>
      </c>
      <c r="K854">
        <f t="shared" ref="K854:P854" ca="1" si="905">J854*EXP(($C$4-0.5*$C$5^2)*$C$10+$C$5*SQRT($C$10)*NORMINV(RAND(),0,1))</f>
        <v>80.528601892268327</v>
      </c>
      <c r="L854">
        <f t="shared" ca="1" si="905"/>
        <v>76.103728193520979</v>
      </c>
      <c r="M854">
        <f t="shared" ca="1" si="905"/>
        <v>78.654272459193393</v>
      </c>
      <c r="N854">
        <f t="shared" ca="1" si="905"/>
        <v>76.704772974408542</v>
      </c>
      <c r="O854">
        <f t="shared" ca="1" si="905"/>
        <v>70.498754073294961</v>
      </c>
      <c r="P854">
        <f t="shared" ca="1" si="905"/>
        <v>77.377510381420876</v>
      </c>
      <c r="Q854">
        <f t="shared" ca="1" si="888"/>
        <v>82.502730901894395</v>
      </c>
      <c r="R854">
        <f t="shared" ca="1" si="889"/>
        <v>0</v>
      </c>
      <c r="S854">
        <f t="shared" ca="1" si="890"/>
        <v>0</v>
      </c>
    </row>
    <row r="855" spans="5:19" x14ac:dyDescent="0.75">
      <c r="E855">
        <v>850</v>
      </c>
      <c r="F855">
        <v>100</v>
      </c>
      <c r="G855">
        <f t="shared" ca="1" si="886"/>
        <v>98.895828131682393</v>
      </c>
      <c r="H855">
        <f t="shared" ca="1" si="886"/>
        <v>91.257082862989634</v>
      </c>
      <c r="I855">
        <f t="shared" ca="1" si="886"/>
        <v>95.77835396901726</v>
      </c>
      <c r="J855">
        <f t="shared" ca="1" si="886"/>
        <v>95.70713515054932</v>
      </c>
      <c r="K855">
        <f t="shared" ref="K855:P855" ca="1" si="906">J855*EXP(($C$4-0.5*$C$5^2)*$C$10+$C$5*SQRT($C$10)*NORMINV(RAND(),0,1))</f>
        <v>102.18817249381976</v>
      </c>
      <c r="L855">
        <f t="shared" ca="1" si="906"/>
        <v>106.7185638359489</v>
      </c>
      <c r="M855">
        <f t="shared" ca="1" si="906"/>
        <v>110.70499254715683</v>
      </c>
      <c r="N855">
        <f t="shared" ca="1" si="906"/>
        <v>101.18090522657356</v>
      </c>
      <c r="O855">
        <f t="shared" ca="1" si="906"/>
        <v>99.347615531616754</v>
      </c>
      <c r="P855">
        <f t="shared" ca="1" si="906"/>
        <v>89.549456709423907</v>
      </c>
      <c r="Q855">
        <f t="shared" ca="1" si="888"/>
        <v>99.211646041707112</v>
      </c>
      <c r="R855">
        <f t="shared" ca="1" si="889"/>
        <v>0</v>
      </c>
      <c r="S855">
        <f t="shared" ca="1" si="890"/>
        <v>0</v>
      </c>
    </row>
    <row r="856" spans="5:19" x14ac:dyDescent="0.75">
      <c r="E856">
        <v>851</v>
      </c>
      <c r="F856">
        <v>100</v>
      </c>
      <c r="G856">
        <f t="shared" ca="1" si="886"/>
        <v>105.94350748445669</v>
      </c>
      <c r="H856">
        <f t="shared" ca="1" si="886"/>
        <v>115.0337535787092</v>
      </c>
      <c r="I856">
        <f t="shared" ca="1" si="886"/>
        <v>124.58108113480858</v>
      </c>
      <c r="J856">
        <f t="shared" ca="1" si="886"/>
        <v>129.16208320527244</v>
      </c>
      <c r="K856">
        <f t="shared" ref="K856:P856" ca="1" si="907">J856*EXP(($C$4-0.5*$C$5^2)*$C$10+$C$5*SQRT($C$10)*NORMINV(RAND(),0,1))</f>
        <v>121.80956579066384</v>
      </c>
      <c r="L856">
        <f t="shared" ca="1" si="907"/>
        <v>131.00743172640429</v>
      </c>
      <c r="M856">
        <f t="shared" ca="1" si="907"/>
        <v>145.02287400248227</v>
      </c>
      <c r="N856">
        <f t="shared" ca="1" si="907"/>
        <v>143.50106582587719</v>
      </c>
      <c r="O856">
        <f t="shared" ca="1" si="907"/>
        <v>139.55817290375259</v>
      </c>
      <c r="P856">
        <f t="shared" ca="1" si="907"/>
        <v>134.26346561941659</v>
      </c>
      <c r="Q856">
        <f t="shared" ca="1" si="888"/>
        <v>126.35300011562217</v>
      </c>
      <c r="R856">
        <f t="shared" ca="1" si="889"/>
        <v>26.353000115622166</v>
      </c>
      <c r="S856">
        <f t="shared" ca="1" si="890"/>
        <v>25.067749133850523</v>
      </c>
    </row>
    <row r="857" spans="5:19" x14ac:dyDescent="0.75">
      <c r="E857">
        <v>852</v>
      </c>
      <c r="F857">
        <v>100</v>
      </c>
      <c r="G857">
        <f t="shared" ca="1" si="886"/>
        <v>90.986131809510923</v>
      </c>
      <c r="H857">
        <f t="shared" ca="1" si="886"/>
        <v>89.729802671737701</v>
      </c>
      <c r="I857">
        <f t="shared" ca="1" si="886"/>
        <v>85.986137795604222</v>
      </c>
      <c r="J857">
        <f t="shared" ca="1" si="886"/>
        <v>89.072777827765947</v>
      </c>
      <c r="K857">
        <f t="shared" ref="K857:P857" ca="1" si="908">J857*EXP(($C$4-0.5*$C$5^2)*$C$10+$C$5*SQRT($C$10)*NORMINV(RAND(),0,1))</f>
        <v>93.283573377269818</v>
      </c>
      <c r="L857">
        <f t="shared" ca="1" si="908"/>
        <v>87.270792216910891</v>
      </c>
      <c r="M857">
        <f t="shared" ca="1" si="908"/>
        <v>92.250332137885451</v>
      </c>
      <c r="N857">
        <f t="shared" ca="1" si="908"/>
        <v>86.359495958178243</v>
      </c>
      <c r="O857">
        <f t="shared" ca="1" si="908"/>
        <v>83.210721400406428</v>
      </c>
      <c r="P857">
        <f t="shared" ca="1" si="908"/>
        <v>83.238281220202524</v>
      </c>
      <c r="Q857">
        <f t="shared" ca="1" si="888"/>
        <v>89.217095128679304</v>
      </c>
      <c r="R857">
        <f t="shared" ca="1" si="889"/>
        <v>0</v>
      </c>
      <c r="S857">
        <f t="shared" ca="1" si="890"/>
        <v>0</v>
      </c>
    </row>
    <row r="858" spans="5:19" x14ac:dyDescent="0.75">
      <c r="E858">
        <v>853</v>
      </c>
      <c r="F858">
        <v>100</v>
      </c>
      <c r="G858">
        <f t="shared" ca="1" si="886"/>
        <v>106.36757786720521</v>
      </c>
      <c r="H858">
        <f t="shared" ca="1" si="886"/>
        <v>115.67195939142735</v>
      </c>
      <c r="I858">
        <f t="shared" ca="1" si="886"/>
        <v>109.44858778135426</v>
      </c>
      <c r="J858">
        <f t="shared" ca="1" si="886"/>
        <v>109.95934111342217</v>
      </c>
      <c r="K858">
        <f t="shared" ref="K858:P858" ca="1" si="909">J858*EXP(($C$4-0.5*$C$5^2)*$C$10+$C$5*SQRT($C$10)*NORMINV(RAND(),0,1))</f>
        <v>109.0013981811524</v>
      </c>
      <c r="L858">
        <f t="shared" ca="1" si="909"/>
        <v>103.54835795594531</v>
      </c>
      <c r="M858">
        <f t="shared" ca="1" si="909"/>
        <v>95.650035616133337</v>
      </c>
      <c r="N858">
        <f t="shared" ca="1" si="909"/>
        <v>94.060255912536689</v>
      </c>
      <c r="O858">
        <f t="shared" ca="1" si="909"/>
        <v>100.04079763074276</v>
      </c>
      <c r="P858">
        <f t="shared" ca="1" si="909"/>
        <v>94.20697823703803</v>
      </c>
      <c r="Q858">
        <f t="shared" ca="1" si="888"/>
        <v>103.45048088063253</v>
      </c>
      <c r="R858">
        <f t="shared" ca="1" si="889"/>
        <v>3.4504808806325258</v>
      </c>
      <c r="S858">
        <f t="shared" ca="1" si="890"/>
        <v>3.2821989423347944</v>
      </c>
    </row>
    <row r="859" spans="5:19" x14ac:dyDescent="0.75">
      <c r="E859">
        <v>854</v>
      </c>
      <c r="F859">
        <v>100</v>
      </c>
      <c r="G859">
        <f t="shared" ca="1" si="886"/>
        <v>98.451392372351805</v>
      </c>
      <c r="H859">
        <f t="shared" ca="1" si="886"/>
        <v>99.841317704185869</v>
      </c>
      <c r="I859">
        <f t="shared" ca="1" si="886"/>
        <v>103.7977745657261</v>
      </c>
      <c r="J859">
        <f t="shared" ca="1" si="886"/>
        <v>106.34008127354828</v>
      </c>
      <c r="K859">
        <f t="shared" ref="K859:P859" ca="1" si="910">J859*EXP(($C$4-0.5*$C$5^2)*$C$10+$C$5*SQRT($C$10)*NORMINV(RAND(),0,1))</f>
        <v>101.47150314827114</v>
      </c>
      <c r="L859">
        <f t="shared" ca="1" si="910"/>
        <v>109.27730271217806</v>
      </c>
      <c r="M859">
        <f t="shared" ca="1" si="910"/>
        <v>108.37989049445576</v>
      </c>
      <c r="N859">
        <f t="shared" ca="1" si="910"/>
        <v>110.91143527227533</v>
      </c>
      <c r="O859">
        <f t="shared" ca="1" si="910"/>
        <v>120.4913368661563</v>
      </c>
      <c r="P859">
        <f t="shared" ca="1" si="910"/>
        <v>114.26414124158276</v>
      </c>
      <c r="Q859">
        <f t="shared" ca="1" si="888"/>
        <v>106.6569250591574</v>
      </c>
      <c r="R859">
        <f t="shared" ca="1" si="889"/>
        <v>6.6569250591574018</v>
      </c>
      <c r="S859">
        <f t="shared" ca="1" si="890"/>
        <v>6.3322629929666769</v>
      </c>
    </row>
    <row r="860" spans="5:19" x14ac:dyDescent="0.75">
      <c r="E860">
        <v>855</v>
      </c>
      <c r="F860">
        <v>100</v>
      </c>
      <c r="G860">
        <f t="shared" ca="1" si="886"/>
        <v>91.786640807953788</v>
      </c>
      <c r="H860">
        <f t="shared" ca="1" si="886"/>
        <v>93.931331358845597</v>
      </c>
      <c r="I860">
        <f t="shared" ca="1" si="886"/>
        <v>92.377623888416522</v>
      </c>
      <c r="J860">
        <f t="shared" ca="1" si="886"/>
        <v>101.20246567822038</v>
      </c>
      <c r="K860">
        <f t="shared" ref="K860:P860" ca="1" si="911">J860*EXP(($C$4-0.5*$C$5^2)*$C$10+$C$5*SQRT($C$10)*NORMINV(RAND(),0,1))</f>
        <v>94.442841984721881</v>
      </c>
      <c r="L860">
        <f t="shared" ca="1" si="911"/>
        <v>90.416605633341362</v>
      </c>
      <c r="M860">
        <f t="shared" ca="1" si="911"/>
        <v>95.77689158232792</v>
      </c>
      <c r="N860">
        <f t="shared" ca="1" si="911"/>
        <v>99.741507385591262</v>
      </c>
      <c r="O860">
        <f t="shared" ca="1" si="911"/>
        <v>106.22102219515627</v>
      </c>
      <c r="P860">
        <f t="shared" ca="1" si="911"/>
        <v>105.18799526651992</v>
      </c>
      <c r="Q860">
        <f t="shared" ca="1" si="888"/>
        <v>97.371356889190466</v>
      </c>
      <c r="R860">
        <f t="shared" ca="1" si="889"/>
        <v>0</v>
      </c>
      <c r="S860">
        <f t="shared" ca="1" si="890"/>
        <v>0</v>
      </c>
    </row>
    <row r="861" spans="5:19" x14ac:dyDescent="0.75">
      <c r="E861">
        <v>856</v>
      </c>
      <c r="F861">
        <v>100</v>
      </c>
      <c r="G861">
        <f t="shared" ca="1" si="886"/>
        <v>95.957126798313993</v>
      </c>
      <c r="H861">
        <f t="shared" ca="1" si="886"/>
        <v>85.650033319697044</v>
      </c>
      <c r="I861">
        <f t="shared" ca="1" si="886"/>
        <v>88.634896569846632</v>
      </c>
      <c r="J861">
        <f t="shared" ca="1" si="886"/>
        <v>96.46468841229445</v>
      </c>
      <c r="K861">
        <f t="shared" ref="K861:P861" ca="1" si="912">J861*EXP(($C$4-0.5*$C$5^2)*$C$10+$C$5*SQRT($C$10)*NORMINV(RAND(),0,1))</f>
        <v>89.662443797770194</v>
      </c>
      <c r="L861">
        <f t="shared" ca="1" si="912"/>
        <v>87.49525732975043</v>
      </c>
      <c r="M861">
        <f t="shared" ca="1" si="912"/>
        <v>86.665326089805035</v>
      </c>
      <c r="N861">
        <f t="shared" ca="1" si="912"/>
        <v>88.60997453610004</v>
      </c>
      <c r="O861">
        <f t="shared" ca="1" si="912"/>
        <v>88.24944367737686</v>
      </c>
      <c r="P861">
        <f t="shared" ca="1" si="912"/>
        <v>86.354118521566178</v>
      </c>
      <c r="Q861">
        <f t="shared" ca="1" si="888"/>
        <v>90.340300822956451</v>
      </c>
      <c r="R861">
        <f t="shared" ca="1" si="889"/>
        <v>0</v>
      </c>
      <c r="S861">
        <f t="shared" ca="1" si="890"/>
        <v>0</v>
      </c>
    </row>
    <row r="862" spans="5:19" x14ac:dyDescent="0.75">
      <c r="E862">
        <v>857</v>
      </c>
      <c r="F862">
        <v>100</v>
      </c>
      <c r="G862">
        <f t="shared" ca="1" si="886"/>
        <v>96.41834428521247</v>
      </c>
      <c r="H862">
        <f t="shared" ca="1" si="886"/>
        <v>92.490299558013888</v>
      </c>
      <c r="I862">
        <f t="shared" ca="1" si="886"/>
        <v>86.27228363156685</v>
      </c>
      <c r="J862">
        <f t="shared" ca="1" si="886"/>
        <v>89.324514151116944</v>
      </c>
      <c r="K862">
        <f t="shared" ref="K862:P862" ca="1" si="913">J862*EXP(($C$4-0.5*$C$5^2)*$C$10+$C$5*SQRT($C$10)*NORMINV(RAND(),0,1))</f>
        <v>98.696512906734725</v>
      </c>
      <c r="L862">
        <f t="shared" ca="1" si="913"/>
        <v>103.44963226908618</v>
      </c>
      <c r="M862">
        <f t="shared" ca="1" si="913"/>
        <v>103.77647200027367</v>
      </c>
      <c r="N862">
        <f t="shared" ca="1" si="913"/>
        <v>106.2845890969577</v>
      </c>
      <c r="O862">
        <f t="shared" ca="1" si="913"/>
        <v>101.94375410752804</v>
      </c>
      <c r="P862">
        <f t="shared" ca="1" si="913"/>
        <v>99.76970826814852</v>
      </c>
      <c r="Q862">
        <f t="shared" ca="1" si="888"/>
        <v>98.038737297694468</v>
      </c>
      <c r="R862">
        <f t="shared" ca="1" si="889"/>
        <v>0</v>
      </c>
      <c r="S862">
        <f t="shared" ca="1" si="890"/>
        <v>0</v>
      </c>
    </row>
    <row r="863" spans="5:19" x14ac:dyDescent="0.75">
      <c r="E863">
        <v>858</v>
      </c>
      <c r="F863">
        <v>100</v>
      </c>
      <c r="G863">
        <f t="shared" ca="1" si="886"/>
        <v>104.19697603412669</v>
      </c>
      <c r="H863">
        <f t="shared" ca="1" si="886"/>
        <v>103.47384759898966</v>
      </c>
      <c r="I863">
        <f t="shared" ca="1" si="886"/>
        <v>106.29467572008201</v>
      </c>
      <c r="J863">
        <f t="shared" ca="1" si="886"/>
        <v>93.467937797535683</v>
      </c>
      <c r="K863">
        <f t="shared" ref="K863:P863" ca="1" si="914">J863*EXP(($C$4-0.5*$C$5^2)*$C$10+$C$5*SQRT($C$10)*NORMINV(RAND(),0,1))</f>
        <v>93.961070506889612</v>
      </c>
      <c r="L863">
        <f t="shared" ca="1" si="914"/>
        <v>89.412791366356217</v>
      </c>
      <c r="M863">
        <f t="shared" ca="1" si="914"/>
        <v>91.676895357165535</v>
      </c>
      <c r="N863">
        <f t="shared" ca="1" si="914"/>
        <v>85.81000920528507</v>
      </c>
      <c r="O863">
        <f t="shared" ca="1" si="914"/>
        <v>73.461882739410186</v>
      </c>
      <c r="P863">
        <f t="shared" ca="1" si="914"/>
        <v>75.349494953087145</v>
      </c>
      <c r="Q863">
        <f t="shared" ca="1" si="888"/>
        <v>92.464143752629809</v>
      </c>
      <c r="R863">
        <f t="shared" ca="1" si="889"/>
        <v>0</v>
      </c>
      <c r="S863">
        <f t="shared" ca="1" si="890"/>
        <v>0</v>
      </c>
    </row>
    <row r="864" spans="5:19" x14ac:dyDescent="0.75">
      <c r="E864">
        <v>859</v>
      </c>
      <c r="F864">
        <v>100</v>
      </c>
      <c r="G864">
        <f t="shared" ca="1" si="886"/>
        <v>97.396985253099317</v>
      </c>
      <c r="H864">
        <f t="shared" ca="1" si="886"/>
        <v>97.0302998089673</v>
      </c>
      <c r="I864">
        <f t="shared" ca="1" si="886"/>
        <v>94.055329349267481</v>
      </c>
      <c r="J864">
        <f t="shared" ca="1" si="886"/>
        <v>98.20295235029262</v>
      </c>
      <c r="K864">
        <f t="shared" ref="K864:P864" ca="1" si="915">J864*EXP(($C$4-0.5*$C$5^2)*$C$10+$C$5*SQRT($C$10)*NORMINV(RAND(),0,1))</f>
        <v>84.366841286668631</v>
      </c>
      <c r="L864">
        <f t="shared" ca="1" si="915"/>
        <v>91.206794793560533</v>
      </c>
      <c r="M864">
        <f t="shared" ca="1" si="915"/>
        <v>93.919168324759383</v>
      </c>
      <c r="N864">
        <f t="shared" ca="1" si="915"/>
        <v>100.80966847828654</v>
      </c>
      <c r="O864">
        <f t="shared" ca="1" si="915"/>
        <v>95.497835631157713</v>
      </c>
      <c r="P864">
        <f t="shared" ca="1" si="915"/>
        <v>93.625148279642616</v>
      </c>
      <c r="Q864">
        <f t="shared" ca="1" si="888"/>
        <v>95.101002141427458</v>
      </c>
      <c r="R864">
        <f t="shared" ca="1" si="889"/>
        <v>0</v>
      </c>
      <c r="S864">
        <f t="shared" ca="1" si="890"/>
        <v>0</v>
      </c>
    </row>
    <row r="865" spans="5:19" x14ac:dyDescent="0.75">
      <c r="E865">
        <v>860</v>
      </c>
      <c r="F865">
        <v>100</v>
      </c>
      <c r="G865">
        <f t="shared" ca="1" si="886"/>
        <v>98.102749215297081</v>
      </c>
      <c r="H865">
        <f t="shared" ca="1" si="886"/>
        <v>105.59556444348142</v>
      </c>
      <c r="I865">
        <f t="shared" ca="1" si="886"/>
        <v>111.33709592739831</v>
      </c>
      <c r="J865">
        <f t="shared" ca="1" si="886"/>
        <v>114.17515827412922</v>
      </c>
      <c r="K865">
        <f t="shared" ref="K865:P865" ca="1" si="916">J865*EXP(($C$4-0.5*$C$5^2)*$C$10+$C$5*SQRT($C$10)*NORMINV(RAND(),0,1))</f>
        <v>108.76226611348116</v>
      </c>
      <c r="L865">
        <f t="shared" ca="1" si="916"/>
        <v>112.10044490075079</v>
      </c>
      <c r="M865">
        <f t="shared" ca="1" si="916"/>
        <v>121.67790996314429</v>
      </c>
      <c r="N865">
        <f t="shared" ca="1" si="916"/>
        <v>116.19689194309056</v>
      </c>
      <c r="O865">
        <f t="shared" ca="1" si="916"/>
        <v>120.40314214361875</v>
      </c>
      <c r="P865">
        <f t="shared" ca="1" si="916"/>
        <v>119.79440301502277</v>
      </c>
      <c r="Q865">
        <f t="shared" ca="1" si="888"/>
        <v>111.64960235812856</v>
      </c>
      <c r="R865">
        <f t="shared" ca="1" si="889"/>
        <v>11.649602358128561</v>
      </c>
      <c r="S865">
        <f t="shared" ca="1" si="890"/>
        <v>11.081444546784793</v>
      </c>
    </row>
    <row r="866" spans="5:19" x14ac:dyDescent="0.75">
      <c r="E866">
        <v>861</v>
      </c>
      <c r="F866">
        <v>100</v>
      </c>
      <c r="G866">
        <f t="shared" ca="1" si="886"/>
        <v>102.70199158322468</v>
      </c>
      <c r="H866">
        <f t="shared" ca="1" si="886"/>
        <v>114.71069772158421</v>
      </c>
      <c r="I866">
        <f t="shared" ca="1" si="886"/>
        <v>116.88185454636756</v>
      </c>
      <c r="J866">
        <f t="shared" ca="1" si="886"/>
        <v>123.32644533326938</v>
      </c>
      <c r="K866">
        <f t="shared" ref="K866:P866" ca="1" si="917">J866*EXP(($C$4-0.5*$C$5^2)*$C$10+$C$5*SQRT($C$10)*NORMINV(RAND(),0,1))</f>
        <v>130.35797151594883</v>
      </c>
      <c r="L866">
        <f t="shared" ca="1" si="917"/>
        <v>123.49954162695643</v>
      </c>
      <c r="M866">
        <f t="shared" ca="1" si="917"/>
        <v>133.65534463145048</v>
      </c>
      <c r="N866">
        <f t="shared" ca="1" si="917"/>
        <v>140.26403251161119</v>
      </c>
      <c r="O866">
        <f t="shared" ca="1" si="917"/>
        <v>134.63573132143918</v>
      </c>
      <c r="P866">
        <f t="shared" ca="1" si="917"/>
        <v>129.10871484945045</v>
      </c>
      <c r="Q866">
        <f t="shared" ca="1" si="888"/>
        <v>122.6493023310275</v>
      </c>
      <c r="R866">
        <f t="shared" ca="1" si="889"/>
        <v>22.649302331027499</v>
      </c>
      <c r="S866">
        <f t="shared" ca="1" si="890"/>
        <v>21.544682821685967</v>
      </c>
    </row>
    <row r="867" spans="5:19" x14ac:dyDescent="0.75">
      <c r="E867">
        <v>862</v>
      </c>
      <c r="F867">
        <v>100</v>
      </c>
      <c r="G867">
        <f t="shared" ca="1" si="886"/>
        <v>101.72629683935203</v>
      </c>
      <c r="H867">
        <f t="shared" ca="1" si="886"/>
        <v>109.45284297874035</v>
      </c>
      <c r="I867">
        <f t="shared" ca="1" si="886"/>
        <v>103.42790300084545</v>
      </c>
      <c r="J867">
        <f t="shared" ca="1" si="886"/>
        <v>111.69103642682424</v>
      </c>
      <c r="K867">
        <f t="shared" ref="K867:P867" ca="1" si="918">J867*EXP(($C$4-0.5*$C$5^2)*$C$10+$C$5*SQRT($C$10)*NORMINV(RAND(),0,1))</f>
        <v>125.15560978891101</v>
      </c>
      <c r="L867">
        <f t="shared" ca="1" si="918"/>
        <v>140.21639178259841</v>
      </c>
      <c r="M867">
        <f t="shared" ca="1" si="918"/>
        <v>162.88351001048599</v>
      </c>
      <c r="N867">
        <f t="shared" ca="1" si="918"/>
        <v>151.77350681054179</v>
      </c>
      <c r="O867">
        <f t="shared" ca="1" si="918"/>
        <v>145.13973812065029</v>
      </c>
      <c r="P867">
        <f t="shared" ca="1" si="918"/>
        <v>143.34723932306804</v>
      </c>
      <c r="Q867">
        <f t="shared" ca="1" si="888"/>
        <v>126.80127955291069</v>
      </c>
      <c r="R867">
        <f t="shared" ca="1" si="889"/>
        <v>26.801279552910685</v>
      </c>
      <c r="S867">
        <f t="shared" ca="1" si="890"/>
        <v>25.494165724997984</v>
      </c>
    </row>
    <row r="868" spans="5:19" x14ac:dyDescent="0.75">
      <c r="E868">
        <v>863</v>
      </c>
      <c r="F868">
        <v>100</v>
      </c>
      <c r="G868">
        <f t="shared" ca="1" si="886"/>
        <v>102.86489919612951</v>
      </c>
      <c r="H868">
        <f t="shared" ca="1" si="886"/>
        <v>101.0809282374975</v>
      </c>
      <c r="I868">
        <f t="shared" ca="1" si="886"/>
        <v>103.18708554244171</v>
      </c>
      <c r="J868">
        <f t="shared" ca="1" si="886"/>
        <v>103.66572808394616</v>
      </c>
      <c r="K868">
        <f t="shared" ref="K868:P868" ca="1" si="919">J868*EXP(($C$4-0.5*$C$5^2)*$C$10+$C$5*SQRT($C$10)*NORMINV(RAND(),0,1))</f>
        <v>101.10043689182349</v>
      </c>
      <c r="L868">
        <f t="shared" ca="1" si="919"/>
        <v>100.11929987366861</v>
      </c>
      <c r="M868">
        <f t="shared" ca="1" si="919"/>
        <v>104.41052907634399</v>
      </c>
      <c r="N868">
        <f t="shared" ca="1" si="919"/>
        <v>110.49847952985331</v>
      </c>
      <c r="O868">
        <f t="shared" ca="1" si="919"/>
        <v>113.40948023979152</v>
      </c>
      <c r="P868">
        <f t="shared" ca="1" si="919"/>
        <v>125.15450607661495</v>
      </c>
      <c r="Q868">
        <f t="shared" ca="1" si="888"/>
        <v>105.95376115891918</v>
      </c>
      <c r="R868">
        <f t="shared" ca="1" si="889"/>
        <v>5.9537611589191783</v>
      </c>
      <c r="S868">
        <f t="shared" ca="1" si="890"/>
        <v>5.6633928008133942</v>
      </c>
    </row>
    <row r="869" spans="5:19" x14ac:dyDescent="0.75">
      <c r="E869">
        <v>864</v>
      </c>
      <c r="F869">
        <v>100</v>
      </c>
      <c r="G869">
        <f t="shared" ca="1" si="886"/>
        <v>100.8598217614592</v>
      </c>
      <c r="H869">
        <f t="shared" ca="1" si="886"/>
        <v>104.28031193415976</v>
      </c>
      <c r="I869">
        <f t="shared" ca="1" si="886"/>
        <v>114.96042250873577</v>
      </c>
      <c r="J869">
        <f t="shared" ca="1" si="886"/>
        <v>117.83494811321901</v>
      </c>
      <c r="K869">
        <f t="shared" ref="K869:P869" ca="1" si="920">J869*EXP(($C$4-0.5*$C$5^2)*$C$10+$C$5*SQRT($C$10)*NORMINV(RAND(),0,1))</f>
        <v>114.35648029110372</v>
      </c>
      <c r="L869">
        <f t="shared" ca="1" si="920"/>
        <v>117.28248478025338</v>
      </c>
      <c r="M869">
        <f t="shared" ca="1" si="920"/>
        <v>111.04413903902302</v>
      </c>
      <c r="N869">
        <f t="shared" ca="1" si="920"/>
        <v>112.04845421683777</v>
      </c>
      <c r="O869">
        <f t="shared" ca="1" si="920"/>
        <v>108.15981457520444</v>
      </c>
      <c r="P869">
        <f t="shared" ca="1" si="920"/>
        <v>102.40883979994734</v>
      </c>
      <c r="Q869">
        <f t="shared" ca="1" si="888"/>
        <v>109.38506518363123</v>
      </c>
      <c r="R869">
        <f t="shared" ca="1" si="889"/>
        <v>9.3850651836312267</v>
      </c>
      <c r="S869">
        <f t="shared" ca="1" si="890"/>
        <v>8.9273501535272199</v>
      </c>
    </row>
    <row r="870" spans="5:19" x14ac:dyDescent="0.75">
      <c r="E870">
        <v>865</v>
      </c>
      <c r="F870">
        <v>100</v>
      </c>
      <c r="G870">
        <f t="shared" ca="1" si="886"/>
        <v>110.01635023966475</v>
      </c>
      <c r="H870">
        <f t="shared" ca="1" si="886"/>
        <v>116.90705011960851</v>
      </c>
      <c r="I870">
        <f t="shared" ca="1" si="886"/>
        <v>116.7735054601151</v>
      </c>
      <c r="J870">
        <f t="shared" ca="1" si="886"/>
        <v>126.78666533741611</v>
      </c>
      <c r="K870">
        <f t="shared" ref="K870:P870" ca="1" si="921">J870*EXP(($C$4-0.5*$C$5^2)*$C$10+$C$5*SQRT($C$10)*NORMINV(RAND(),0,1))</f>
        <v>119.64300328777243</v>
      </c>
      <c r="L870">
        <f t="shared" ca="1" si="921"/>
        <v>119.47359129545239</v>
      </c>
      <c r="M870">
        <f t="shared" ca="1" si="921"/>
        <v>121.30434780174075</v>
      </c>
      <c r="N870">
        <f t="shared" ca="1" si="921"/>
        <v>125.01722507324152</v>
      </c>
      <c r="O870">
        <f t="shared" ca="1" si="921"/>
        <v>118.71890173408261</v>
      </c>
      <c r="P870">
        <f t="shared" ca="1" si="921"/>
        <v>116.97828351197018</v>
      </c>
      <c r="Q870">
        <f t="shared" ca="1" si="888"/>
        <v>117.41990216918767</v>
      </c>
      <c r="R870">
        <f t="shared" ca="1" si="889"/>
        <v>17.419902169187665</v>
      </c>
      <c r="S870">
        <f t="shared" ca="1" si="890"/>
        <v>16.570323515255122</v>
      </c>
    </row>
    <row r="871" spans="5:19" x14ac:dyDescent="0.75">
      <c r="E871">
        <v>866</v>
      </c>
      <c r="F871">
        <v>100</v>
      </c>
      <c r="G871">
        <f t="shared" ca="1" si="886"/>
        <v>92.983960798676975</v>
      </c>
      <c r="H871">
        <f t="shared" ca="1" si="886"/>
        <v>89.606920057952308</v>
      </c>
      <c r="I871">
        <f t="shared" ca="1" si="886"/>
        <v>84.07812193652812</v>
      </c>
      <c r="J871">
        <f t="shared" ca="1" si="886"/>
        <v>84.145814241090065</v>
      </c>
      <c r="K871">
        <f t="shared" ref="K871:P871" ca="1" si="922">J871*EXP(($C$4-0.5*$C$5^2)*$C$10+$C$5*SQRT($C$10)*NORMINV(RAND(),0,1))</f>
        <v>81.786937506931523</v>
      </c>
      <c r="L871">
        <f t="shared" ca="1" si="922"/>
        <v>83.808085438023909</v>
      </c>
      <c r="M871">
        <f t="shared" ca="1" si="922"/>
        <v>82.767398004438391</v>
      </c>
      <c r="N871">
        <f t="shared" ca="1" si="922"/>
        <v>84.042295506470566</v>
      </c>
      <c r="O871">
        <f t="shared" ca="1" si="922"/>
        <v>81.668520377090985</v>
      </c>
      <c r="P871">
        <f t="shared" ca="1" si="922"/>
        <v>81.281633936683619</v>
      </c>
      <c r="Q871">
        <f t="shared" ca="1" si="888"/>
        <v>86.015426163989687</v>
      </c>
      <c r="R871">
        <f t="shared" ca="1" si="889"/>
        <v>0</v>
      </c>
      <c r="S871">
        <f t="shared" ca="1" si="890"/>
        <v>0</v>
      </c>
    </row>
    <row r="872" spans="5:19" x14ac:dyDescent="0.75">
      <c r="E872">
        <v>867</v>
      </c>
      <c r="F872">
        <v>100</v>
      </c>
      <c r="G872">
        <f t="shared" ca="1" si="886"/>
        <v>101.37700169738488</v>
      </c>
      <c r="H872">
        <f t="shared" ca="1" si="886"/>
        <v>94.005371404720393</v>
      </c>
      <c r="I872">
        <f t="shared" ca="1" si="886"/>
        <v>90.258561263232849</v>
      </c>
      <c r="J872">
        <f t="shared" ca="1" si="886"/>
        <v>91.833181639254306</v>
      </c>
      <c r="K872">
        <f t="shared" ref="K872:P872" ca="1" si="923">J872*EXP(($C$4-0.5*$C$5^2)*$C$10+$C$5*SQRT($C$10)*NORMINV(RAND(),0,1))</f>
        <v>87.578536422154897</v>
      </c>
      <c r="L872">
        <f t="shared" ca="1" si="923"/>
        <v>88.720162995880273</v>
      </c>
      <c r="M872">
        <f t="shared" ca="1" si="923"/>
        <v>94.088842052183182</v>
      </c>
      <c r="N872">
        <f t="shared" ca="1" si="923"/>
        <v>109.05418349364437</v>
      </c>
      <c r="O872">
        <f t="shared" ca="1" si="923"/>
        <v>110.0317532329918</v>
      </c>
      <c r="P872">
        <f t="shared" ca="1" si="923"/>
        <v>118.99830173079206</v>
      </c>
      <c r="Q872">
        <f t="shared" ca="1" si="888"/>
        <v>98.722354175658083</v>
      </c>
      <c r="R872">
        <f t="shared" ca="1" si="889"/>
        <v>0</v>
      </c>
      <c r="S872">
        <f t="shared" ca="1" si="890"/>
        <v>0</v>
      </c>
    </row>
    <row r="873" spans="5:19" x14ac:dyDescent="0.75">
      <c r="E873">
        <v>868</v>
      </c>
      <c r="F873">
        <v>100</v>
      </c>
      <c r="G873">
        <f t="shared" ca="1" si="886"/>
        <v>98.86534920445294</v>
      </c>
      <c r="H873">
        <f t="shared" ca="1" si="886"/>
        <v>102.40752187359492</v>
      </c>
      <c r="I873">
        <f t="shared" ca="1" si="886"/>
        <v>109.408287026807</v>
      </c>
      <c r="J873">
        <f t="shared" ca="1" si="886"/>
        <v>98.308976895233059</v>
      </c>
      <c r="K873">
        <f t="shared" ref="K873:P873" ca="1" si="924">J873*EXP(($C$4-0.5*$C$5^2)*$C$10+$C$5*SQRT($C$10)*NORMINV(RAND(),0,1))</f>
        <v>106.9979435102188</v>
      </c>
      <c r="L873">
        <f t="shared" ca="1" si="924"/>
        <v>101.77929551256398</v>
      </c>
      <c r="M873">
        <f t="shared" ca="1" si="924"/>
        <v>100.1209806145167</v>
      </c>
      <c r="N873">
        <f t="shared" ca="1" si="924"/>
        <v>100.34227451745778</v>
      </c>
      <c r="O873">
        <f t="shared" ca="1" si="924"/>
        <v>98.866214702806374</v>
      </c>
      <c r="P873">
        <f t="shared" ca="1" si="924"/>
        <v>91.562023333032357</v>
      </c>
      <c r="Q873">
        <f t="shared" ca="1" si="888"/>
        <v>100.78716974460762</v>
      </c>
      <c r="R873">
        <f t="shared" ca="1" si="889"/>
        <v>0.78716974460762401</v>
      </c>
      <c r="S873">
        <f t="shared" ca="1" si="890"/>
        <v>0.74877902314748424</v>
      </c>
    </row>
    <row r="874" spans="5:19" x14ac:dyDescent="0.75">
      <c r="E874">
        <v>869</v>
      </c>
      <c r="F874">
        <v>100</v>
      </c>
      <c r="G874">
        <f t="shared" ca="1" si="886"/>
        <v>85.958425066054204</v>
      </c>
      <c r="H874">
        <f t="shared" ca="1" si="886"/>
        <v>89.503602644304948</v>
      </c>
      <c r="I874">
        <f t="shared" ca="1" si="886"/>
        <v>89.540920772413997</v>
      </c>
      <c r="J874">
        <f t="shared" ca="1" si="886"/>
        <v>89.849735199762989</v>
      </c>
      <c r="K874">
        <f t="shared" ref="K874:P874" ca="1" si="925">J874*EXP(($C$4-0.5*$C$5^2)*$C$10+$C$5*SQRT($C$10)*NORMINV(RAND(),0,1))</f>
        <v>86.615768478449496</v>
      </c>
      <c r="L874">
        <f t="shared" ca="1" si="925"/>
        <v>90.566386568830822</v>
      </c>
      <c r="M874">
        <f t="shared" ca="1" si="925"/>
        <v>87.468898092627825</v>
      </c>
      <c r="N874">
        <f t="shared" ca="1" si="925"/>
        <v>94.122921607155646</v>
      </c>
      <c r="O874">
        <f t="shared" ca="1" si="925"/>
        <v>97.335044494058963</v>
      </c>
      <c r="P874">
        <f t="shared" ca="1" si="925"/>
        <v>94.929431933640799</v>
      </c>
      <c r="Q874">
        <f t="shared" ca="1" si="888"/>
        <v>91.444648623390876</v>
      </c>
      <c r="R874">
        <f t="shared" ca="1" si="889"/>
        <v>0</v>
      </c>
      <c r="S874">
        <f t="shared" ca="1" si="890"/>
        <v>0</v>
      </c>
    </row>
    <row r="875" spans="5:19" x14ac:dyDescent="0.75">
      <c r="E875">
        <v>870</v>
      </c>
      <c r="F875">
        <v>100</v>
      </c>
      <c r="G875">
        <f t="shared" ca="1" si="886"/>
        <v>101.7419239618535</v>
      </c>
      <c r="H875">
        <f t="shared" ca="1" si="886"/>
        <v>102.55429890724571</v>
      </c>
      <c r="I875">
        <f t="shared" ca="1" si="886"/>
        <v>102.36595397671864</v>
      </c>
      <c r="J875">
        <f t="shared" ca="1" si="886"/>
        <v>96.271507726746194</v>
      </c>
      <c r="K875">
        <f t="shared" ref="K875:P875" ca="1" si="926">J875*EXP(($C$4-0.5*$C$5^2)*$C$10+$C$5*SQRT($C$10)*NORMINV(RAND(),0,1))</f>
        <v>106.78251427556259</v>
      </c>
      <c r="L875">
        <f t="shared" ca="1" si="926"/>
        <v>110.18698212946232</v>
      </c>
      <c r="M875">
        <f t="shared" ca="1" si="926"/>
        <v>111.11092851051374</v>
      </c>
      <c r="N875">
        <f t="shared" ca="1" si="926"/>
        <v>114.10088868589277</v>
      </c>
      <c r="O875">
        <f t="shared" ca="1" si="926"/>
        <v>121.86680244128897</v>
      </c>
      <c r="P875">
        <f t="shared" ca="1" si="926"/>
        <v>113.96501041786149</v>
      </c>
      <c r="Q875">
        <f t="shared" ca="1" si="888"/>
        <v>107.35880100301326</v>
      </c>
      <c r="R875">
        <f t="shared" ca="1" si="889"/>
        <v>7.3588010030132551</v>
      </c>
      <c r="S875">
        <f t="shared" ca="1" si="890"/>
        <v>6.9999080431115761</v>
      </c>
    </row>
    <row r="876" spans="5:19" x14ac:dyDescent="0.75">
      <c r="E876">
        <v>871</v>
      </c>
      <c r="F876">
        <v>100</v>
      </c>
      <c r="G876">
        <f t="shared" ca="1" si="886"/>
        <v>99.259339085514725</v>
      </c>
      <c r="H876">
        <f t="shared" ca="1" si="886"/>
        <v>99.603024277999538</v>
      </c>
      <c r="I876">
        <f t="shared" ca="1" si="886"/>
        <v>99.969038568512048</v>
      </c>
      <c r="J876">
        <f t="shared" ca="1" si="886"/>
        <v>93.730616603857584</v>
      </c>
      <c r="K876">
        <f t="shared" ref="K876:P876" ca="1" si="927">J876*EXP(($C$4-0.5*$C$5^2)*$C$10+$C$5*SQRT($C$10)*NORMINV(RAND(),0,1))</f>
        <v>93.249257899477954</v>
      </c>
      <c r="L876">
        <f t="shared" ca="1" si="927"/>
        <v>94.376159242687805</v>
      </c>
      <c r="M876">
        <f t="shared" ca="1" si="927"/>
        <v>111.37317795819037</v>
      </c>
      <c r="N876">
        <f t="shared" ca="1" si="927"/>
        <v>111.50860287285165</v>
      </c>
      <c r="O876">
        <f t="shared" ca="1" si="927"/>
        <v>110.64743070782939</v>
      </c>
      <c r="P876">
        <f t="shared" ca="1" si="927"/>
        <v>106.52571039420845</v>
      </c>
      <c r="Q876">
        <f t="shared" ca="1" si="888"/>
        <v>101.84021432828449</v>
      </c>
      <c r="R876">
        <f t="shared" ca="1" si="889"/>
        <v>1.8402143282844889</v>
      </c>
      <c r="S876">
        <f t="shared" ca="1" si="890"/>
        <v>1.7504660164520225</v>
      </c>
    </row>
    <row r="877" spans="5:19" x14ac:dyDescent="0.75">
      <c r="E877">
        <v>872</v>
      </c>
      <c r="F877">
        <v>100</v>
      </c>
      <c r="G877">
        <f t="shared" ca="1" si="886"/>
        <v>96.794240476731659</v>
      </c>
      <c r="H877">
        <f t="shared" ca="1" si="886"/>
        <v>86.398472179745696</v>
      </c>
      <c r="I877">
        <f t="shared" ca="1" si="886"/>
        <v>83.26810887803039</v>
      </c>
      <c r="J877">
        <f t="shared" ca="1" si="886"/>
        <v>77.711650059949633</v>
      </c>
      <c r="K877">
        <f t="shared" ref="K877:P877" ca="1" si="928">J877*EXP(($C$4-0.5*$C$5^2)*$C$10+$C$5*SQRT($C$10)*NORMINV(RAND(),0,1))</f>
        <v>77.293001834695843</v>
      </c>
      <c r="L877">
        <f t="shared" ca="1" si="928"/>
        <v>73.728491820385372</v>
      </c>
      <c r="M877">
        <f t="shared" ca="1" si="928"/>
        <v>69.667881343728865</v>
      </c>
      <c r="N877">
        <f t="shared" ca="1" si="928"/>
        <v>65.670927587956768</v>
      </c>
      <c r="O877">
        <f t="shared" ca="1" si="928"/>
        <v>62.224795964316286</v>
      </c>
      <c r="P877">
        <f t="shared" ca="1" si="928"/>
        <v>61.646136599487406</v>
      </c>
      <c r="Q877">
        <f t="shared" ca="1" si="888"/>
        <v>77.673064249547977</v>
      </c>
      <c r="R877">
        <f t="shared" ca="1" si="889"/>
        <v>0</v>
      </c>
      <c r="S877">
        <f t="shared" ca="1" si="890"/>
        <v>0</v>
      </c>
    </row>
    <row r="878" spans="5:19" x14ac:dyDescent="0.75">
      <c r="E878">
        <v>873</v>
      </c>
      <c r="F878">
        <v>100</v>
      </c>
      <c r="G878">
        <f t="shared" ca="1" si="886"/>
        <v>107.15452340910099</v>
      </c>
      <c r="H878">
        <f t="shared" ca="1" si="886"/>
        <v>100.40407326075936</v>
      </c>
      <c r="I878">
        <f t="shared" ca="1" si="886"/>
        <v>103.2962770848265</v>
      </c>
      <c r="J878">
        <f t="shared" ca="1" si="886"/>
        <v>105.53412330130939</v>
      </c>
      <c r="K878">
        <f t="shared" ref="K878:P878" ca="1" si="929">J878*EXP(($C$4-0.5*$C$5^2)*$C$10+$C$5*SQRT($C$10)*NORMINV(RAND(),0,1))</f>
        <v>104.19177920908822</v>
      </c>
      <c r="L878">
        <f t="shared" ca="1" si="929"/>
        <v>96.439033231989526</v>
      </c>
      <c r="M878">
        <f t="shared" ca="1" si="929"/>
        <v>98.837026742625298</v>
      </c>
      <c r="N878">
        <f t="shared" ca="1" si="929"/>
        <v>97.490190244969355</v>
      </c>
      <c r="O878">
        <f t="shared" ca="1" si="929"/>
        <v>92.139836543128837</v>
      </c>
      <c r="P878">
        <f t="shared" ca="1" si="929"/>
        <v>94.462950956153577</v>
      </c>
      <c r="Q878">
        <f t="shared" ca="1" si="888"/>
        <v>99.995437634904647</v>
      </c>
      <c r="R878">
        <f t="shared" ca="1" si="889"/>
        <v>0</v>
      </c>
      <c r="S878">
        <f t="shared" ca="1" si="890"/>
        <v>0</v>
      </c>
    </row>
    <row r="879" spans="5:19" x14ac:dyDescent="0.75">
      <c r="E879">
        <v>874</v>
      </c>
      <c r="F879">
        <v>100</v>
      </c>
      <c r="G879">
        <f t="shared" ca="1" si="886"/>
        <v>98.841376130148234</v>
      </c>
      <c r="H879">
        <f t="shared" ca="1" si="886"/>
        <v>103.60214508048273</v>
      </c>
      <c r="I879">
        <f t="shared" ca="1" si="886"/>
        <v>106.57501609182074</v>
      </c>
      <c r="J879">
        <f t="shared" ca="1" si="886"/>
        <v>95.029650168555705</v>
      </c>
      <c r="K879">
        <f t="shared" ref="K879:P879" ca="1" si="930">J879*EXP(($C$4-0.5*$C$5^2)*$C$10+$C$5*SQRT($C$10)*NORMINV(RAND(),0,1))</f>
        <v>92.838569330259858</v>
      </c>
      <c r="L879">
        <f t="shared" ca="1" si="930"/>
        <v>82.386158998123904</v>
      </c>
      <c r="M879">
        <f t="shared" ca="1" si="930"/>
        <v>78.582683843115149</v>
      </c>
      <c r="N879">
        <f t="shared" ca="1" si="930"/>
        <v>74.791726966761686</v>
      </c>
      <c r="O879">
        <f t="shared" ca="1" si="930"/>
        <v>78.663630159638871</v>
      </c>
      <c r="P879">
        <f t="shared" ca="1" si="930"/>
        <v>73.467408444041084</v>
      </c>
      <c r="Q879">
        <f t="shared" ca="1" si="888"/>
        <v>89.525305928449797</v>
      </c>
      <c r="R879">
        <f t="shared" ca="1" si="889"/>
        <v>0</v>
      </c>
      <c r="S879">
        <f t="shared" ca="1" si="890"/>
        <v>0</v>
      </c>
    </row>
    <row r="880" spans="5:19" x14ac:dyDescent="0.75">
      <c r="E880">
        <v>875</v>
      </c>
      <c r="F880">
        <v>100</v>
      </c>
      <c r="G880">
        <f t="shared" ca="1" si="886"/>
        <v>90.118474822840284</v>
      </c>
      <c r="H880">
        <f t="shared" ca="1" si="886"/>
        <v>94.694177759504058</v>
      </c>
      <c r="I880">
        <f t="shared" ca="1" si="886"/>
        <v>110.72921946447873</v>
      </c>
      <c r="J880">
        <f t="shared" ca="1" si="886"/>
        <v>101.19651490705108</v>
      </c>
      <c r="K880">
        <f t="shared" ref="K880:P880" ca="1" si="931">J880*EXP(($C$4-0.5*$C$5^2)*$C$10+$C$5*SQRT($C$10)*NORMINV(RAND(),0,1))</f>
        <v>104.12858057043279</v>
      </c>
      <c r="L880">
        <f t="shared" ca="1" si="931"/>
        <v>111.68192969314661</v>
      </c>
      <c r="M880">
        <f t="shared" ca="1" si="931"/>
        <v>117.49682691408967</v>
      </c>
      <c r="N880">
        <f t="shared" ca="1" si="931"/>
        <v>114.28108526585521</v>
      </c>
      <c r="O880">
        <f t="shared" ca="1" si="931"/>
        <v>113.33807533653322</v>
      </c>
      <c r="P880">
        <f t="shared" ca="1" si="931"/>
        <v>110.20887690449338</v>
      </c>
      <c r="Q880">
        <f t="shared" ca="1" si="888"/>
        <v>106.17034196712953</v>
      </c>
      <c r="R880">
        <f t="shared" ca="1" si="889"/>
        <v>6.1703419671295308</v>
      </c>
      <c r="S880">
        <f t="shared" ca="1" si="890"/>
        <v>5.8694108383652273</v>
      </c>
    </row>
    <row r="881" spans="5:19" x14ac:dyDescent="0.75">
      <c r="E881">
        <v>876</v>
      </c>
      <c r="F881">
        <v>100</v>
      </c>
      <c r="G881">
        <f t="shared" ca="1" si="886"/>
        <v>108.18592642165873</v>
      </c>
      <c r="H881">
        <f t="shared" ca="1" si="886"/>
        <v>110.86023325177017</v>
      </c>
      <c r="I881">
        <f t="shared" ca="1" si="886"/>
        <v>117.49686783358906</v>
      </c>
      <c r="J881">
        <f t="shared" ca="1" si="886"/>
        <v>108.84927109577558</v>
      </c>
      <c r="K881">
        <f t="shared" ref="K881:P881" ca="1" si="932">J881*EXP(($C$4-0.5*$C$5^2)*$C$10+$C$5*SQRT($C$10)*NORMINV(RAND(),0,1))</f>
        <v>103.53489255561558</v>
      </c>
      <c r="L881">
        <f t="shared" ca="1" si="932"/>
        <v>103.02439826577158</v>
      </c>
      <c r="M881">
        <f t="shared" ca="1" si="932"/>
        <v>101.31920723783085</v>
      </c>
      <c r="N881">
        <f t="shared" ca="1" si="932"/>
        <v>102.73109325430458</v>
      </c>
      <c r="O881">
        <f t="shared" ca="1" si="932"/>
        <v>95.864962042329083</v>
      </c>
      <c r="P881">
        <f t="shared" ca="1" si="932"/>
        <v>86.53781323072495</v>
      </c>
      <c r="Q881">
        <f t="shared" ca="1" si="888"/>
        <v>103.49133319903363</v>
      </c>
      <c r="R881">
        <f t="shared" ca="1" si="889"/>
        <v>3.4913331990336332</v>
      </c>
      <c r="S881">
        <f t="shared" ca="1" si="890"/>
        <v>3.3210588696569996</v>
      </c>
    </row>
    <row r="882" spans="5:19" x14ac:dyDescent="0.75">
      <c r="E882">
        <v>877</v>
      </c>
      <c r="F882">
        <v>100</v>
      </c>
      <c r="G882">
        <f t="shared" ca="1" si="886"/>
        <v>98.149401219541659</v>
      </c>
      <c r="H882">
        <f t="shared" ca="1" si="886"/>
        <v>89.515036390648035</v>
      </c>
      <c r="I882">
        <f t="shared" ca="1" si="886"/>
        <v>89.325839200375341</v>
      </c>
      <c r="J882">
        <f t="shared" ca="1" si="886"/>
        <v>86.84540322733092</v>
      </c>
      <c r="K882">
        <f t="shared" ref="K882:P882" ca="1" si="933">J882*EXP(($C$4-0.5*$C$5^2)*$C$10+$C$5*SQRT($C$10)*NORMINV(RAND(),0,1))</f>
        <v>80.920850643771303</v>
      </c>
      <c r="L882">
        <f t="shared" ca="1" si="933"/>
        <v>73.566351131055114</v>
      </c>
      <c r="M882">
        <f t="shared" ca="1" si="933"/>
        <v>72.193804447111376</v>
      </c>
      <c r="N882">
        <f t="shared" ca="1" si="933"/>
        <v>69.619705663063456</v>
      </c>
      <c r="O882">
        <f t="shared" ca="1" si="933"/>
        <v>66.597355404645413</v>
      </c>
      <c r="P882">
        <f t="shared" ca="1" si="933"/>
        <v>57.812434407696294</v>
      </c>
      <c r="Q882">
        <f t="shared" ca="1" si="888"/>
        <v>80.413289248658089</v>
      </c>
      <c r="R882">
        <f t="shared" ca="1" si="889"/>
        <v>0</v>
      </c>
      <c r="S882">
        <f t="shared" ca="1" si="890"/>
        <v>0</v>
      </c>
    </row>
    <row r="883" spans="5:19" x14ac:dyDescent="0.75">
      <c r="E883">
        <v>878</v>
      </c>
      <c r="F883">
        <v>100</v>
      </c>
      <c r="G883">
        <f t="shared" ca="1" si="886"/>
        <v>97.419821306690508</v>
      </c>
      <c r="H883">
        <f t="shared" ca="1" si="886"/>
        <v>106.62725150335569</v>
      </c>
      <c r="I883">
        <f t="shared" ca="1" si="886"/>
        <v>107.94658128320638</v>
      </c>
      <c r="J883">
        <f t="shared" ca="1" si="886"/>
        <v>115.42612727916421</v>
      </c>
      <c r="K883">
        <f t="shared" ref="K883:P883" ca="1" si="934">J883*EXP(($C$4-0.5*$C$5^2)*$C$10+$C$5*SQRT($C$10)*NORMINV(RAND(),0,1))</f>
        <v>117.42450319680503</v>
      </c>
      <c r="L883">
        <f t="shared" ca="1" si="934"/>
        <v>128.34535519806397</v>
      </c>
      <c r="M883">
        <f t="shared" ca="1" si="934"/>
        <v>114.68639368685254</v>
      </c>
      <c r="N883">
        <f t="shared" ca="1" si="934"/>
        <v>113.25759766089946</v>
      </c>
      <c r="O883">
        <f t="shared" ca="1" si="934"/>
        <v>104.26864573322341</v>
      </c>
      <c r="P883">
        <f t="shared" ca="1" si="934"/>
        <v>105.0214101490407</v>
      </c>
      <c r="Q883">
        <f t="shared" ca="1" si="888"/>
        <v>110.03851699975472</v>
      </c>
      <c r="R883">
        <f t="shared" ca="1" si="889"/>
        <v>10.038516999754719</v>
      </c>
      <c r="S883">
        <f t="shared" ca="1" si="890"/>
        <v>9.5489327485173163</v>
      </c>
    </row>
    <row r="884" spans="5:19" x14ac:dyDescent="0.75">
      <c r="E884">
        <v>879</v>
      </c>
      <c r="F884">
        <v>100</v>
      </c>
      <c r="G884">
        <f t="shared" ca="1" si="886"/>
        <v>100.72790373739858</v>
      </c>
      <c r="H884">
        <f t="shared" ca="1" si="886"/>
        <v>105.74707174844148</v>
      </c>
      <c r="I884">
        <f t="shared" ca="1" si="886"/>
        <v>122.71483656974145</v>
      </c>
      <c r="J884">
        <f t="shared" ca="1" si="886"/>
        <v>111.9313340476517</v>
      </c>
      <c r="K884">
        <f t="shared" ref="K884:P884" ca="1" si="935">J884*EXP(($C$4-0.5*$C$5^2)*$C$10+$C$5*SQRT($C$10)*NORMINV(RAND(),0,1))</f>
        <v>116.0842563045701</v>
      </c>
      <c r="L884">
        <f t="shared" ca="1" si="935"/>
        <v>112.33669669407361</v>
      </c>
      <c r="M884">
        <f t="shared" ca="1" si="935"/>
        <v>116.3058785960736</v>
      </c>
      <c r="N884">
        <f t="shared" ca="1" si="935"/>
        <v>122.4946797067267</v>
      </c>
      <c r="O884">
        <f t="shared" ca="1" si="935"/>
        <v>131.37906899962184</v>
      </c>
      <c r="P884">
        <f t="shared" ca="1" si="935"/>
        <v>132.06336648317847</v>
      </c>
      <c r="Q884">
        <f t="shared" ca="1" si="888"/>
        <v>115.61682662613431</v>
      </c>
      <c r="R884">
        <f t="shared" ca="1" si="889"/>
        <v>15.616826626134312</v>
      </c>
      <c r="S884">
        <f t="shared" ca="1" si="890"/>
        <v>14.855185004105168</v>
      </c>
    </row>
    <row r="885" spans="5:19" x14ac:dyDescent="0.75">
      <c r="E885">
        <v>880</v>
      </c>
      <c r="F885">
        <v>100</v>
      </c>
      <c r="G885">
        <f t="shared" ca="1" si="886"/>
        <v>92.105555948888323</v>
      </c>
      <c r="H885">
        <f t="shared" ca="1" si="886"/>
        <v>90.979396523569051</v>
      </c>
      <c r="I885">
        <f t="shared" ca="1" si="886"/>
        <v>84.22335909142835</v>
      </c>
      <c r="J885">
        <f t="shared" ca="1" si="886"/>
        <v>85.516141966043676</v>
      </c>
      <c r="K885">
        <f t="shared" ref="K885:P885" ca="1" si="936">J885*EXP(($C$4-0.5*$C$5^2)*$C$10+$C$5*SQRT($C$10)*NORMINV(RAND(),0,1))</f>
        <v>90.857175493928452</v>
      </c>
      <c r="L885">
        <f t="shared" ca="1" si="936"/>
        <v>78.640388293648357</v>
      </c>
      <c r="M885">
        <f t="shared" ca="1" si="936"/>
        <v>74.679183752248463</v>
      </c>
      <c r="N885">
        <f t="shared" ca="1" si="936"/>
        <v>76.605674217586312</v>
      </c>
      <c r="O885">
        <f t="shared" ca="1" si="936"/>
        <v>83.329808015900838</v>
      </c>
      <c r="P885">
        <f t="shared" ca="1" si="936"/>
        <v>89.575061654724493</v>
      </c>
      <c r="Q885">
        <f t="shared" ca="1" si="888"/>
        <v>86.046522268906031</v>
      </c>
      <c r="R885">
        <f t="shared" ca="1" si="889"/>
        <v>0</v>
      </c>
      <c r="S885">
        <f t="shared" ca="1" si="890"/>
        <v>0</v>
      </c>
    </row>
    <row r="886" spans="5:19" x14ac:dyDescent="0.75">
      <c r="E886">
        <v>881</v>
      </c>
      <c r="F886">
        <v>100</v>
      </c>
      <c r="G886">
        <f t="shared" ca="1" si="886"/>
        <v>88.824180049131058</v>
      </c>
      <c r="H886">
        <f t="shared" ca="1" si="886"/>
        <v>80.223732656977575</v>
      </c>
      <c r="I886">
        <f t="shared" ca="1" si="886"/>
        <v>79.661207594063058</v>
      </c>
      <c r="J886">
        <f t="shared" ca="1" si="886"/>
        <v>82.677069985316876</v>
      </c>
      <c r="K886">
        <f t="shared" ref="K886:P886" ca="1" si="937">J886*EXP(($C$4-0.5*$C$5^2)*$C$10+$C$5*SQRT($C$10)*NORMINV(RAND(),0,1))</f>
        <v>82.750263665444891</v>
      </c>
      <c r="L886">
        <f t="shared" ca="1" si="937"/>
        <v>82.919851655592694</v>
      </c>
      <c r="M886">
        <f t="shared" ca="1" si="937"/>
        <v>77.240580286202288</v>
      </c>
      <c r="N886">
        <f t="shared" ca="1" si="937"/>
        <v>78.322201482705722</v>
      </c>
      <c r="O886">
        <f t="shared" ca="1" si="937"/>
        <v>77.509952012494324</v>
      </c>
      <c r="P886">
        <f t="shared" ca="1" si="937"/>
        <v>85.120122945746246</v>
      </c>
      <c r="Q886">
        <f t="shared" ca="1" si="888"/>
        <v>83.20446930306133</v>
      </c>
      <c r="R886">
        <f t="shared" ca="1" si="889"/>
        <v>0</v>
      </c>
      <c r="S886">
        <f t="shared" ca="1" si="890"/>
        <v>0</v>
      </c>
    </row>
    <row r="887" spans="5:19" x14ac:dyDescent="0.75">
      <c r="E887">
        <v>882</v>
      </c>
      <c r="F887">
        <v>100</v>
      </c>
      <c r="G887">
        <f t="shared" ca="1" si="886"/>
        <v>110.99436312180512</v>
      </c>
      <c r="H887">
        <f t="shared" ca="1" si="886"/>
        <v>112.88144229948199</v>
      </c>
      <c r="I887">
        <f t="shared" ca="1" si="886"/>
        <v>119.79124763339956</v>
      </c>
      <c r="J887">
        <f t="shared" ca="1" si="886"/>
        <v>122.02530095966307</v>
      </c>
      <c r="K887">
        <f t="shared" ref="K887:P887" ca="1" si="938">J887*EXP(($C$4-0.5*$C$5^2)*$C$10+$C$5*SQRT($C$10)*NORMINV(RAND(),0,1))</f>
        <v>137.50784365021411</v>
      </c>
      <c r="L887">
        <f t="shared" ca="1" si="938"/>
        <v>146.15656263960142</v>
      </c>
      <c r="M887">
        <f t="shared" ca="1" si="938"/>
        <v>145.12910645401649</v>
      </c>
      <c r="N887">
        <f t="shared" ca="1" si="938"/>
        <v>164.78279902316697</v>
      </c>
      <c r="O887">
        <f t="shared" ca="1" si="938"/>
        <v>153.37178359648516</v>
      </c>
      <c r="P887">
        <f t="shared" ca="1" si="938"/>
        <v>143.43140165052574</v>
      </c>
      <c r="Q887">
        <f t="shared" ca="1" si="888"/>
        <v>132.37016827530542</v>
      </c>
      <c r="R887">
        <f t="shared" ca="1" si="889"/>
        <v>32.370168275305417</v>
      </c>
      <c r="S887">
        <f t="shared" ca="1" si="890"/>
        <v>30.791456539510044</v>
      </c>
    </row>
    <row r="888" spans="5:19" x14ac:dyDescent="0.75">
      <c r="E888">
        <v>883</v>
      </c>
      <c r="F888">
        <v>100</v>
      </c>
      <c r="G888">
        <f t="shared" ca="1" si="886"/>
        <v>93.917091119061709</v>
      </c>
      <c r="H888">
        <f t="shared" ca="1" si="886"/>
        <v>108.37010925422051</v>
      </c>
      <c r="I888">
        <f t="shared" ca="1" si="886"/>
        <v>110.9157061461233</v>
      </c>
      <c r="J888">
        <f t="shared" ca="1" si="886"/>
        <v>112.2672311577151</v>
      </c>
      <c r="K888">
        <f t="shared" ref="K888:P888" ca="1" si="939">J888*EXP(($C$4-0.5*$C$5^2)*$C$10+$C$5*SQRT($C$10)*NORMINV(RAND(),0,1))</f>
        <v>128.22117483671548</v>
      </c>
      <c r="L888">
        <f t="shared" ca="1" si="939"/>
        <v>135.64052393891825</v>
      </c>
      <c r="M888">
        <f t="shared" ca="1" si="939"/>
        <v>140.53930754249623</v>
      </c>
      <c r="N888">
        <f t="shared" ca="1" si="939"/>
        <v>148.48030259039342</v>
      </c>
      <c r="O888">
        <f t="shared" ca="1" si="939"/>
        <v>157.36207734603121</v>
      </c>
      <c r="P888">
        <f t="shared" ca="1" si="939"/>
        <v>154.73297333629364</v>
      </c>
      <c r="Q888">
        <f t="shared" ca="1" si="888"/>
        <v>126.40422702436076</v>
      </c>
      <c r="R888">
        <f t="shared" ca="1" si="889"/>
        <v>26.404227024360765</v>
      </c>
      <c r="S888">
        <f t="shared" ca="1" si="890"/>
        <v>25.116477676768891</v>
      </c>
    </row>
    <row r="889" spans="5:19" x14ac:dyDescent="0.75">
      <c r="E889">
        <v>884</v>
      </c>
      <c r="F889">
        <v>100</v>
      </c>
      <c r="G889">
        <f t="shared" ca="1" si="886"/>
        <v>91.922811712805043</v>
      </c>
      <c r="H889">
        <f t="shared" ca="1" si="886"/>
        <v>83.480730212084779</v>
      </c>
      <c r="I889">
        <f t="shared" ca="1" si="886"/>
        <v>91.752871181633878</v>
      </c>
      <c r="J889">
        <f t="shared" ca="1" si="886"/>
        <v>89.120610785105811</v>
      </c>
      <c r="K889">
        <f t="shared" ref="K889:P889" ca="1" si="940">J889*EXP(($C$4-0.5*$C$5^2)*$C$10+$C$5*SQRT($C$10)*NORMINV(RAND(),0,1))</f>
        <v>89.72901736117052</v>
      </c>
      <c r="L889">
        <f t="shared" ca="1" si="940"/>
        <v>86.086235804579388</v>
      </c>
      <c r="M889">
        <f t="shared" ca="1" si="940"/>
        <v>84.14472251028468</v>
      </c>
      <c r="N889">
        <f t="shared" ca="1" si="940"/>
        <v>81.28994684647023</v>
      </c>
      <c r="O889">
        <f t="shared" ca="1" si="940"/>
        <v>88.46501086845808</v>
      </c>
      <c r="P889">
        <f t="shared" ca="1" si="940"/>
        <v>91.63156229789027</v>
      </c>
      <c r="Q889">
        <f t="shared" ca="1" si="888"/>
        <v>88.874865416407502</v>
      </c>
      <c r="R889">
        <f t="shared" ca="1" si="889"/>
        <v>0</v>
      </c>
      <c r="S889">
        <f t="shared" ca="1" si="890"/>
        <v>0</v>
      </c>
    </row>
    <row r="890" spans="5:19" x14ac:dyDescent="0.75">
      <c r="E890">
        <v>885</v>
      </c>
      <c r="F890">
        <v>100</v>
      </c>
      <c r="G890">
        <f t="shared" ca="1" si="886"/>
        <v>107.17183744264523</v>
      </c>
      <c r="H890">
        <f t="shared" ca="1" si="886"/>
        <v>104.63995110078318</v>
      </c>
      <c r="I890">
        <f t="shared" ca="1" si="886"/>
        <v>102.77910486628507</v>
      </c>
      <c r="J890">
        <f t="shared" ca="1" si="886"/>
        <v>102.55211001232338</v>
      </c>
      <c r="K890">
        <f t="shared" ref="K890:P890" ca="1" si="941">J890*EXP(($C$4-0.5*$C$5^2)*$C$10+$C$5*SQRT($C$10)*NORMINV(RAND(),0,1))</f>
        <v>104.71728275380111</v>
      </c>
      <c r="L890">
        <f t="shared" ca="1" si="941"/>
        <v>109.03947780922792</v>
      </c>
      <c r="M890">
        <f t="shared" ca="1" si="941"/>
        <v>113.94411424872429</v>
      </c>
      <c r="N890">
        <f t="shared" ca="1" si="941"/>
        <v>119.48840810182625</v>
      </c>
      <c r="O890">
        <f t="shared" ca="1" si="941"/>
        <v>115.358717933242</v>
      </c>
      <c r="P890">
        <f t="shared" ca="1" si="941"/>
        <v>115.41665058021951</v>
      </c>
      <c r="Q890">
        <f t="shared" ca="1" si="888"/>
        <v>108.64615044082528</v>
      </c>
      <c r="R890">
        <f t="shared" ca="1" si="889"/>
        <v>8.6461504408252807</v>
      </c>
      <c r="S890">
        <f t="shared" ca="1" si="890"/>
        <v>8.2244727079728257</v>
      </c>
    </row>
    <row r="891" spans="5:19" x14ac:dyDescent="0.75">
      <c r="E891">
        <v>886</v>
      </c>
      <c r="F891">
        <v>100</v>
      </c>
      <c r="G891">
        <f t="shared" ca="1" si="886"/>
        <v>109.69405931517223</v>
      </c>
      <c r="H891">
        <f t="shared" ca="1" si="886"/>
        <v>116.57219997342118</v>
      </c>
      <c r="I891">
        <f t="shared" ca="1" si="886"/>
        <v>112.69671812283556</v>
      </c>
      <c r="J891">
        <f t="shared" ca="1" si="886"/>
        <v>109.74908587648888</v>
      </c>
      <c r="K891">
        <f t="shared" ref="K891:P891" ca="1" si="942">J891*EXP(($C$4-0.5*$C$5^2)*$C$10+$C$5*SQRT($C$10)*NORMINV(RAND(),0,1))</f>
        <v>108.82886527220813</v>
      </c>
      <c r="L891">
        <f t="shared" ca="1" si="942"/>
        <v>101.98786460218138</v>
      </c>
      <c r="M891">
        <f t="shared" ca="1" si="942"/>
        <v>96.235481070472488</v>
      </c>
      <c r="N891">
        <f t="shared" ca="1" si="942"/>
        <v>99.241977684224921</v>
      </c>
      <c r="O891">
        <f t="shared" ca="1" si="942"/>
        <v>99.543333139100682</v>
      </c>
      <c r="P891">
        <f t="shared" ca="1" si="942"/>
        <v>97.01997920824958</v>
      </c>
      <c r="Q891">
        <f t="shared" ca="1" si="888"/>
        <v>104.68814220585045</v>
      </c>
      <c r="R891">
        <f t="shared" ca="1" si="889"/>
        <v>4.688142205850454</v>
      </c>
      <c r="S891">
        <f t="shared" ca="1" si="890"/>
        <v>4.4594988124486354</v>
      </c>
    </row>
    <row r="892" spans="5:19" x14ac:dyDescent="0.75">
      <c r="E892">
        <v>887</v>
      </c>
      <c r="F892">
        <v>100</v>
      </c>
      <c r="G892">
        <f t="shared" ca="1" si="886"/>
        <v>112.51208306096858</v>
      </c>
      <c r="H892">
        <f t="shared" ca="1" si="886"/>
        <v>109.93360086364669</v>
      </c>
      <c r="I892">
        <f t="shared" ca="1" si="886"/>
        <v>112.93470246135141</v>
      </c>
      <c r="J892">
        <f t="shared" ca="1" si="886"/>
        <v>125.98024032152099</v>
      </c>
      <c r="K892">
        <f t="shared" ref="K892:P892" ca="1" si="943">J892*EXP(($C$4-0.5*$C$5^2)*$C$10+$C$5*SQRT($C$10)*NORMINV(RAND(),0,1))</f>
        <v>125.99696021557533</v>
      </c>
      <c r="L892">
        <f t="shared" ca="1" si="943"/>
        <v>133.37127689270369</v>
      </c>
      <c r="M892">
        <f t="shared" ca="1" si="943"/>
        <v>132.01387531616587</v>
      </c>
      <c r="N892">
        <f t="shared" ca="1" si="943"/>
        <v>150.17604848568496</v>
      </c>
      <c r="O892">
        <f t="shared" ca="1" si="943"/>
        <v>139.27601676310596</v>
      </c>
      <c r="P892">
        <f t="shared" ca="1" si="943"/>
        <v>126.8444442750616</v>
      </c>
      <c r="Q892">
        <f t="shared" ca="1" si="888"/>
        <v>124.45811351416226</v>
      </c>
      <c r="R892">
        <f t="shared" ca="1" si="889"/>
        <v>24.458113514162264</v>
      </c>
      <c r="S892">
        <f t="shared" ca="1" si="890"/>
        <v>23.265277242449706</v>
      </c>
    </row>
    <row r="893" spans="5:19" x14ac:dyDescent="0.75">
      <c r="E893">
        <v>888</v>
      </c>
      <c r="F893">
        <v>100</v>
      </c>
      <c r="G893">
        <f t="shared" ca="1" si="886"/>
        <v>101.16610619976838</v>
      </c>
      <c r="H893">
        <f t="shared" ca="1" si="886"/>
        <v>105.09569157859602</v>
      </c>
      <c r="I893">
        <f t="shared" ca="1" si="886"/>
        <v>115.80337234989176</v>
      </c>
      <c r="J893">
        <f t="shared" ca="1" si="886"/>
        <v>125.21514209413894</v>
      </c>
      <c r="K893">
        <f t="shared" ref="K893:P893" ca="1" si="944">J893*EXP(($C$4-0.5*$C$5^2)*$C$10+$C$5*SQRT($C$10)*NORMINV(RAND(),0,1))</f>
        <v>148.65443721719356</v>
      </c>
      <c r="L893">
        <f t="shared" ca="1" si="944"/>
        <v>154.55634604036217</v>
      </c>
      <c r="M893">
        <f t="shared" ca="1" si="944"/>
        <v>156.00839034231944</v>
      </c>
      <c r="N893">
        <f t="shared" ca="1" si="944"/>
        <v>159.27848225444728</v>
      </c>
      <c r="O893">
        <f t="shared" ca="1" si="944"/>
        <v>167.79461841813131</v>
      </c>
      <c r="P893">
        <f t="shared" ca="1" si="944"/>
        <v>170.16022600430628</v>
      </c>
      <c r="Q893">
        <f t="shared" ca="1" si="888"/>
        <v>136.70298295446864</v>
      </c>
      <c r="R893">
        <f t="shared" ca="1" si="889"/>
        <v>36.702982954468638</v>
      </c>
      <c r="S893">
        <f t="shared" ca="1" si="890"/>
        <v>34.912957353238717</v>
      </c>
    </row>
    <row r="894" spans="5:19" x14ac:dyDescent="0.75">
      <c r="E894">
        <v>889</v>
      </c>
      <c r="F894">
        <v>100</v>
      </c>
      <c r="G894">
        <f t="shared" ca="1" si="886"/>
        <v>109.96876631780626</v>
      </c>
      <c r="H894">
        <f t="shared" ca="1" si="886"/>
        <v>105.64460274772007</v>
      </c>
      <c r="I894">
        <f t="shared" ca="1" si="886"/>
        <v>115.575399629065</v>
      </c>
      <c r="J894">
        <f t="shared" ca="1" si="886"/>
        <v>111.17256862991523</v>
      </c>
      <c r="K894">
        <f t="shared" ref="K894:P894" ca="1" si="945">J894*EXP(($C$4-0.5*$C$5^2)*$C$10+$C$5*SQRT($C$10)*NORMINV(RAND(),0,1))</f>
        <v>102.75325066361469</v>
      </c>
      <c r="L894">
        <f t="shared" ca="1" si="945"/>
        <v>97.962472604026715</v>
      </c>
      <c r="M894">
        <f t="shared" ca="1" si="945"/>
        <v>95.437300765949942</v>
      </c>
      <c r="N894">
        <f t="shared" ca="1" si="945"/>
        <v>105.93006093396271</v>
      </c>
      <c r="O894">
        <f t="shared" ca="1" si="945"/>
        <v>116.32800836891401</v>
      </c>
      <c r="P894">
        <f t="shared" ca="1" si="945"/>
        <v>117.43222978403075</v>
      </c>
      <c r="Q894">
        <f t="shared" ca="1" si="888"/>
        <v>107.10951458590958</v>
      </c>
      <c r="R894">
        <f t="shared" ca="1" si="889"/>
        <v>7.1095145859095794</v>
      </c>
      <c r="S894">
        <f t="shared" ca="1" si="890"/>
        <v>6.7627794680342017</v>
      </c>
    </row>
    <row r="895" spans="5:19" x14ac:dyDescent="0.75">
      <c r="E895">
        <v>890</v>
      </c>
      <c r="F895">
        <v>100</v>
      </c>
      <c r="G895">
        <f t="shared" ca="1" si="886"/>
        <v>98.086971425733921</v>
      </c>
      <c r="H895">
        <f t="shared" ca="1" si="886"/>
        <v>97.99412909076328</v>
      </c>
      <c r="I895">
        <f t="shared" ca="1" si="886"/>
        <v>100.30223213232688</v>
      </c>
      <c r="J895">
        <f t="shared" ca="1" si="886"/>
        <v>104.91895626939167</v>
      </c>
      <c r="K895">
        <f t="shared" ref="K895:P895" ca="1" si="946">J895*EXP(($C$4-0.5*$C$5^2)*$C$10+$C$5*SQRT($C$10)*NORMINV(RAND(),0,1))</f>
        <v>109.74002321589015</v>
      </c>
      <c r="L895">
        <f t="shared" ca="1" si="946"/>
        <v>114.40822574492888</v>
      </c>
      <c r="M895">
        <f t="shared" ca="1" si="946"/>
        <v>114.53105049197565</v>
      </c>
      <c r="N895">
        <f t="shared" ca="1" si="946"/>
        <v>109.2894209602012</v>
      </c>
      <c r="O895">
        <f t="shared" ca="1" si="946"/>
        <v>116.61723710561373</v>
      </c>
      <c r="P895">
        <f t="shared" ca="1" si="946"/>
        <v>116.23291388479711</v>
      </c>
      <c r="Q895">
        <f t="shared" ca="1" si="888"/>
        <v>107.4655600292384</v>
      </c>
      <c r="R895">
        <f t="shared" ca="1" si="889"/>
        <v>7.4655600292384037</v>
      </c>
      <c r="S895">
        <f t="shared" ca="1" si="890"/>
        <v>7.1014603701879802</v>
      </c>
    </row>
    <row r="896" spans="5:19" x14ac:dyDescent="0.75">
      <c r="E896">
        <v>891</v>
      </c>
      <c r="F896">
        <v>100</v>
      </c>
      <c r="G896">
        <f t="shared" ca="1" si="886"/>
        <v>96.021486562443044</v>
      </c>
      <c r="H896">
        <f t="shared" ca="1" si="886"/>
        <v>105.28725184442503</v>
      </c>
      <c r="I896">
        <f t="shared" ca="1" si="886"/>
        <v>112.07123408667773</v>
      </c>
      <c r="J896">
        <f t="shared" ca="1" si="886"/>
        <v>116.26265252571356</v>
      </c>
      <c r="K896">
        <f t="shared" ref="K896:P896" ca="1" si="947">J896*EXP(($C$4-0.5*$C$5^2)*$C$10+$C$5*SQRT($C$10)*NORMINV(RAND(),0,1))</f>
        <v>115.07749782962556</v>
      </c>
      <c r="L896">
        <f t="shared" ca="1" si="947"/>
        <v>114.27632616984084</v>
      </c>
      <c r="M896">
        <f t="shared" ca="1" si="947"/>
        <v>129.45808429735575</v>
      </c>
      <c r="N896">
        <f t="shared" ca="1" si="947"/>
        <v>141.41379064038955</v>
      </c>
      <c r="O896">
        <f t="shared" ca="1" si="947"/>
        <v>134.26094879334585</v>
      </c>
      <c r="P896">
        <f t="shared" ca="1" si="947"/>
        <v>130.8584052627231</v>
      </c>
      <c r="Q896">
        <f t="shared" ca="1" si="888"/>
        <v>117.72615254659458</v>
      </c>
      <c r="R896">
        <f t="shared" ca="1" si="889"/>
        <v>17.726152546594577</v>
      </c>
      <c r="S896">
        <f t="shared" ca="1" si="890"/>
        <v>16.861637885509026</v>
      </c>
    </row>
    <row r="897" spans="5:19" x14ac:dyDescent="0.75">
      <c r="E897">
        <v>892</v>
      </c>
      <c r="F897">
        <v>100</v>
      </c>
      <c r="G897">
        <f t="shared" ca="1" si="886"/>
        <v>104.92130926586414</v>
      </c>
      <c r="H897">
        <f t="shared" ca="1" si="886"/>
        <v>104.14383091667733</v>
      </c>
      <c r="I897">
        <f t="shared" ca="1" si="886"/>
        <v>103.07783790685806</v>
      </c>
      <c r="J897">
        <f t="shared" ca="1" si="886"/>
        <v>109.12454782412215</v>
      </c>
      <c r="K897">
        <f t="shared" ref="K897:P897" ca="1" si="948">J897*EXP(($C$4-0.5*$C$5^2)*$C$10+$C$5*SQRT($C$10)*NORMINV(RAND(),0,1))</f>
        <v>105.82383022769164</v>
      </c>
      <c r="L897">
        <f t="shared" ca="1" si="948"/>
        <v>111.98261480779708</v>
      </c>
      <c r="M897">
        <f t="shared" ca="1" si="948"/>
        <v>109.87524415596626</v>
      </c>
      <c r="N897">
        <f t="shared" ca="1" si="948"/>
        <v>115.52121437650058</v>
      </c>
      <c r="O897">
        <f t="shared" ca="1" si="948"/>
        <v>117.69415501294567</v>
      </c>
      <c r="P897">
        <f t="shared" ca="1" si="948"/>
        <v>129.96444799895727</v>
      </c>
      <c r="Q897">
        <f t="shared" ca="1" si="888"/>
        <v>110.19354840848909</v>
      </c>
      <c r="R897">
        <f t="shared" ca="1" si="889"/>
        <v>10.193548408489093</v>
      </c>
      <c r="S897">
        <f t="shared" ca="1" si="890"/>
        <v>9.6964031862272488</v>
      </c>
    </row>
    <row r="898" spans="5:19" x14ac:dyDescent="0.75">
      <c r="E898">
        <v>893</v>
      </c>
      <c r="F898">
        <v>100</v>
      </c>
      <c r="G898">
        <f t="shared" ca="1" si="886"/>
        <v>94.685964473252227</v>
      </c>
      <c r="H898">
        <f t="shared" ca="1" si="886"/>
        <v>89.178000884853716</v>
      </c>
      <c r="I898">
        <f t="shared" ca="1" si="886"/>
        <v>83.824595637525675</v>
      </c>
      <c r="J898">
        <f t="shared" ca="1" si="886"/>
        <v>89.079324480133749</v>
      </c>
      <c r="K898">
        <f t="shared" ref="K898:P898" ca="1" si="949">J898*EXP(($C$4-0.5*$C$5^2)*$C$10+$C$5*SQRT($C$10)*NORMINV(RAND(),0,1))</f>
        <v>97.047969768986206</v>
      </c>
      <c r="L898">
        <f t="shared" ca="1" si="949"/>
        <v>108.35826713770891</v>
      </c>
      <c r="M898">
        <f t="shared" ca="1" si="949"/>
        <v>119.00955449174607</v>
      </c>
      <c r="N898">
        <f t="shared" ca="1" si="949"/>
        <v>124.39358963723279</v>
      </c>
      <c r="O898">
        <f t="shared" ca="1" si="949"/>
        <v>118.28386063806462</v>
      </c>
      <c r="P898">
        <f t="shared" ca="1" si="949"/>
        <v>131.9065764584702</v>
      </c>
      <c r="Q898">
        <f t="shared" ca="1" si="888"/>
        <v>105.06979123708857</v>
      </c>
      <c r="R898">
        <f t="shared" ca="1" si="889"/>
        <v>5.069791237088566</v>
      </c>
      <c r="S898">
        <f t="shared" ca="1" si="890"/>
        <v>4.82253460079452</v>
      </c>
    </row>
    <row r="899" spans="5:19" x14ac:dyDescent="0.75">
      <c r="E899">
        <v>894</v>
      </c>
      <c r="F899">
        <v>100</v>
      </c>
      <c r="G899">
        <f t="shared" ca="1" si="886"/>
        <v>101.32255829885189</v>
      </c>
      <c r="H899">
        <f t="shared" ca="1" si="886"/>
        <v>102.26658593693953</v>
      </c>
      <c r="I899">
        <f t="shared" ca="1" si="886"/>
        <v>116.7478431168015</v>
      </c>
      <c r="J899">
        <f t="shared" ca="1" si="886"/>
        <v>113.61638411204942</v>
      </c>
      <c r="K899">
        <f t="shared" ref="K899:P899" ca="1" si="950">J899*EXP(($C$4-0.5*$C$5^2)*$C$10+$C$5*SQRT($C$10)*NORMINV(RAND(),0,1))</f>
        <v>116.41869063417559</v>
      </c>
      <c r="L899">
        <f t="shared" ca="1" si="950"/>
        <v>114.4844745437139</v>
      </c>
      <c r="M899">
        <f t="shared" ca="1" si="950"/>
        <v>105.57500734209364</v>
      </c>
      <c r="N899">
        <f t="shared" ca="1" si="950"/>
        <v>107.58479812490206</v>
      </c>
      <c r="O899">
        <f t="shared" ca="1" si="950"/>
        <v>102.94814202125158</v>
      </c>
      <c r="P899">
        <f t="shared" ca="1" si="950"/>
        <v>93.720834572864717</v>
      </c>
      <c r="Q899">
        <f t="shared" ca="1" si="888"/>
        <v>106.78957442760398</v>
      </c>
      <c r="R899">
        <f t="shared" ca="1" si="889"/>
        <v>6.7895744276039807</v>
      </c>
      <c r="S899">
        <f t="shared" ca="1" si="890"/>
        <v>6.4584429753744992</v>
      </c>
    </row>
    <row r="900" spans="5:19" x14ac:dyDescent="0.75">
      <c r="E900">
        <v>895</v>
      </c>
      <c r="F900">
        <v>100</v>
      </c>
      <c r="G900">
        <f t="shared" ca="1" si="886"/>
        <v>116.55950543496867</v>
      </c>
      <c r="H900">
        <f t="shared" ca="1" si="886"/>
        <v>109.1306534183276</v>
      </c>
      <c r="I900">
        <f t="shared" ca="1" si="886"/>
        <v>106.12571916195508</v>
      </c>
      <c r="J900">
        <f t="shared" ca="1" si="886"/>
        <v>103.84176236374192</v>
      </c>
      <c r="K900">
        <f t="shared" ref="K900:P900" ca="1" si="951">J900*EXP(($C$4-0.5*$C$5^2)*$C$10+$C$5*SQRT($C$10)*NORMINV(RAND(),0,1))</f>
        <v>105.97794248099879</v>
      </c>
      <c r="L900">
        <f t="shared" ca="1" si="951"/>
        <v>103.30492760721417</v>
      </c>
      <c r="M900">
        <f t="shared" ca="1" si="951"/>
        <v>96.416534941339293</v>
      </c>
      <c r="N900">
        <f t="shared" ca="1" si="951"/>
        <v>98.110829299767317</v>
      </c>
      <c r="O900">
        <f t="shared" ca="1" si="951"/>
        <v>113.10934144605262</v>
      </c>
      <c r="P900">
        <f t="shared" ca="1" si="951"/>
        <v>103.82240333447434</v>
      </c>
      <c r="Q900">
        <f t="shared" ca="1" si="888"/>
        <v>105.12723813534907</v>
      </c>
      <c r="R900">
        <f t="shared" ca="1" si="889"/>
        <v>5.1272381353490744</v>
      </c>
      <c r="S900">
        <f t="shared" ca="1" si="890"/>
        <v>4.8771797807662143</v>
      </c>
    </row>
    <row r="901" spans="5:19" x14ac:dyDescent="0.75">
      <c r="E901">
        <v>896</v>
      </c>
      <c r="F901">
        <v>100</v>
      </c>
      <c r="G901">
        <f t="shared" ca="1" si="886"/>
        <v>104.20770790462785</v>
      </c>
      <c r="H901">
        <f t="shared" ca="1" si="886"/>
        <v>104.48441669657201</v>
      </c>
      <c r="I901">
        <f t="shared" ca="1" si="886"/>
        <v>105.16992466599679</v>
      </c>
      <c r="J901">
        <f t="shared" ca="1" si="886"/>
        <v>101.32178861843346</v>
      </c>
      <c r="K901">
        <f t="shared" ref="K901:P901" ca="1" si="952">J901*EXP(($C$4-0.5*$C$5^2)*$C$10+$C$5*SQRT($C$10)*NORMINV(RAND(),0,1))</f>
        <v>114.95063583949168</v>
      </c>
      <c r="L901">
        <f t="shared" ca="1" si="952"/>
        <v>117.31810650132172</v>
      </c>
      <c r="M901">
        <f t="shared" ca="1" si="952"/>
        <v>119.9038602905901</v>
      </c>
      <c r="N901">
        <f t="shared" ca="1" si="952"/>
        <v>126.23120461038641</v>
      </c>
      <c r="O901">
        <f t="shared" ca="1" si="952"/>
        <v>127.33356326811845</v>
      </c>
      <c r="P901">
        <f t="shared" ca="1" si="952"/>
        <v>118.22990881305715</v>
      </c>
      <c r="Q901">
        <f t="shared" ca="1" si="888"/>
        <v>112.6501015644178</v>
      </c>
      <c r="R901">
        <f t="shared" ca="1" si="889"/>
        <v>12.650101564417795</v>
      </c>
      <c r="S901">
        <f t="shared" ca="1" si="890"/>
        <v>12.033148830996721</v>
      </c>
    </row>
    <row r="902" spans="5:19" x14ac:dyDescent="0.75">
      <c r="E902">
        <v>897</v>
      </c>
      <c r="F902">
        <v>100</v>
      </c>
      <c r="G902">
        <f t="shared" ca="1" si="886"/>
        <v>101.13655270788759</v>
      </c>
      <c r="H902">
        <f t="shared" ca="1" si="886"/>
        <v>98.1471737750405</v>
      </c>
      <c r="I902">
        <f t="shared" ca="1" si="886"/>
        <v>97.888115901282191</v>
      </c>
      <c r="J902">
        <f t="shared" ref="J902:P902" ca="1" si="953">I902*EXP(($C$4-0.5*$C$5^2)*$C$10+$C$5*SQRT($C$10)*NORMINV(RAND(),0,1))</f>
        <v>106.34001662851095</v>
      </c>
      <c r="K902">
        <f t="shared" ca="1" si="953"/>
        <v>113.80105313132621</v>
      </c>
      <c r="L902">
        <f t="shared" ca="1" si="953"/>
        <v>123.5685288823269</v>
      </c>
      <c r="M902">
        <f t="shared" ca="1" si="953"/>
        <v>108.36875864261447</v>
      </c>
      <c r="N902">
        <f t="shared" ca="1" si="953"/>
        <v>99.047189720903788</v>
      </c>
      <c r="O902">
        <f t="shared" ca="1" si="953"/>
        <v>103.79011985760232</v>
      </c>
      <c r="P902">
        <f t="shared" ca="1" si="953"/>
        <v>99.835277070048164</v>
      </c>
      <c r="Q902">
        <f t="shared" ca="1" si="888"/>
        <v>104.72025330159481</v>
      </c>
      <c r="R902">
        <f t="shared" ca="1" si="889"/>
        <v>4.7202533015948092</v>
      </c>
      <c r="S902">
        <f t="shared" ca="1" si="890"/>
        <v>4.490043831573626</v>
      </c>
    </row>
    <row r="903" spans="5:19" x14ac:dyDescent="0.75">
      <c r="E903">
        <v>898</v>
      </c>
      <c r="F903">
        <v>100</v>
      </c>
      <c r="G903">
        <f t="shared" ref="G903:J966" ca="1" si="954">F903*EXP(($C$4-0.5*$C$5^2)*$C$10+$C$5*SQRT($C$10)*NORMINV(RAND(),0,1))</f>
        <v>109.06419259094559</v>
      </c>
      <c r="H903">
        <f t="shared" ca="1" si="954"/>
        <v>115.26584523960177</v>
      </c>
      <c r="I903">
        <f t="shared" ca="1" si="954"/>
        <v>109.24022836097279</v>
      </c>
      <c r="J903">
        <f t="shared" ca="1" si="954"/>
        <v>109.23852426864255</v>
      </c>
      <c r="K903">
        <f t="shared" ref="K903:P903" ca="1" si="955">J903*EXP(($C$4-0.5*$C$5^2)*$C$10+$C$5*SQRT($C$10)*NORMINV(RAND(),0,1))</f>
        <v>113.47186360509315</v>
      </c>
      <c r="L903">
        <f t="shared" ca="1" si="955"/>
        <v>118.40640540913918</v>
      </c>
      <c r="M903">
        <f t="shared" ca="1" si="955"/>
        <v>118.59867168625259</v>
      </c>
      <c r="N903">
        <f t="shared" ca="1" si="955"/>
        <v>130.36145008349627</v>
      </c>
      <c r="O903">
        <f t="shared" ca="1" si="955"/>
        <v>134.01084236194995</v>
      </c>
      <c r="P903">
        <f t="shared" ca="1" si="955"/>
        <v>141.61715534094449</v>
      </c>
      <c r="Q903">
        <f t="shared" ref="Q903:Q966" ca="1" si="956">AVERAGE(F903:P903)</f>
        <v>118.11592535882168</v>
      </c>
      <c r="R903">
        <f t="shared" ref="R903:R966" ca="1" si="957">MAX(Q903-$C$7,0)</f>
        <v>18.115925358821684</v>
      </c>
      <c r="S903">
        <f t="shared" ref="S903:S966" ca="1" si="958">EXP(-$C$4*$C$6)*R903</f>
        <v>17.23240125336984</v>
      </c>
    </row>
    <row r="904" spans="5:19" x14ac:dyDescent="0.75">
      <c r="E904">
        <v>899</v>
      </c>
      <c r="F904">
        <v>100</v>
      </c>
      <c r="G904">
        <f t="shared" ca="1" si="954"/>
        <v>95.060729688469067</v>
      </c>
      <c r="H904">
        <f t="shared" ca="1" si="954"/>
        <v>88.867646490322485</v>
      </c>
      <c r="I904">
        <f t="shared" ca="1" si="954"/>
        <v>79.02198716642198</v>
      </c>
      <c r="J904">
        <f t="shared" ca="1" si="954"/>
        <v>83.756901162465979</v>
      </c>
      <c r="K904">
        <f t="shared" ref="K904:P904" ca="1" si="959">J904*EXP(($C$4-0.5*$C$5^2)*$C$10+$C$5*SQRT($C$10)*NORMINV(RAND(),0,1))</f>
        <v>79.232339819601094</v>
      </c>
      <c r="L904">
        <f t="shared" ca="1" si="959"/>
        <v>78.774738250747546</v>
      </c>
      <c r="M904">
        <f t="shared" ca="1" si="959"/>
        <v>75.183717261530205</v>
      </c>
      <c r="N904">
        <f t="shared" ca="1" si="959"/>
        <v>80.275711257913301</v>
      </c>
      <c r="O904">
        <f t="shared" ca="1" si="959"/>
        <v>79.728314399778441</v>
      </c>
      <c r="P904">
        <f t="shared" ca="1" si="959"/>
        <v>69.661209722039032</v>
      </c>
      <c r="Q904">
        <f t="shared" ca="1" si="956"/>
        <v>82.687572292662651</v>
      </c>
      <c r="R904">
        <f t="shared" ca="1" si="957"/>
        <v>0</v>
      </c>
      <c r="S904">
        <f t="shared" ca="1" si="958"/>
        <v>0</v>
      </c>
    </row>
    <row r="905" spans="5:19" x14ac:dyDescent="0.75">
      <c r="E905">
        <v>900</v>
      </c>
      <c r="F905">
        <v>100</v>
      </c>
      <c r="G905">
        <f t="shared" ca="1" si="954"/>
        <v>108.18354925342388</v>
      </c>
      <c r="H905">
        <f t="shared" ca="1" si="954"/>
        <v>105.35101333152046</v>
      </c>
      <c r="I905">
        <f t="shared" ca="1" si="954"/>
        <v>94.313626395360544</v>
      </c>
      <c r="J905">
        <f t="shared" ca="1" si="954"/>
        <v>91.40540378148755</v>
      </c>
      <c r="K905">
        <f t="shared" ref="K905:P905" ca="1" si="960">J905*EXP(($C$4-0.5*$C$5^2)*$C$10+$C$5*SQRT($C$10)*NORMINV(RAND(),0,1))</f>
        <v>102.99798449927177</v>
      </c>
      <c r="L905">
        <f t="shared" ca="1" si="960"/>
        <v>108.80294497343797</v>
      </c>
      <c r="M905">
        <f t="shared" ca="1" si="960"/>
        <v>105.70190001865177</v>
      </c>
      <c r="N905">
        <f t="shared" ca="1" si="960"/>
        <v>106.41981195808408</v>
      </c>
      <c r="O905">
        <f t="shared" ca="1" si="960"/>
        <v>115.17581923636416</v>
      </c>
      <c r="P905">
        <f t="shared" ca="1" si="960"/>
        <v>117.95796035807192</v>
      </c>
      <c r="Q905">
        <f t="shared" ca="1" si="956"/>
        <v>105.11909216415219</v>
      </c>
      <c r="R905">
        <f t="shared" ca="1" si="957"/>
        <v>5.1190921641521925</v>
      </c>
      <c r="S905">
        <f t="shared" ca="1" si="958"/>
        <v>4.8694310932726044</v>
      </c>
    </row>
    <row r="906" spans="5:19" x14ac:dyDescent="0.75">
      <c r="E906">
        <v>901</v>
      </c>
      <c r="F906">
        <v>100</v>
      </c>
      <c r="G906">
        <f t="shared" ca="1" si="954"/>
        <v>102.96867548688913</v>
      </c>
      <c r="H906">
        <f t="shared" ca="1" si="954"/>
        <v>107.09375735902955</v>
      </c>
      <c r="I906">
        <f t="shared" ca="1" si="954"/>
        <v>107.23675058691806</v>
      </c>
      <c r="J906">
        <f t="shared" ca="1" si="954"/>
        <v>96.123971323067153</v>
      </c>
      <c r="K906">
        <f t="shared" ref="K906:P906" ca="1" si="961">J906*EXP(($C$4-0.5*$C$5^2)*$C$10+$C$5*SQRT($C$10)*NORMINV(RAND(),0,1))</f>
        <v>92.362817857311555</v>
      </c>
      <c r="L906">
        <f t="shared" ca="1" si="961"/>
        <v>94.483177721304017</v>
      </c>
      <c r="M906">
        <f t="shared" ca="1" si="961"/>
        <v>101.22396776841163</v>
      </c>
      <c r="N906">
        <f t="shared" ca="1" si="961"/>
        <v>96.760159966070972</v>
      </c>
      <c r="O906">
        <f t="shared" ca="1" si="961"/>
        <v>93.689434125262167</v>
      </c>
      <c r="P906">
        <f t="shared" ca="1" si="961"/>
        <v>94.35262185804433</v>
      </c>
      <c r="Q906">
        <f t="shared" ca="1" si="956"/>
        <v>98.754121277482596</v>
      </c>
      <c r="R906">
        <f t="shared" ca="1" si="957"/>
        <v>0</v>
      </c>
      <c r="S906">
        <f t="shared" ca="1" si="958"/>
        <v>0</v>
      </c>
    </row>
    <row r="907" spans="5:19" x14ac:dyDescent="0.75">
      <c r="E907">
        <v>902</v>
      </c>
      <c r="F907">
        <v>100</v>
      </c>
      <c r="G907">
        <f t="shared" ca="1" si="954"/>
        <v>103.7738736741818</v>
      </c>
      <c r="H907">
        <f t="shared" ca="1" si="954"/>
        <v>103.52227254164735</v>
      </c>
      <c r="I907">
        <f t="shared" ca="1" si="954"/>
        <v>98.287736713250879</v>
      </c>
      <c r="J907">
        <f t="shared" ca="1" si="954"/>
        <v>92.997179400140055</v>
      </c>
      <c r="K907">
        <f t="shared" ref="K907:P907" ca="1" si="962">J907*EXP(($C$4-0.5*$C$5^2)*$C$10+$C$5*SQRT($C$10)*NORMINV(RAND(),0,1))</f>
        <v>92.987623061650169</v>
      </c>
      <c r="L907">
        <f t="shared" ca="1" si="962"/>
        <v>104.03104578779798</v>
      </c>
      <c r="M907">
        <f t="shared" ca="1" si="962"/>
        <v>104.26131032866948</v>
      </c>
      <c r="N907">
        <f t="shared" ca="1" si="962"/>
        <v>107.77484552105821</v>
      </c>
      <c r="O907">
        <f t="shared" ca="1" si="962"/>
        <v>105.35751618255222</v>
      </c>
      <c r="P907">
        <f t="shared" ca="1" si="962"/>
        <v>108.60611780852489</v>
      </c>
      <c r="Q907">
        <f t="shared" ca="1" si="956"/>
        <v>101.96359281995207</v>
      </c>
      <c r="R907">
        <f t="shared" ca="1" si="957"/>
        <v>1.9635928199520691</v>
      </c>
      <c r="S907">
        <f t="shared" ca="1" si="958"/>
        <v>1.8678272680767409</v>
      </c>
    </row>
    <row r="908" spans="5:19" x14ac:dyDescent="0.75">
      <c r="E908">
        <v>903</v>
      </c>
      <c r="F908">
        <v>100</v>
      </c>
      <c r="G908">
        <f t="shared" ca="1" si="954"/>
        <v>92.740576772001589</v>
      </c>
      <c r="H908">
        <f t="shared" ca="1" si="954"/>
        <v>94.93568069706474</v>
      </c>
      <c r="I908">
        <f t="shared" ca="1" si="954"/>
        <v>107.60116095584227</v>
      </c>
      <c r="J908">
        <f t="shared" ca="1" si="954"/>
        <v>112.91598784005532</v>
      </c>
      <c r="K908">
        <f t="shared" ref="K908:P908" ca="1" si="963">J908*EXP(($C$4-0.5*$C$5^2)*$C$10+$C$5*SQRT($C$10)*NORMINV(RAND(),0,1))</f>
        <v>112.69950466066513</v>
      </c>
      <c r="L908">
        <f t="shared" ca="1" si="963"/>
        <v>110.26547993336239</v>
      </c>
      <c r="M908">
        <f t="shared" ca="1" si="963"/>
        <v>100.61556336105913</v>
      </c>
      <c r="N908">
        <f t="shared" ca="1" si="963"/>
        <v>104.06449279482953</v>
      </c>
      <c r="O908">
        <f t="shared" ca="1" si="963"/>
        <v>111.51469279137842</v>
      </c>
      <c r="P908">
        <f t="shared" ca="1" si="963"/>
        <v>108.90105400315551</v>
      </c>
      <c r="Q908">
        <f t="shared" ca="1" si="956"/>
        <v>105.11401761903763</v>
      </c>
      <c r="R908">
        <f t="shared" ca="1" si="957"/>
        <v>5.1140176190376252</v>
      </c>
      <c r="S908">
        <f t="shared" ca="1" si="958"/>
        <v>4.864604036643672</v>
      </c>
    </row>
    <row r="909" spans="5:19" x14ac:dyDescent="0.75">
      <c r="E909">
        <v>904</v>
      </c>
      <c r="F909">
        <v>100</v>
      </c>
      <c r="G909">
        <f t="shared" ca="1" si="954"/>
        <v>102.53403155612672</v>
      </c>
      <c r="H909">
        <f t="shared" ca="1" si="954"/>
        <v>98.656185153703575</v>
      </c>
      <c r="I909">
        <f t="shared" ca="1" si="954"/>
        <v>99.743401449021306</v>
      </c>
      <c r="J909">
        <f t="shared" ca="1" si="954"/>
        <v>93.719289196599817</v>
      </c>
      <c r="K909">
        <f t="shared" ref="K909:P909" ca="1" si="964">J909*EXP(($C$4-0.5*$C$5^2)*$C$10+$C$5*SQRT($C$10)*NORMINV(RAND(),0,1))</f>
        <v>89.34287660108852</v>
      </c>
      <c r="L909">
        <f t="shared" ca="1" si="964"/>
        <v>98.231897848833782</v>
      </c>
      <c r="M909">
        <f t="shared" ca="1" si="964"/>
        <v>101.80262845358635</v>
      </c>
      <c r="N909">
        <f t="shared" ca="1" si="964"/>
        <v>113.93762405947658</v>
      </c>
      <c r="O909">
        <f t="shared" ca="1" si="964"/>
        <v>112.14213679954229</v>
      </c>
      <c r="P909">
        <f t="shared" ca="1" si="964"/>
        <v>106.02535574618068</v>
      </c>
      <c r="Q909">
        <f t="shared" ca="1" si="956"/>
        <v>101.46685698765087</v>
      </c>
      <c r="R909">
        <f t="shared" ca="1" si="957"/>
        <v>1.4668569876508712</v>
      </c>
      <c r="S909">
        <f t="shared" ca="1" si="958"/>
        <v>1.3953175281879893</v>
      </c>
    </row>
    <row r="910" spans="5:19" x14ac:dyDescent="0.75">
      <c r="E910">
        <v>905</v>
      </c>
      <c r="F910">
        <v>100</v>
      </c>
      <c r="G910">
        <f t="shared" ca="1" si="954"/>
        <v>99.499358818466817</v>
      </c>
      <c r="H910">
        <f t="shared" ca="1" si="954"/>
        <v>100.91649303609108</v>
      </c>
      <c r="I910">
        <f t="shared" ca="1" si="954"/>
        <v>99.476377159588068</v>
      </c>
      <c r="J910">
        <f t="shared" ca="1" si="954"/>
        <v>93.81976616693143</v>
      </c>
      <c r="K910">
        <f t="shared" ref="K910:P910" ca="1" si="965">J910*EXP(($C$4-0.5*$C$5^2)*$C$10+$C$5*SQRT($C$10)*NORMINV(RAND(),0,1))</f>
        <v>92.585425003652048</v>
      </c>
      <c r="L910">
        <f t="shared" ca="1" si="965"/>
        <v>90.464467293889626</v>
      </c>
      <c r="M910">
        <f t="shared" ca="1" si="965"/>
        <v>88.317615427465753</v>
      </c>
      <c r="N910">
        <f t="shared" ca="1" si="965"/>
        <v>83.465292311865056</v>
      </c>
      <c r="O910">
        <f t="shared" ca="1" si="965"/>
        <v>82.925630454871524</v>
      </c>
      <c r="P910">
        <f t="shared" ca="1" si="965"/>
        <v>84.591875219593149</v>
      </c>
      <c r="Q910">
        <f t="shared" ca="1" si="956"/>
        <v>92.3693000811286</v>
      </c>
      <c r="R910">
        <f t="shared" ca="1" si="957"/>
        <v>0</v>
      </c>
      <c r="S910">
        <f t="shared" ca="1" si="958"/>
        <v>0</v>
      </c>
    </row>
    <row r="911" spans="5:19" x14ac:dyDescent="0.75">
      <c r="E911">
        <v>906</v>
      </c>
      <c r="F911">
        <v>100</v>
      </c>
      <c r="G911">
        <f t="shared" ca="1" si="954"/>
        <v>98.254120963793724</v>
      </c>
      <c r="H911">
        <f t="shared" ca="1" si="954"/>
        <v>95.180418946425831</v>
      </c>
      <c r="I911">
        <f t="shared" ca="1" si="954"/>
        <v>99.583358423882672</v>
      </c>
      <c r="J911">
        <f t="shared" ca="1" si="954"/>
        <v>104.47345693827968</v>
      </c>
      <c r="K911">
        <f t="shared" ref="K911:P911" ca="1" si="966">J911*EXP(($C$4-0.5*$C$5^2)*$C$10+$C$5*SQRT($C$10)*NORMINV(RAND(),0,1))</f>
        <v>100.42187508345057</v>
      </c>
      <c r="L911">
        <f t="shared" ca="1" si="966"/>
        <v>92.22640739736535</v>
      </c>
      <c r="M911">
        <f t="shared" ca="1" si="966"/>
        <v>92.178271825375177</v>
      </c>
      <c r="N911">
        <f t="shared" ca="1" si="966"/>
        <v>84.413264575524934</v>
      </c>
      <c r="O911">
        <f t="shared" ca="1" si="966"/>
        <v>88.033333166685452</v>
      </c>
      <c r="P911">
        <f t="shared" ca="1" si="966"/>
        <v>92.681183232582484</v>
      </c>
      <c r="Q911">
        <f t="shared" ca="1" si="956"/>
        <v>95.222335504851443</v>
      </c>
      <c r="R911">
        <f t="shared" ca="1" si="957"/>
        <v>0</v>
      </c>
      <c r="S911">
        <f t="shared" ca="1" si="958"/>
        <v>0</v>
      </c>
    </row>
    <row r="912" spans="5:19" x14ac:dyDescent="0.75">
      <c r="E912">
        <v>907</v>
      </c>
      <c r="F912">
        <v>100</v>
      </c>
      <c r="G912">
        <f t="shared" ca="1" si="954"/>
        <v>98.6946428109501</v>
      </c>
      <c r="H912">
        <f t="shared" ca="1" si="954"/>
        <v>106.66152984700916</v>
      </c>
      <c r="I912">
        <f t="shared" ca="1" si="954"/>
        <v>114.25858949435353</v>
      </c>
      <c r="J912">
        <f t="shared" ca="1" si="954"/>
        <v>113.45660799370604</v>
      </c>
      <c r="K912">
        <f t="shared" ref="K912:P912" ca="1" si="967">J912*EXP(($C$4-0.5*$C$5^2)*$C$10+$C$5*SQRT($C$10)*NORMINV(RAND(),0,1))</f>
        <v>113.68758228289076</v>
      </c>
      <c r="L912">
        <f t="shared" ca="1" si="967"/>
        <v>121.78725049017868</v>
      </c>
      <c r="M912">
        <f t="shared" ca="1" si="967"/>
        <v>107.78756236219991</v>
      </c>
      <c r="N912">
        <f t="shared" ca="1" si="967"/>
        <v>114.65032743469411</v>
      </c>
      <c r="O912">
        <f t="shared" ca="1" si="967"/>
        <v>112.98156952531875</v>
      </c>
      <c r="P912">
        <f t="shared" ca="1" si="967"/>
        <v>106.66094939345895</v>
      </c>
      <c r="Q912">
        <f t="shared" ca="1" si="956"/>
        <v>110.05696469406908</v>
      </c>
      <c r="R912">
        <f t="shared" ca="1" si="957"/>
        <v>10.05696469406908</v>
      </c>
      <c r="S912">
        <f t="shared" ca="1" si="958"/>
        <v>9.5664807381633299</v>
      </c>
    </row>
    <row r="913" spans="5:19" x14ac:dyDescent="0.75">
      <c r="E913">
        <v>908</v>
      </c>
      <c r="F913">
        <v>100</v>
      </c>
      <c r="G913">
        <f t="shared" ca="1" si="954"/>
        <v>102.02129097072468</v>
      </c>
      <c r="H913">
        <f t="shared" ca="1" si="954"/>
        <v>96.090933948961833</v>
      </c>
      <c r="I913">
        <f t="shared" ca="1" si="954"/>
        <v>96.859551310978404</v>
      </c>
      <c r="J913">
        <f t="shared" ca="1" si="954"/>
        <v>103.66086305791588</v>
      </c>
      <c r="K913">
        <f t="shared" ref="K913:P913" ca="1" si="968">J913*EXP(($C$4-0.5*$C$5^2)*$C$10+$C$5*SQRT($C$10)*NORMINV(RAND(),0,1))</f>
        <v>108.97730754067312</v>
      </c>
      <c r="L913">
        <f t="shared" ca="1" si="968"/>
        <v>100.61378864475174</v>
      </c>
      <c r="M913">
        <f t="shared" ca="1" si="968"/>
        <v>100.81116062593159</v>
      </c>
      <c r="N913">
        <f t="shared" ca="1" si="968"/>
        <v>98.968457830657812</v>
      </c>
      <c r="O913">
        <f t="shared" ca="1" si="968"/>
        <v>100.38021724862645</v>
      </c>
      <c r="P913">
        <f t="shared" ca="1" si="968"/>
        <v>99.883576389765167</v>
      </c>
      <c r="Q913">
        <f t="shared" ca="1" si="956"/>
        <v>100.75155886990788</v>
      </c>
      <c r="R913">
        <f t="shared" ca="1" si="957"/>
        <v>0.7515588699078819</v>
      </c>
      <c r="S913">
        <f t="shared" ca="1" si="958"/>
        <v>0.71490491130088152</v>
      </c>
    </row>
    <row r="914" spans="5:19" x14ac:dyDescent="0.75">
      <c r="E914">
        <v>909</v>
      </c>
      <c r="F914">
        <v>100</v>
      </c>
      <c r="G914">
        <f t="shared" ca="1" si="954"/>
        <v>106.3466303243531</v>
      </c>
      <c r="H914">
        <f t="shared" ca="1" si="954"/>
        <v>109.14939508832232</v>
      </c>
      <c r="I914">
        <f t="shared" ca="1" si="954"/>
        <v>127.54109975872804</v>
      </c>
      <c r="J914">
        <f t="shared" ca="1" si="954"/>
        <v>128.76732234614317</v>
      </c>
      <c r="K914">
        <f t="shared" ref="K914:P914" ca="1" si="969">J914*EXP(($C$4-0.5*$C$5^2)*$C$10+$C$5*SQRT($C$10)*NORMINV(RAND(),0,1))</f>
        <v>119.33719664224741</v>
      </c>
      <c r="L914">
        <f t="shared" ca="1" si="969"/>
        <v>117.12419480325289</v>
      </c>
      <c r="M914">
        <f t="shared" ca="1" si="969"/>
        <v>121.03203963918573</v>
      </c>
      <c r="N914">
        <f t="shared" ca="1" si="969"/>
        <v>109.37942009709826</v>
      </c>
      <c r="O914">
        <f t="shared" ca="1" si="969"/>
        <v>116.81859240702566</v>
      </c>
      <c r="P914">
        <f t="shared" ca="1" si="969"/>
        <v>124.27430714432487</v>
      </c>
      <c r="Q914">
        <f t="shared" ca="1" si="956"/>
        <v>116.34274529551648</v>
      </c>
      <c r="R914">
        <f t="shared" ca="1" si="957"/>
        <v>16.34274529551648</v>
      </c>
      <c r="S914">
        <f t="shared" ca="1" si="958"/>
        <v>15.545700202215892</v>
      </c>
    </row>
    <row r="915" spans="5:19" x14ac:dyDescent="0.75">
      <c r="E915">
        <v>910</v>
      </c>
      <c r="F915">
        <v>100</v>
      </c>
      <c r="G915">
        <f t="shared" ca="1" si="954"/>
        <v>95.925521177268678</v>
      </c>
      <c r="H915">
        <f t="shared" ca="1" si="954"/>
        <v>85.086088841726664</v>
      </c>
      <c r="I915">
        <f t="shared" ca="1" si="954"/>
        <v>85.576869941348704</v>
      </c>
      <c r="J915">
        <f t="shared" ca="1" si="954"/>
        <v>86.254119525435428</v>
      </c>
      <c r="K915">
        <f t="shared" ref="K915:P915" ca="1" si="970">J915*EXP(($C$4-0.5*$C$5^2)*$C$10+$C$5*SQRT($C$10)*NORMINV(RAND(),0,1))</f>
        <v>86.598478069299745</v>
      </c>
      <c r="L915">
        <f t="shared" ca="1" si="970"/>
        <v>84.63803266103308</v>
      </c>
      <c r="M915">
        <f t="shared" ca="1" si="970"/>
        <v>77.05988322892091</v>
      </c>
      <c r="N915">
        <f t="shared" ca="1" si="970"/>
        <v>81.563957584914704</v>
      </c>
      <c r="O915">
        <f t="shared" ca="1" si="970"/>
        <v>84.748586827728232</v>
      </c>
      <c r="P915">
        <f t="shared" ca="1" si="970"/>
        <v>82.07296032320636</v>
      </c>
      <c r="Q915">
        <f t="shared" ca="1" si="956"/>
        <v>86.320408925534778</v>
      </c>
      <c r="R915">
        <f t="shared" ca="1" si="957"/>
        <v>0</v>
      </c>
      <c r="S915">
        <f t="shared" ca="1" si="958"/>
        <v>0</v>
      </c>
    </row>
    <row r="916" spans="5:19" x14ac:dyDescent="0.75">
      <c r="E916">
        <v>911</v>
      </c>
      <c r="F916">
        <v>100</v>
      </c>
      <c r="G916">
        <f t="shared" ca="1" si="954"/>
        <v>102.07524427624909</v>
      </c>
      <c r="H916">
        <f t="shared" ca="1" si="954"/>
        <v>103.01882174575491</v>
      </c>
      <c r="I916">
        <f t="shared" ca="1" si="954"/>
        <v>97.991301414628651</v>
      </c>
      <c r="J916">
        <f t="shared" ca="1" si="954"/>
        <v>103.47244829652982</v>
      </c>
      <c r="K916">
        <f t="shared" ref="K916:P916" ca="1" si="971">J916*EXP(($C$4-0.5*$C$5^2)*$C$10+$C$5*SQRT($C$10)*NORMINV(RAND(),0,1))</f>
        <v>93.662643815819138</v>
      </c>
      <c r="L916">
        <f t="shared" ca="1" si="971"/>
        <v>88.830150621449661</v>
      </c>
      <c r="M916">
        <f t="shared" ca="1" si="971"/>
        <v>93.499850868763673</v>
      </c>
      <c r="N916">
        <f t="shared" ca="1" si="971"/>
        <v>95.808939778916752</v>
      </c>
      <c r="O916">
        <f t="shared" ca="1" si="971"/>
        <v>92.623788035742535</v>
      </c>
      <c r="P916">
        <f t="shared" ca="1" si="971"/>
        <v>99.14745117453775</v>
      </c>
      <c r="Q916">
        <f t="shared" ca="1" si="956"/>
        <v>97.284603638944731</v>
      </c>
      <c r="R916">
        <f t="shared" ca="1" si="957"/>
        <v>0</v>
      </c>
      <c r="S916">
        <f t="shared" ca="1" si="958"/>
        <v>0</v>
      </c>
    </row>
    <row r="917" spans="5:19" x14ac:dyDescent="0.75">
      <c r="E917">
        <v>912</v>
      </c>
      <c r="F917">
        <v>100</v>
      </c>
      <c r="G917">
        <f t="shared" ca="1" si="954"/>
        <v>102.78236690839704</v>
      </c>
      <c r="H917">
        <f t="shared" ca="1" si="954"/>
        <v>100.92152068668352</v>
      </c>
      <c r="I917">
        <f t="shared" ca="1" si="954"/>
        <v>112.06792065239893</v>
      </c>
      <c r="J917">
        <f t="shared" ca="1" si="954"/>
        <v>124.61278740124624</v>
      </c>
      <c r="K917">
        <f t="shared" ref="K917:P917" ca="1" si="972">J917*EXP(($C$4-0.5*$C$5^2)*$C$10+$C$5*SQRT($C$10)*NORMINV(RAND(),0,1))</f>
        <v>123.45224495727766</v>
      </c>
      <c r="L917">
        <f t="shared" ca="1" si="972"/>
        <v>131.682024003083</v>
      </c>
      <c r="M917">
        <f t="shared" ca="1" si="972"/>
        <v>134.1992492794825</v>
      </c>
      <c r="N917">
        <f t="shared" ca="1" si="972"/>
        <v>133.33124194852226</v>
      </c>
      <c r="O917">
        <f t="shared" ca="1" si="972"/>
        <v>148.46702745464546</v>
      </c>
      <c r="P917">
        <f t="shared" ca="1" si="972"/>
        <v>139.99696603784258</v>
      </c>
      <c r="Q917">
        <f t="shared" ca="1" si="956"/>
        <v>122.86484993905266</v>
      </c>
      <c r="R917">
        <f t="shared" ca="1" si="957"/>
        <v>22.864849939052661</v>
      </c>
      <c r="S917">
        <f t="shared" ca="1" si="958"/>
        <v>21.749718048820249</v>
      </c>
    </row>
    <row r="918" spans="5:19" x14ac:dyDescent="0.75">
      <c r="E918">
        <v>913</v>
      </c>
      <c r="F918">
        <v>100</v>
      </c>
      <c r="G918">
        <f t="shared" ca="1" si="954"/>
        <v>102.61573683151997</v>
      </c>
      <c r="H918">
        <f t="shared" ca="1" si="954"/>
        <v>98.481224526194964</v>
      </c>
      <c r="I918">
        <f t="shared" ca="1" si="954"/>
        <v>106.27644014204729</v>
      </c>
      <c r="J918">
        <f t="shared" ca="1" si="954"/>
        <v>107.08783674355509</v>
      </c>
      <c r="K918">
        <f t="shared" ref="K918:P918" ca="1" si="973">J918*EXP(($C$4-0.5*$C$5^2)*$C$10+$C$5*SQRT($C$10)*NORMINV(RAND(),0,1))</f>
        <v>94.9354645021359</v>
      </c>
      <c r="L918">
        <f t="shared" ca="1" si="973"/>
        <v>90.360314935951976</v>
      </c>
      <c r="M918">
        <f t="shared" ca="1" si="973"/>
        <v>97.645520505899668</v>
      </c>
      <c r="N918">
        <f t="shared" ca="1" si="973"/>
        <v>104.86934926288438</v>
      </c>
      <c r="O918">
        <f t="shared" ca="1" si="973"/>
        <v>98.94671604347667</v>
      </c>
      <c r="P918">
        <f t="shared" ca="1" si="973"/>
        <v>99.888814087539814</v>
      </c>
      <c r="Q918">
        <f t="shared" ca="1" si="956"/>
        <v>100.10067432556416</v>
      </c>
      <c r="R918">
        <f t="shared" ca="1" si="957"/>
        <v>0.10067432556415667</v>
      </c>
      <c r="S918">
        <f t="shared" ca="1" si="958"/>
        <v>9.5764380768390278E-2</v>
      </c>
    </row>
    <row r="919" spans="5:19" x14ac:dyDescent="0.75">
      <c r="E919">
        <v>914</v>
      </c>
      <c r="F919">
        <v>100</v>
      </c>
      <c r="G919">
        <f t="shared" ca="1" si="954"/>
        <v>99.52892615932366</v>
      </c>
      <c r="H919">
        <f t="shared" ca="1" si="954"/>
        <v>86.326628670903858</v>
      </c>
      <c r="I919">
        <f t="shared" ca="1" si="954"/>
        <v>82.862322361405234</v>
      </c>
      <c r="J919">
        <f t="shared" ca="1" si="954"/>
        <v>83.965614670032309</v>
      </c>
      <c r="K919">
        <f t="shared" ref="K919:P919" ca="1" si="974">J919*EXP(($C$4-0.5*$C$5^2)*$C$10+$C$5*SQRT($C$10)*NORMINV(RAND(),0,1))</f>
        <v>82.36912556784209</v>
      </c>
      <c r="L919">
        <f t="shared" ca="1" si="974"/>
        <v>85.923294851558495</v>
      </c>
      <c r="M919">
        <f t="shared" ca="1" si="974"/>
        <v>81.912224212913458</v>
      </c>
      <c r="N919">
        <f t="shared" ca="1" si="974"/>
        <v>75.815961146956909</v>
      </c>
      <c r="O919">
        <f t="shared" ca="1" si="974"/>
        <v>74.685367680793647</v>
      </c>
      <c r="P919">
        <f t="shared" ca="1" si="974"/>
        <v>73.36090183667099</v>
      </c>
      <c r="Q919">
        <f t="shared" ca="1" si="956"/>
        <v>84.25003337803642</v>
      </c>
      <c r="R919">
        <f t="shared" ca="1" si="957"/>
        <v>0</v>
      </c>
      <c r="S919">
        <f t="shared" ca="1" si="958"/>
        <v>0</v>
      </c>
    </row>
    <row r="920" spans="5:19" x14ac:dyDescent="0.75">
      <c r="E920">
        <v>915</v>
      </c>
      <c r="F920">
        <v>100</v>
      </c>
      <c r="G920">
        <f t="shared" ca="1" si="954"/>
        <v>100.8640485756781</v>
      </c>
      <c r="H920">
        <f t="shared" ca="1" si="954"/>
        <v>102.31817544739815</v>
      </c>
      <c r="I920">
        <f t="shared" ca="1" si="954"/>
        <v>104.23299799311967</v>
      </c>
      <c r="J920">
        <f t="shared" ca="1" si="954"/>
        <v>98.622427035050819</v>
      </c>
      <c r="K920">
        <f t="shared" ref="K920:P920" ca="1" si="975">J920*EXP(($C$4-0.5*$C$5^2)*$C$10+$C$5*SQRT($C$10)*NORMINV(RAND(),0,1))</f>
        <v>93.497700802325724</v>
      </c>
      <c r="L920">
        <f t="shared" ca="1" si="975"/>
        <v>107.98530104070232</v>
      </c>
      <c r="M920">
        <f t="shared" ca="1" si="975"/>
        <v>107.18007287360811</v>
      </c>
      <c r="N920">
        <f t="shared" ca="1" si="975"/>
        <v>108.189871290496</v>
      </c>
      <c r="O920">
        <f t="shared" ca="1" si="975"/>
        <v>114.10831261773744</v>
      </c>
      <c r="P920">
        <f t="shared" ca="1" si="975"/>
        <v>119.37046056225759</v>
      </c>
      <c r="Q920">
        <f t="shared" ca="1" si="956"/>
        <v>105.12448802167037</v>
      </c>
      <c r="R920">
        <f t="shared" ca="1" si="957"/>
        <v>5.1244880216703734</v>
      </c>
      <c r="S920">
        <f t="shared" ca="1" si="958"/>
        <v>4.8745637917143121</v>
      </c>
    </row>
    <row r="921" spans="5:19" x14ac:dyDescent="0.75">
      <c r="E921">
        <v>916</v>
      </c>
      <c r="F921">
        <v>100</v>
      </c>
      <c r="G921">
        <f t="shared" ca="1" si="954"/>
        <v>93.83078049689766</v>
      </c>
      <c r="H921">
        <f t="shared" ca="1" si="954"/>
        <v>101.25561436782212</v>
      </c>
      <c r="I921">
        <f t="shared" ca="1" si="954"/>
        <v>110.06321045667244</v>
      </c>
      <c r="J921">
        <f t="shared" ca="1" si="954"/>
        <v>110.20670780686496</v>
      </c>
      <c r="K921">
        <f t="shared" ref="K921:P921" ca="1" si="976">J921*EXP(($C$4-0.5*$C$5^2)*$C$10+$C$5*SQRT($C$10)*NORMINV(RAND(),0,1))</f>
        <v>105.39763575429123</v>
      </c>
      <c r="L921">
        <f t="shared" ca="1" si="976"/>
        <v>115.10340708783011</v>
      </c>
      <c r="M921">
        <f t="shared" ca="1" si="976"/>
        <v>119.08992041846926</v>
      </c>
      <c r="N921">
        <f t="shared" ca="1" si="976"/>
        <v>116.97806238441031</v>
      </c>
      <c r="O921">
        <f t="shared" ca="1" si="976"/>
        <v>120.68523516498715</v>
      </c>
      <c r="P921">
        <f t="shared" ca="1" si="976"/>
        <v>122.27102284866753</v>
      </c>
      <c r="Q921">
        <f t="shared" ca="1" si="956"/>
        <v>110.44378152608297</v>
      </c>
      <c r="R921">
        <f t="shared" ca="1" si="957"/>
        <v>10.443781526082972</v>
      </c>
      <c r="S921">
        <f t="shared" ca="1" si="958"/>
        <v>9.934432290667095</v>
      </c>
    </row>
    <row r="922" spans="5:19" x14ac:dyDescent="0.75">
      <c r="E922">
        <v>917</v>
      </c>
      <c r="F922">
        <v>100</v>
      </c>
      <c r="G922">
        <f t="shared" ca="1" si="954"/>
        <v>99.935898025891561</v>
      </c>
      <c r="H922">
        <f t="shared" ca="1" si="954"/>
        <v>118.21455140158976</v>
      </c>
      <c r="I922">
        <f t="shared" ca="1" si="954"/>
        <v>119.16721200106359</v>
      </c>
      <c r="J922">
        <f t="shared" ca="1" si="954"/>
        <v>108.13204583563825</v>
      </c>
      <c r="K922">
        <f t="shared" ref="K922:P922" ca="1" si="977">J922*EXP(($C$4-0.5*$C$5^2)*$C$10+$C$5*SQRT($C$10)*NORMINV(RAND(),0,1))</f>
        <v>100.83281722116025</v>
      </c>
      <c r="L922">
        <f t="shared" ca="1" si="977"/>
        <v>95.559431523515826</v>
      </c>
      <c r="M922">
        <f t="shared" ca="1" si="977"/>
        <v>97.744166363280414</v>
      </c>
      <c r="N922">
        <f t="shared" ca="1" si="977"/>
        <v>102.68961074464865</v>
      </c>
      <c r="O922">
        <f t="shared" ca="1" si="977"/>
        <v>99.327126793593521</v>
      </c>
      <c r="P922">
        <f t="shared" ca="1" si="977"/>
        <v>101.00002377817128</v>
      </c>
      <c r="Q922">
        <f t="shared" ca="1" si="956"/>
        <v>103.87298942623211</v>
      </c>
      <c r="R922">
        <f t="shared" ca="1" si="957"/>
        <v>3.8729894262321096</v>
      </c>
      <c r="S922">
        <f t="shared" ca="1" si="958"/>
        <v>3.68410150301212</v>
      </c>
    </row>
    <row r="923" spans="5:19" x14ac:dyDescent="0.75">
      <c r="E923">
        <v>918</v>
      </c>
      <c r="F923">
        <v>100</v>
      </c>
      <c r="G923">
        <f t="shared" ca="1" si="954"/>
        <v>97.214239220881936</v>
      </c>
      <c r="H923">
        <f t="shared" ca="1" si="954"/>
        <v>104.93278726113057</v>
      </c>
      <c r="I923">
        <f t="shared" ca="1" si="954"/>
        <v>93.585844770568656</v>
      </c>
      <c r="J923">
        <f t="shared" ca="1" si="954"/>
        <v>89.065310148511415</v>
      </c>
      <c r="K923">
        <f t="shared" ref="K923:P923" ca="1" si="978">J923*EXP(($C$4-0.5*$C$5^2)*$C$10+$C$5*SQRT($C$10)*NORMINV(RAND(),0,1))</f>
        <v>80.999300153220787</v>
      </c>
      <c r="L923">
        <f t="shared" ca="1" si="978"/>
        <v>77.413361321808438</v>
      </c>
      <c r="M923">
        <f t="shared" ca="1" si="978"/>
        <v>74.446749087034277</v>
      </c>
      <c r="N923">
        <f t="shared" ca="1" si="978"/>
        <v>81.260256656938978</v>
      </c>
      <c r="O923">
        <f t="shared" ca="1" si="978"/>
        <v>80.184810083724273</v>
      </c>
      <c r="P923">
        <f t="shared" ca="1" si="978"/>
        <v>75.554282861071769</v>
      </c>
      <c r="Q923">
        <f t="shared" ca="1" si="956"/>
        <v>86.786994687717367</v>
      </c>
      <c r="R923">
        <f t="shared" ca="1" si="957"/>
        <v>0</v>
      </c>
      <c r="S923">
        <f t="shared" ca="1" si="958"/>
        <v>0</v>
      </c>
    </row>
    <row r="924" spans="5:19" x14ac:dyDescent="0.75">
      <c r="E924">
        <v>919</v>
      </c>
      <c r="F924">
        <v>100</v>
      </c>
      <c r="G924">
        <f t="shared" ca="1" si="954"/>
        <v>94.926534215222119</v>
      </c>
      <c r="H924">
        <f t="shared" ca="1" si="954"/>
        <v>104.07683257282343</v>
      </c>
      <c r="I924">
        <f t="shared" ca="1" si="954"/>
        <v>99.880666149813294</v>
      </c>
      <c r="J924">
        <f t="shared" ca="1" si="954"/>
        <v>99.755264937696523</v>
      </c>
      <c r="K924">
        <f t="shared" ref="K924:P924" ca="1" si="979">J924*EXP(($C$4-0.5*$C$5^2)*$C$10+$C$5*SQRT($C$10)*NORMINV(RAND(),0,1))</f>
        <v>101.30301784515818</v>
      </c>
      <c r="L924">
        <f t="shared" ca="1" si="979"/>
        <v>102.91209150160485</v>
      </c>
      <c r="M924">
        <f t="shared" ca="1" si="979"/>
        <v>109.53353352405836</v>
      </c>
      <c r="N924">
        <f t="shared" ca="1" si="979"/>
        <v>105.89041286143282</v>
      </c>
      <c r="O924">
        <f t="shared" ca="1" si="979"/>
        <v>119.97264823803124</v>
      </c>
      <c r="P924">
        <f t="shared" ca="1" si="979"/>
        <v>145.91420772035974</v>
      </c>
      <c r="Q924">
        <f t="shared" ca="1" si="956"/>
        <v>107.65138268783643</v>
      </c>
      <c r="R924">
        <f t="shared" ca="1" si="957"/>
        <v>7.6513826878364313</v>
      </c>
      <c r="S924">
        <f t="shared" ca="1" si="958"/>
        <v>7.2782203507853751</v>
      </c>
    </row>
    <row r="925" spans="5:19" x14ac:dyDescent="0.75">
      <c r="E925">
        <v>920</v>
      </c>
      <c r="F925">
        <v>100</v>
      </c>
      <c r="G925">
        <f t="shared" ca="1" si="954"/>
        <v>103.54026086068015</v>
      </c>
      <c r="H925">
        <f t="shared" ca="1" si="954"/>
        <v>106.6408959009057</v>
      </c>
      <c r="I925">
        <f t="shared" ca="1" si="954"/>
        <v>101.57662105724938</v>
      </c>
      <c r="J925">
        <f t="shared" ca="1" si="954"/>
        <v>98.155536332499892</v>
      </c>
      <c r="K925">
        <f t="shared" ref="K925:P925" ca="1" si="980">J925*EXP(($C$4-0.5*$C$5^2)*$C$10+$C$5*SQRT($C$10)*NORMINV(RAND(),0,1))</f>
        <v>97.008494841987712</v>
      </c>
      <c r="L925">
        <f t="shared" ca="1" si="980"/>
        <v>99.729881303602838</v>
      </c>
      <c r="M925">
        <f t="shared" ca="1" si="980"/>
        <v>112.17088182154085</v>
      </c>
      <c r="N925">
        <f t="shared" ca="1" si="980"/>
        <v>98.674183407693619</v>
      </c>
      <c r="O925">
        <f t="shared" ca="1" si="980"/>
        <v>96.332058753304537</v>
      </c>
      <c r="P925">
        <f t="shared" ca="1" si="980"/>
        <v>85.563424358171872</v>
      </c>
      <c r="Q925">
        <f t="shared" ca="1" si="956"/>
        <v>99.944748967057862</v>
      </c>
      <c r="R925">
        <f t="shared" ca="1" si="957"/>
        <v>0</v>
      </c>
      <c r="S925">
        <f t="shared" ca="1" si="958"/>
        <v>0</v>
      </c>
    </row>
    <row r="926" spans="5:19" x14ac:dyDescent="0.75">
      <c r="E926">
        <v>921</v>
      </c>
      <c r="F926">
        <v>100</v>
      </c>
      <c r="G926">
        <f t="shared" ca="1" si="954"/>
        <v>101.53675241850051</v>
      </c>
      <c r="H926">
        <f t="shared" ca="1" si="954"/>
        <v>100.06125603179304</v>
      </c>
      <c r="I926">
        <f t="shared" ca="1" si="954"/>
        <v>96.199048182948616</v>
      </c>
      <c r="J926">
        <f t="shared" ca="1" si="954"/>
        <v>98.119550447665588</v>
      </c>
      <c r="K926">
        <f t="shared" ref="K926:P926" ca="1" si="981">J926*EXP(($C$4-0.5*$C$5^2)*$C$10+$C$5*SQRT($C$10)*NORMINV(RAND(),0,1))</f>
        <v>100.34673141930743</v>
      </c>
      <c r="L926">
        <f t="shared" ca="1" si="981"/>
        <v>118.30734651175362</v>
      </c>
      <c r="M926">
        <f t="shared" ca="1" si="981"/>
        <v>120.35866720695897</v>
      </c>
      <c r="N926">
        <f t="shared" ca="1" si="981"/>
        <v>122.22845403556698</v>
      </c>
      <c r="O926">
        <f t="shared" ca="1" si="981"/>
        <v>127.70731173071803</v>
      </c>
      <c r="P926">
        <f t="shared" ca="1" si="981"/>
        <v>124.0849402063305</v>
      </c>
      <c r="Q926">
        <f t="shared" ca="1" si="956"/>
        <v>109.90455074468574</v>
      </c>
      <c r="R926">
        <f t="shared" ca="1" si="957"/>
        <v>9.9045507446857357</v>
      </c>
      <c r="S926">
        <f t="shared" ca="1" si="958"/>
        <v>9.4215001048055314</v>
      </c>
    </row>
    <row r="927" spans="5:19" x14ac:dyDescent="0.75">
      <c r="E927">
        <v>922</v>
      </c>
      <c r="F927">
        <v>100</v>
      </c>
      <c r="G927">
        <f t="shared" ca="1" si="954"/>
        <v>89.140417521676142</v>
      </c>
      <c r="H927">
        <f t="shared" ca="1" si="954"/>
        <v>95.756033581347012</v>
      </c>
      <c r="I927">
        <f t="shared" ca="1" si="954"/>
        <v>100.86619049728333</v>
      </c>
      <c r="J927">
        <f t="shared" ca="1" si="954"/>
        <v>95.865685414134916</v>
      </c>
      <c r="K927">
        <f t="shared" ref="K927:P927" ca="1" si="982">J927*EXP(($C$4-0.5*$C$5^2)*$C$10+$C$5*SQRT($C$10)*NORMINV(RAND(),0,1))</f>
        <v>97.784738885878028</v>
      </c>
      <c r="L927">
        <f t="shared" ca="1" si="982"/>
        <v>96.321760469147875</v>
      </c>
      <c r="M927">
        <f t="shared" ca="1" si="982"/>
        <v>92.974476060589936</v>
      </c>
      <c r="N927">
        <f t="shared" ca="1" si="982"/>
        <v>91.800101810042491</v>
      </c>
      <c r="O927">
        <f t="shared" ca="1" si="982"/>
        <v>101.22462658974251</v>
      </c>
      <c r="P927">
        <f t="shared" ca="1" si="982"/>
        <v>89.716505411795438</v>
      </c>
      <c r="Q927">
        <f t="shared" ca="1" si="956"/>
        <v>95.586412385603438</v>
      </c>
      <c r="R927">
        <f t="shared" ca="1" si="957"/>
        <v>0</v>
      </c>
      <c r="S927">
        <f t="shared" ca="1" si="958"/>
        <v>0</v>
      </c>
    </row>
    <row r="928" spans="5:19" x14ac:dyDescent="0.75">
      <c r="E928">
        <v>923</v>
      </c>
      <c r="F928">
        <v>100</v>
      </c>
      <c r="G928">
        <f t="shared" ca="1" si="954"/>
        <v>97.071772953377575</v>
      </c>
      <c r="H928">
        <f t="shared" ca="1" si="954"/>
        <v>97.314447061779759</v>
      </c>
      <c r="I928">
        <f t="shared" ca="1" si="954"/>
        <v>94.558498217651234</v>
      </c>
      <c r="J928">
        <f t="shared" ca="1" si="954"/>
        <v>97.488695484683873</v>
      </c>
      <c r="K928">
        <f t="shared" ref="K928:P928" ca="1" si="983">J928*EXP(($C$4-0.5*$C$5^2)*$C$10+$C$5*SQRT($C$10)*NORMINV(RAND(),0,1))</f>
        <v>106.79776690298868</v>
      </c>
      <c r="L928">
        <f t="shared" ca="1" si="983"/>
        <v>95.594263753658538</v>
      </c>
      <c r="M928">
        <f t="shared" ca="1" si="983"/>
        <v>96.880408555114158</v>
      </c>
      <c r="N928">
        <f t="shared" ca="1" si="983"/>
        <v>99.738038396966132</v>
      </c>
      <c r="O928">
        <f t="shared" ca="1" si="983"/>
        <v>113.37106887396752</v>
      </c>
      <c r="P928">
        <f t="shared" ca="1" si="983"/>
        <v>102.32699356843435</v>
      </c>
      <c r="Q928">
        <f t="shared" ca="1" si="956"/>
        <v>100.10381397896562</v>
      </c>
      <c r="R928">
        <f t="shared" ca="1" si="957"/>
        <v>0.1038139789656185</v>
      </c>
      <c r="S928">
        <f t="shared" ca="1" si="958"/>
        <v>9.8750911466594524E-2</v>
      </c>
    </row>
    <row r="929" spans="5:19" x14ac:dyDescent="0.75">
      <c r="E929">
        <v>924</v>
      </c>
      <c r="F929">
        <v>100</v>
      </c>
      <c r="G929">
        <f t="shared" ca="1" si="954"/>
        <v>91.671524506775327</v>
      </c>
      <c r="H929">
        <f t="shared" ca="1" si="954"/>
        <v>97.481672119383049</v>
      </c>
      <c r="I929">
        <f t="shared" ca="1" si="954"/>
        <v>94.629542798300605</v>
      </c>
      <c r="J929">
        <f t="shared" ca="1" si="954"/>
        <v>92.915404308127194</v>
      </c>
      <c r="K929">
        <f t="shared" ref="K929:P929" ca="1" si="984">J929*EXP(($C$4-0.5*$C$5^2)*$C$10+$C$5*SQRT($C$10)*NORMINV(RAND(),0,1))</f>
        <v>95.642627434164524</v>
      </c>
      <c r="L929">
        <f t="shared" ca="1" si="984"/>
        <v>95.049724238836859</v>
      </c>
      <c r="M929">
        <f t="shared" ca="1" si="984"/>
        <v>82.225929455178189</v>
      </c>
      <c r="N929">
        <f t="shared" ca="1" si="984"/>
        <v>83.080812593900376</v>
      </c>
      <c r="O929">
        <f t="shared" ca="1" si="984"/>
        <v>90.294894564487905</v>
      </c>
      <c r="P929">
        <f t="shared" ca="1" si="984"/>
        <v>86.186042079936826</v>
      </c>
      <c r="Q929">
        <f t="shared" ca="1" si="956"/>
        <v>91.743470372644637</v>
      </c>
      <c r="R929">
        <f t="shared" ca="1" si="957"/>
        <v>0</v>
      </c>
      <c r="S929">
        <f t="shared" ca="1" si="958"/>
        <v>0</v>
      </c>
    </row>
    <row r="930" spans="5:19" x14ac:dyDescent="0.75">
      <c r="E930">
        <v>925</v>
      </c>
      <c r="F930">
        <v>100</v>
      </c>
      <c r="G930">
        <f t="shared" ca="1" si="954"/>
        <v>105.79546285057835</v>
      </c>
      <c r="H930">
        <f t="shared" ca="1" si="954"/>
        <v>95.340830324478219</v>
      </c>
      <c r="I930">
        <f t="shared" ca="1" si="954"/>
        <v>106.34129221219673</v>
      </c>
      <c r="J930">
        <f t="shared" ca="1" si="954"/>
        <v>108.70392595132533</v>
      </c>
      <c r="K930">
        <f t="shared" ref="K930:P930" ca="1" si="985">J930*EXP(($C$4-0.5*$C$5^2)*$C$10+$C$5*SQRT($C$10)*NORMINV(RAND(),0,1))</f>
        <v>106.22011360918628</v>
      </c>
      <c r="L930">
        <f t="shared" ca="1" si="985"/>
        <v>104.452502980083</v>
      </c>
      <c r="M930">
        <f t="shared" ca="1" si="985"/>
        <v>102.3599787457207</v>
      </c>
      <c r="N930">
        <f t="shared" ca="1" si="985"/>
        <v>107.63201269196945</v>
      </c>
      <c r="O930">
        <f t="shared" ca="1" si="985"/>
        <v>101.53768246913036</v>
      </c>
      <c r="P930">
        <f t="shared" ca="1" si="985"/>
        <v>99.209459589975054</v>
      </c>
      <c r="Q930">
        <f t="shared" ca="1" si="956"/>
        <v>103.41756922042214</v>
      </c>
      <c r="R930">
        <f t="shared" ca="1" si="957"/>
        <v>3.4175692204221377</v>
      </c>
      <c r="S930">
        <f t="shared" ca="1" si="958"/>
        <v>3.2508924027335038</v>
      </c>
    </row>
    <row r="931" spans="5:19" x14ac:dyDescent="0.75">
      <c r="E931">
        <v>926</v>
      </c>
      <c r="F931">
        <v>100</v>
      </c>
      <c r="G931">
        <f t="shared" ca="1" si="954"/>
        <v>112.2437697985182</v>
      </c>
      <c r="H931">
        <f t="shared" ca="1" si="954"/>
        <v>111.469749481815</v>
      </c>
      <c r="I931">
        <f t="shared" ca="1" si="954"/>
        <v>118.21578983941269</v>
      </c>
      <c r="J931">
        <f t="shared" ca="1" si="954"/>
        <v>120.4460373804876</v>
      </c>
      <c r="K931">
        <f t="shared" ref="K931:P931" ca="1" si="986">J931*EXP(($C$4-0.5*$C$5^2)*$C$10+$C$5*SQRT($C$10)*NORMINV(RAND(),0,1))</f>
        <v>114.95587520171411</v>
      </c>
      <c r="L931">
        <f t="shared" ca="1" si="986"/>
        <v>104.56275564867794</v>
      </c>
      <c r="M931">
        <f t="shared" ca="1" si="986"/>
        <v>115.24909611567641</v>
      </c>
      <c r="N931">
        <f t="shared" ca="1" si="986"/>
        <v>120.2154997563615</v>
      </c>
      <c r="O931">
        <f t="shared" ca="1" si="986"/>
        <v>124.43796865408963</v>
      </c>
      <c r="P931">
        <f t="shared" ca="1" si="986"/>
        <v>118.29366239793666</v>
      </c>
      <c r="Q931">
        <f t="shared" ca="1" si="956"/>
        <v>114.55365493406271</v>
      </c>
      <c r="R931">
        <f t="shared" ca="1" si="957"/>
        <v>14.553654934062706</v>
      </c>
      <c r="S931">
        <f t="shared" ca="1" si="958"/>
        <v>13.843864807310444</v>
      </c>
    </row>
    <row r="932" spans="5:19" x14ac:dyDescent="0.75">
      <c r="E932">
        <v>927</v>
      </c>
      <c r="F932">
        <v>100</v>
      </c>
      <c r="G932">
        <f t="shared" ca="1" si="954"/>
        <v>99.948285766815786</v>
      </c>
      <c r="H932">
        <f t="shared" ca="1" si="954"/>
        <v>101.63282123837274</v>
      </c>
      <c r="I932">
        <f t="shared" ca="1" si="954"/>
        <v>101.86266273773748</v>
      </c>
      <c r="J932">
        <f t="shared" ca="1" si="954"/>
        <v>90.342329793775164</v>
      </c>
      <c r="K932">
        <f t="shared" ref="K932:P932" ca="1" si="987">J932*EXP(($C$4-0.5*$C$5^2)*$C$10+$C$5*SQRT($C$10)*NORMINV(RAND(),0,1))</f>
        <v>82.524583223984365</v>
      </c>
      <c r="L932">
        <f t="shared" ca="1" si="987"/>
        <v>75.320833117203023</v>
      </c>
      <c r="M932">
        <f t="shared" ca="1" si="987"/>
        <v>80.178631046247958</v>
      </c>
      <c r="N932">
        <f t="shared" ca="1" si="987"/>
        <v>86.259275162942671</v>
      </c>
      <c r="O932">
        <f t="shared" ca="1" si="987"/>
        <v>80.647285643280256</v>
      </c>
      <c r="P932">
        <f t="shared" ca="1" si="987"/>
        <v>79.181332438542498</v>
      </c>
      <c r="Q932">
        <f t="shared" ca="1" si="956"/>
        <v>88.899821833536535</v>
      </c>
      <c r="R932">
        <f t="shared" ca="1" si="957"/>
        <v>0</v>
      </c>
      <c r="S932">
        <f t="shared" ca="1" si="958"/>
        <v>0</v>
      </c>
    </row>
    <row r="933" spans="5:19" x14ac:dyDescent="0.75">
      <c r="E933">
        <v>928</v>
      </c>
      <c r="F933">
        <v>100</v>
      </c>
      <c r="G933">
        <f t="shared" ca="1" si="954"/>
        <v>99.235047121847074</v>
      </c>
      <c r="H933">
        <f t="shared" ca="1" si="954"/>
        <v>91.788357796054697</v>
      </c>
      <c r="I933">
        <f t="shared" ca="1" si="954"/>
        <v>86.249345116489408</v>
      </c>
      <c r="J933">
        <f t="shared" ca="1" si="954"/>
        <v>91.993642467836523</v>
      </c>
      <c r="K933">
        <f t="shared" ref="K933:P933" ca="1" si="988">J933*EXP(($C$4-0.5*$C$5^2)*$C$10+$C$5*SQRT($C$10)*NORMINV(RAND(),0,1))</f>
        <v>83.154530185837359</v>
      </c>
      <c r="L933">
        <f t="shared" ca="1" si="988"/>
        <v>73.069758784372638</v>
      </c>
      <c r="M933">
        <f t="shared" ca="1" si="988"/>
        <v>72.950240437314704</v>
      </c>
      <c r="N933">
        <f t="shared" ca="1" si="988"/>
        <v>74.750897600898668</v>
      </c>
      <c r="O933">
        <f t="shared" ca="1" si="988"/>
        <v>66.146257441683133</v>
      </c>
      <c r="P933">
        <f t="shared" ca="1" si="988"/>
        <v>68.855624623113229</v>
      </c>
      <c r="Q933">
        <f t="shared" ca="1" si="956"/>
        <v>82.563063779586145</v>
      </c>
      <c r="R933">
        <f t="shared" ca="1" si="957"/>
        <v>0</v>
      </c>
      <c r="S933">
        <f t="shared" ca="1" si="958"/>
        <v>0</v>
      </c>
    </row>
    <row r="934" spans="5:19" x14ac:dyDescent="0.75">
      <c r="E934">
        <v>929</v>
      </c>
      <c r="F934">
        <v>100</v>
      </c>
      <c r="G934">
        <f t="shared" ca="1" si="954"/>
        <v>93.701998539136753</v>
      </c>
      <c r="H934">
        <f t="shared" ca="1" si="954"/>
        <v>104.8546278791934</v>
      </c>
      <c r="I934">
        <f t="shared" ca="1" si="954"/>
        <v>109.72664407661119</v>
      </c>
      <c r="J934">
        <f t="shared" ca="1" si="954"/>
        <v>103.72435653377168</v>
      </c>
      <c r="K934">
        <f t="shared" ref="K934:P934" ca="1" si="989">J934*EXP(($C$4-0.5*$C$5^2)*$C$10+$C$5*SQRT($C$10)*NORMINV(RAND(),0,1))</f>
        <v>93.432283604131172</v>
      </c>
      <c r="L934">
        <f t="shared" ca="1" si="989"/>
        <v>99.850883597915342</v>
      </c>
      <c r="M934">
        <f t="shared" ca="1" si="989"/>
        <v>93.039994037168555</v>
      </c>
      <c r="N934">
        <f t="shared" ca="1" si="989"/>
        <v>96.045521883349338</v>
      </c>
      <c r="O934">
        <f t="shared" ca="1" si="989"/>
        <v>97.503856705815664</v>
      </c>
      <c r="P934">
        <f t="shared" ca="1" si="989"/>
        <v>99.592719610215497</v>
      </c>
      <c r="Q934">
        <f t="shared" ca="1" si="956"/>
        <v>99.224807860664427</v>
      </c>
      <c r="R934">
        <f t="shared" ca="1" si="957"/>
        <v>0</v>
      </c>
      <c r="S934">
        <f t="shared" ca="1" si="958"/>
        <v>0</v>
      </c>
    </row>
    <row r="935" spans="5:19" x14ac:dyDescent="0.75">
      <c r="E935">
        <v>930</v>
      </c>
      <c r="F935">
        <v>100</v>
      </c>
      <c r="G935">
        <f t="shared" ca="1" si="954"/>
        <v>99.784928189781539</v>
      </c>
      <c r="H935">
        <f t="shared" ca="1" si="954"/>
        <v>94.781560077679586</v>
      </c>
      <c r="I935">
        <f t="shared" ca="1" si="954"/>
        <v>94.73864459721834</v>
      </c>
      <c r="J935">
        <f t="shared" ca="1" si="954"/>
        <v>100.0510738607986</v>
      </c>
      <c r="K935">
        <f t="shared" ref="K935:P935" ca="1" si="990">J935*EXP(($C$4-0.5*$C$5^2)*$C$10+$C$5*SQRT($C$10)*NORMINV(RAND(),0,1))</f>
        <v>102.38742405187041</v>
      </c>
      <c r="L935">
        <f t="shared" ca="1" si="990"/>
        <v>92.439660629520205</v>
      </c>
      <c r="M935">
        <f t="shared" ca="1" si="990"/>
        <v>83.453682149600482</v>
      </c>
      <c r="N935">
        <f t="shared" ca="1" si="990"/>
        <v>77.335383951975331</v>
      </c>
      <c r="O935">
        <f t="shared" ca="1" si="990"/>
        <v>71.228721576883871</v>
      </c>
      <c r="P935">
        <f t="shared" ca="1" si="990"/>
        <v>71.642512194151195</v>
      </c>
      <c r="Q935">
        <f t="shared" ca="1" si="956"/>
        <v>89.803962843589048</v>
      </c>
      <c r="R935">
        <f t="shared" ca="1" si="957"/>
        <v>0</v>
      </c>
      <c r="S935">
        <f t="shared" ca="1" si="958"/>
        <v>0</v>
      </c>
    </row>
    <row r="936" spans="5:19" x14ac:dyDescent="0.75">
      <c r="E936">
        <v>931</v>
      </c>
      <c r="F936">
        <v>100</v>
      </c>
      <c r="G936">
        <f t="shared" ca="1" si="954"/>
        <v>97.122346295405379</v>
      </c>
      <c r="H936">
        <f t="shared" ca="1" si="954"/>
        <v>94.044836143172134</v>
      </c>
      <c r="I936">
        <f t="shared" ca="1" si="954"/>
        <v>93.792230936289457</v>
      </c>
      <c r="J936">
        <f t="shared" ca="1" si="954"/>
        <v>90.741429794264349</v>
      </c>
      <c r="K936">
        <f t="shared" ref="K936:P936" ca="1" si="991">J936*EXP(($C$4-0.5*$C$5^2)*$C$10+$C$5*SQRT($C$10)*NORMINV(RAND(),0,1))</f>
        <v>90.4713587919303</v>
      </c>
      <c r="L936">
        <f t="shared" ca="1" si="991"/>
        <v>81.806636285758941</v>
      </c>
      <c r="M936">
        <f t="shared" ca="1" si="991"/>
        <v>78.111135900789961</v>
      </c>
      <c r="N936">
        <f t="shared" ca="1" si="991"/>
        <v>72.332339113400579</v>
      </c>
      <c r="O936">
        <f t="shared" ca="1" si="991"/>
        <v>74.867231237559608</v>
      </c>
      <c r="P936">
        <f t="shared" ca="1" si="991"/>
        <v>77.652247263642892</v>
      </c>
      <c r="Q936">
        <f t="shared" ca="1" si="956"/>
        <v>86.449253796564875</v>
      </c>
      <c r="R936">
        <f t="shared" ca="1" si="957"/>
        <v>0</v>
      </c>
      <c r="S936">
        <f t="shared" ca="1" si="958"/>
        <v>0</v>
      </c>
    </row>
    <row r="937" spans="5:19" x14ac:dyDescent="0.75">
      <c r="E937">
        <v>932</v>
      </c>
      <c r="F937">
        <v>100</v>
      </c>
      <c r="G937">
        <f t="shared" ca="1" si="954"/>
        <v>92.835800693343671</v>
      </c>
      <c r="H937">
        <f t="shared" ca="1" si="954"/>
        <v>94.043919134859834</v>
      </c>
      <c r="I937">
        <f t="shared" ca="1" si="954"/>
        <v>91.810788981262348</v>
      </c>
      <c r="J937">
        <f t="shared" ca="1" si="954"/>
        <v>95.502618898281384</v>
      </c>
      <c r="K937">
        <f t="shared" ref="K937:P937" ca="1" si="992">J937*EXP(($C$4-0.5*$C$5^2)*$C$10+$C$5*SQRT($C$10)*NORMINV(RAND(),0,1))</f>
        <v>96.115843624153953</v>
      </c>
      <c r="L937">
        <f t="shared" ca="1" si="992"/>
        <v>96.323270465846605</v>
      </c>
      <c r="M937">
        <f t="shared" ca="1" si="992"/>
        <v>102.29042022471684</v>
      </c>
      <c r="N937">
        <f t="shared" ca="1" si="992"/>
        <v>100.43153526941254</v>
      </c>
      <c r="O937">
        <f t="shared" ca="1" si="992"/>
        <v>93.84062911927235</v>
      </c>
      <c r="P937">
        <f t="shared" ca="1" si="992"/>
        <v>84.200178429017754</v>
      </c>
      <c r="Q937">
        <f t="shared" ca="1" si="956"/>
        <v>95.217727712742487</v>
      </c>
      <c r="R937">
        <f t="shared" ca="1" si="957"/>
        <v>0</v>
      </c>
      <c r="S937">
        <f t="shared" ca="1" si="958"/>
        <v>0</v>
      </c>
    </row>
    <row r="938" spans="5:19" x14ac:dyDescent="0.75">
      <c r="E938">
        <v>933</v>
      </c>
      <c r="F938">
        <v>100</v>
      </c>
      <c r="G938">
        <f t="shared" ca="1" si="954"/>
        <v>111.97907244523205</v>
      </c>
      <c r="H938">
        <f t="shared" ca="1" si="954"/>
        <v>116.19600201962709</v>
      </c>
      <c r="I938">
        <f t="shared" ca="1" si="954"/>
        <v>120.29003387195725</v>
      </c>
      <c r="J938">
        <f t="shared" ca="1" si="954"/>
        <v>111.26736260992551</v>
      </c>
      <c r="K938">
        <f t="shared" ref="K938:P938" ca="1" si="993">J938*EXP(($C$4-0.5*$C$5^2)*$C$10+$C$5*SQRT($C$10)*NORMINV(RAND(),0,1))</f>
        <v>106.88000576274096</v>
      </c>
      <c r="L938">
        <f t="shared" ca="1" si="993"/>
        <v>113.40815438892716</v>
      </c>
      <c r="M938">
        <f t="shared" ca="1" si="993"/>
        <v>106.3840502358857</v>
      </c>
      <c r="N938">
        <f t="shared" ca="1" si="993"/>
        <v>114.03472052248375</v>
      </c>
      <c r="O938">
        <f t="shared" ca="1" si="993"/>
        <v>122.29584682719604</v>
      </c>
      <c r="P938">
        <f t="shared" ca="1" si="993"/>
        <v>110.10601829484985</v>
      </c>
      <c r="Q938">
        <f t="shared" ca="1" si="956"/>
        <v>112.07647881625685</v>
      </c>
      <c r="R938">
        <f t="shared" ca="1" si="957"/>
        <v>12.076478816256852</v>
      </c>
      <c r="S938">
        <f t="shared" ca="1" si="958"/>
        <v>11.48750199438307</v>
      </c>
    </row>
    <row r="939" spans="5:19" x14ac:dyDescent="0.75">
      <c r="E939">
        <v>934</v>
      </c>
      <c r="F939">
        <v>100</v>
      </c>
      <c r="G939">
        <f t="shared" ca="1" si="954"/>
        <v>92.246052851419122</v>
      </c>
      <c r="H939">
        <f t="shared" ca="1" si="954"/>
        <v>96.404200485734549</v>
      </c>
      <c r="I939">
        <f t="shared" ca="1" si="954"/>
        <v>97.546220705903664</v>
      </c>
      <c r="J939">
        <f t="shared" ca="1" si="954"/>
        <v>94.71521901816395</v>
      </c>
      <c r="K939">
        <f t="shared" ref="K939:P939" ca="1" si="994">J939*EXP(($C$4-0.5*$C$5^2)*$C$10+$C$5*SQRT($C$10)*NORMINV(RAND(),0,1))</f>
        <v>101.78764338154787</v>
      </c>
      <c r="L939">
        <f t="shared" ca="1" si="994"/>
        <v>112.95493466971841</v>
      </c>
      <c r="M939">
        <f t="shared" ca="1" si="994"/>
        <v>117.37061682945671</v>
      </c>
      <c r="N939">
        <f t="shared" ca="1" si="994"/>
        <v>124.77189458730852</v>
      </c>
      <c r="O939">
        <f t="shared" ca="1" si="994"/>
        <v>122.03328677272134</v>
      </c>
      <c r="P939">
        <f t="shared" ca="1" si="994"/>
        <v>122.04677013344367</v>
      </c>
      <c r="Q939">
        <f t="shared" ca="1" si="956"/>
        <v>107.44334903958344</v>
      </c>
      <c r="R939">
        <f t="shared" ca="1" si="957"/>
        <v>7.4433490395834383</v>
      </c>
      <c r="S939">
        <f t="shared" ca="1" si="958"/>
        <v>7.0803326232808965</v>
      </c>
    </row>
    <row r="940" spans="5:19" x14ac:dyDescent="0.75">
      <c r="E940">
        <v>935</v>
      </c>
      <c r="F940">
        <v>100</v>
      </c>
      <c r="G940">
        <f t="shared" ca="1" si="954"/>
        <v>94.272095518559055</v>
      </c>
      <c r="H940">
        <f t="shared" ca="1" si="954"/>
        <v>84.551620089900098</v>
      </c>
      <c r="I940">
        <f t="shared" ca="1" si="954"/>
        <v>78.825452309347526</v>
      </c>
      <c r="J940">
        <f t="shared" ca="1" si="954"/>
        <v>77.225449795154134</v>
      </c>
      <c r="K940">
        <f t="shared" ref="K940:P940" ca="1" si="995">J940*EXP(($C$4-0.5*$C$5^2)*$C$10+$C$5*SQRT($C$10)*NORMINV(RAND(),0,1))</f>
        <v>68.840319157248558</v>
      </c>
      <c r="L940">
        <f t="shared" ca="1" si="995"/>
        <v>63.891119515453184</v>
      </c>
      <c r="M940">
        <f t="shared" ca="1" si="995"/>
        <v>68.500681495016863</v>
      </c>
      <c r="N940">
        <f t="shared" ca="1" si="995"/>
        <v>67.494067454191864</v>
      </c>
      <c r="O940">
        <f t="shared" ca="1" si="995"/>
        <v>61.847701307396804</v>
      </c>
      <c r="P940">
        <f t="shared" ca="1" si="995"/>
        <v>60.533362660606933</v>
      </c>
      <c r="Q940">
        <f t="shared" ca="1" si="956"/>
        <v>75.089260845715913</v>
      </c>
      <c r="R940">
        <f t="shared" ca="1" si="957"/>
        <v>0</v>
      </c>
      <c r="S940">
        <f t="shared" ca="1" si="958"/>
        <v>0</v>
      </c>
    </row>
    <row r="941" spans="5:19" x14ac:dyDescent="0.75">
      <c r="E941">
        <v>936</v>
      </c>
      <c r="F941">
        <v>100</v>
      </c>
      <c r="G941">
        <f t="shared" ca="1" si="954"/>
        <v>105.6081509709375</v>
      </c>
      <c r="H941">
        <f t="shared" ca="1" si="954"/>
        <v>97.486927496992863</v>
      </c>
      <c r="I941">
        <f t="shared" ca="1" si="954"/>
        <v>84.125944045038196</v>
      </c>
      <c r="J941">
        <f t="shared" ca="1" si="954"/>
        <v>77.117019224011159</v>
      </c>
      <c r="K941">
        <f t="shared" ref="K941:P941" ca="1" si="996">J941*EXP(($C$4-0.5*$C$5^2)*$C$10+$C$5*SQRT($C$10)*NORMINV(RAND(),0,1))</f>
        <v>79.162606000631882</v>
      </c>
      <c r="L941">
        <f t="shared" ca="1" si="996"/>
        <v>78.82930444393709</v>
      </c>
      <c r="M941">
        <f t="shared" ca="1" si="996"/>
        <v>77.568783713692724</v>
      </c>
      <c r="N941">
        <f t="shared" ca="1" si="996"/>
        <v>78.294190413306211</v>
      </c>
      <c r="O941">
        <f t="shared" ca="1" si="996"/>
        <v>75.185872280097442</v>
      </c>
      <c r="P941">
        <f t="shared" ca="1" si="996"/>
        <v>73.485067727864475</v>
      </c>
      <c r="Q941">
        <f t="shared" ca="1" si="956"/>
        <v>84.260351483319042</v>
      </c>
      <c r="R941">
        <f t="shared" ca="1" si="957"/>
        <v>0</v>
      </c>
      <c r="S941">
        <f t="shared" ca="1" si="958"/>
        <v>0</v>
      </c>
    </row>
    <row r="942" spans="5:19" x14ac:dyDescent="0.75">
      <c r="E942">
        <v>937</v>
      </c>
      <c r="F942">
        <v>100</v>
      </c>
      <c r="G942">
        <f t="shared" ca="1" si="954"/>
        <v>98.580853801861593</v>
      </c>
      <c r="H942">
        <f t="shared" ca="1" si="954"/>
        <v>94.714525610945302</v>
      </c>
      <c r="I942">
        <f t="shared" ca="1" si="954"/>
        <v>106.21161188930282</v>
      </c>
      <c r="J942">
        <f t="shared" ca="1" si="954"/>
        <v>97.315732732256848</v>
      </c>
      <c r="K942">
        <f t="shared" ref="K942:P942" ca="1" si="997">J942*EXP(($C$4-0.5*$C$5^2)*$C$10+$C$5*SQRT($C$10)*NORMINV(RAND(),0,1))</f>
        <v>96.432946177290049</v>
      </c>
      <c r="L942">
        <f t="shared" ca="1" si="997"/>
        <v>84.950993737429357</v>
      </c>
      <c r="M942">
        <f t="shared" ca="1" si="997"/>
        <v>86.867972577105036</v>
      </c>
      <c r="N942">
        <f t="shared" ca="1" si="997"/>
        <v>87.976040949068334</v>
      </c>
      <c r="O942">
        <f t="shared" ca="1" si="997"/>
        <v>87.122285846273542</v>
      </c>
      <c r="P942">
        <f t="shared" ca="1" si="997"/>
        <v>85.633735920784247</v>
      </c>
      <c r="Q942">
        <f t="shared" ca="1" si="956"/>
        <v>93.255154476574262</v>
      </c>
      <c r="R942">
        <f t="shared" ca="1" si="957"/>
        <v>0</v>
      </c>
      <c r="S942">
        <f t="shared" ca="1" si="958"/>
        <v>0</v>
      </c>
    </row>
    <row r="943" spans="5:19" x14ac:dyDescent="0.75">
      <c r="E943">
        <v>938</v>
      </c>
      <c r="F943">
        <v>100</v>
      </c>
      <c r="G943">
        <f t="shared" ca="1" si="954"/>
        <v>103.12854719664459</v>
      </c>
      <c r="H943">
        <f t="shared" ca="1" si="954"/>
        <v>98.574323035877839</v>
      </c>
      <c r="I943">
        <f t="shared" ca="1" si="954"/>
        <v>103.95605293075384</v>
      </c>
      <c r="J943">
        <f t="shared" ca="1" si="954"/>
        <v>105.07983829330597</v>
      </c>
      <c r="K943">
        <f t="shared" ref="K943:P943" ca="1" si="998">J943*EXP(($C$4-0.5*$C$5^2)*$C$10+$C$5*SQRT($C$10)*NORMINV(RAND(),0,1))</f>
        <v>106.56541810691171</v>
      </c>
      <c r="L943">
        <f t="shared" ca="1" si="998"/>
        <v>90.519969555584538</v>
      </c>
      <c r="M943">
        <f t="shared" ca="1" si="998"/>
        <v>101.1542588901999</v>
      </c>
      <c r="N943">
        <f t="shared" ca="1" si="998"/>
        <v>96.683245420152033</v>
      </c>
      <c r="O943">
        <f t="shared" ca="1" si="998"/>
        <v>101.36036672771753</v>
      </c>
      <c r="P943">
        <f t="shared" ca="1" si="998"/>
        <v>105.71402218569199</v>
      </c>
      <c r="Q943">
        <f t="shared" ca="1" si="956"/>
        <v>101.15782203116727</v>
      </c>
      <c r="R943">
        <f t="shared" ca="1" si="957"/>
        <v>1.1578220311672709</v>
      </c>
      <c r="S943">
        <f t="shared" ca="1" si="958"/>
        <v>1.1013543843814908</v>
      </c>
    </row>
    <row r="944" spans="5:19" x14ac:dyDescent="0.75">
      <c r="E944">
        <v>939</v>
      </c>
      <c r="F944">
        <v>100</v>
      </c>
      <c r="G944">
        <f t="shared" ca="1" si="954"/>
        <v>103.30707363086033</v>
      </c>
      <c r="H944">
        <f t="shared" ca="1" si="954"/>
        <v>116.00624951934896</v>
      </c>
      <c r="I944">
        <f t="shared" ca="1" si="954"/>
        <v>120.82990054614353</v>
      </c>
      <c r="J944">
        <f t="shared" ca="1" si="954"/>
        <v>132.73217343039954</v>
      </c>
      <c r="K944">
        <f t="shared" ref="K944:P944" ca="1" si="999">J944*EXP(($C$4-0.5*$C$5^2)*$C$10+$C$5*SQRT($C$10)*NORMINV(RAND(),0,1))</f>
        <v>123.04900578308057</v>
      </c>
      <c r="L944">
        <f t="shared" ca="1" si="999"/>
        <v>112.51263395812715</v>
      </c>
      <c r="M944">
        <f t="shared" ca="1" si="999"/>
        <v>105.99383698015083</v>
      </c>
      <c r="N944">
        <f t="shared" ca="1" si="999"/>
        <v>106.93899836763251</v>
      </c>
      <c r="O944">
        <f t="shared" ca="1" si="999"/>
        <v>107.1922335895661</v>
      </c>
      <c r="P944">
        <f t="shared" ca="1" si="999"/>
        <v>104.5610909889032</v>
      </c>
      <c r="Q944">
        <f t="shared" ca="1" si="956"/>
        <v>112.1021087994739</v>
      </c>
      <c r="R944">
        <f t="shared" ca="1" si="957"/>
        <v>12.102108799473896</v>
      </c>
      <c r="S944">
        <f t="shared" ca="1" si="958"/>
        <v>11.511881988568581</v>
      </c>
    </row>
    <row r="945" spans="5:19" x14ac:dyDescent="0.75">
      <c r="E945">
        <v>940</v>
      </c>
      <c r="F945">
        <v>100</v>
      </c>
      <c r="G945">
        <f t="shared" ca="1" si="954"/>
        <v>98.95696801241553</v>
      </c>
      <c r="H945">
        <f t="shared" ca="1" si="954"/>
        <v>92.627953212006474</v>
      </c>
      <c r="I945">
        <f t="shared" ca="1" si="954"/>
        <v>92.343164135128887</v>
      </c>
      <c r="J945">
        <f t="shared" ca="1" si="954"/>
        <v>96.491874388634997</v>
      </c>
      <c r="K945">
        <f t="shared" ref="K945:P945" ca="1" si="1000">J945*EXP(($C$4-0.5*$C$5^2)*$C$10+$C$5*SQRT($C$10)*NORMINV(RAND(),0,1))</f>
        <v>91.728406598342886</v>
      </c>
      <c r="L945">
        <f t="shared" ca="1" si="1000"/>
        <v>90.40739982690333</v>
      </c>
      <c r="M945">
        <f t="shared" ca="1" si="1000"/>
        <v>93.746989026203224</v>
      </c>
      <c r="N945">
        <f t="shared" ca="1" si="1000"/>
        <v>103.29157694183687</v>
      </c>
      <c r="O945">
        <f t="shared" ca="1" si="1000"/>
        <v>111.89067668641682</v>
      </c>
      <c r="P945">
        <f t="shared" ca="1" si="1000"/>
        <v>96.760690039280178</v>
      </c>
      <c r="Q945">
        <f t="shared" ca="1" si="956"/>
        <v>97.11324535156082</v>
      </c>
      <c r="R945">
        <f t="shared" ca="1" si="957"/>
        <v>0</v>
      </c>
      <c r="S945">
        <f t="shared" ca="1" si="958"/>
        <v>0</v>
      </c>
    </row>
    <row r="946" spans="5:19" x14ac:dyDescent="0.75">
      <c r="E946">
        <v>941</v>
      </c>
      <c r="F946">
        <v>100</v>
      </c>
      <c r="G946">
        <f t="shared" ca="1" si="954"/>
        <v>99.277547074235372</v>
      </c>
      <c r="H946">
        <f t="shared" ca="1" si="954"/>
        <v>112.24104797250797</v>
      </c>
      <c r="I946">
        <f t="shared" ca="1" si="954"/>
        <v>108.53952721965977</v>
      </c>
      <c r="J946">
        <f t="shared" ca="1" si="954"/>
        <v>91.558625225102077</v>
      </c>
      <c r="K946">
        <f t="shared" ref="K946:P946" ca="1" si="1001">J946*EXP(($C$4-0.5*$C$5^2)*$C$10+$C$5*SQRT($C$10)*NORMINV(RAND(),0,1))</f>
        <v>90.369194281879018</v>
      </c>
      <c r="L946">
        <f t="shared" ca="1" si="1001"/>
        <v>109.45991605269694</v>
      </c>
      <c r="M946">
        <f t="shared" ca="1" si="1001"/>
        <v>110.99715407197836</v>
      </c>
      <c r="N946">
        <f t="shared" ca="1" si="1001"/>
        <v>115.06885891789928</v>
      </c>
      <c r="O946">
        <f t="shared" ca="1" si="1001"/>
        <v>114.67229767279051</v>
      </c>
      <c r="P946">
        <f t="shared" ca="1" si="1001"/>
        <v>117.67050615817421</v>
      </c>
      <c r="Q946">
        <f t="shared" ca="1" si="956"/>
        <v>106.35042496790214</v>
      </c>
      <c r="R946">
        <f t="shared" ca="1" si="957"/>
        <v>6.3504249679021427</v>
      </c>
      <c r="S946">
        <f t="shared" ca="1" si="958"/>
        <v>6.0407110875525207</v>
      </c>
    </row>
    <row r="947" spans="5:19" x14ac:dyDescent="0.75">
      <c r="E947">
        <v>942</v>
      </c>
      <c r="F947">
        <v>100</v>
      </c>
      <c r="G947">
        <f t="shared" ca="1" si="954"/>
        <v>95.560940480500193</v>
      </c>
      <c r="H947">
        <f t="shared" ca="1" si="954"/>
        <v>93.30664664698206</v>
      </c>
      <c r="I947">
        <f t="shared" ca="1" si="954"/>
        <v>85.217037769149357</v>
      </c>
      <c r="J947">
        <f t="shared" ca="1" si="954"/>
        <v>79.952792745479044</v>
      </c>
      <c r="K947">
        <f t="shared" ref="K947:P947" ca="1" si="1002">J947*EXP(($C$4-0.5*$C$5^2)*$C$10+$C$5*SQRT($C$10)*NORMINV(RAND(),0,1))</f>
        <v>78.299872664243978</v>
      </c>
      <c r="L947">
        <f t="shared" ca="1" si="1002"/>
        <v>74.010773405699993</v>
      </c>
      <c r="M947">
        <f t="shared" ca="1" si="1002"/>
        <v>74.763545256390302</v>
      </c>
      <c r="N947">
        <f t="shared" ca="1" si="1002"/>
        <v>74.685004987229433</v>
      </c>
      <c r="O947">
        <f t="shared" ca="1" si="1002"/>
        <v>72.97216868946883</v>
      </c>
      <c r="P947">
        <f t="shared" ca="1" si="1002"/>
        <v>71.080735829752641</v>
      </c>
      <c r="Q947">
        <f t="shared" ca="1" si="956"/>
        <v>81.804501679535974</v>
      </c>
      <c r="R947">
        <f t="shared" ca="1" si="957"/>
        <v>0</v>
      </c>
      <c r="S947">
        <f t="shared" ca="1" si="958"/>
        <v>0</v>
      </c>
    </row>
    <row r="948" spans="5:19" x14ac:dyDescent="0.75">
      <c r="E948">
        <v>943</v>
      </c>
      <c r="F948">
        <v>100</v>
      </c>
      <c r="G948">
        <f t="shared" ca="1" si="954"/>
        <v>105.79947764774091</v>
      </c>
      <c r="H948">
        <f t="shared" ca="1" si="954"/>
        <v>102.14828399017178</v>
      </c>
      <c r="I948">
        <f t="shared" ca="1" si="954"/>
        <v>96.602811451907669</v>
      </c>
      <c r="J948">
        <f t="shared" ca="1" si="954"/>
        <v>98.613556545295268</v>
      </c>
      <c r="K948">
        <f t="shared" ref="K948:P948" ca="1" si="1003">J948*EXP(($C$4-0.5*$C$5^2)*$C$10+$C$5*SQRT($C$10)*NORMINV(RAND(),0,1))</f>
        <v>100.19766294758891</v>
      </c>
      <c r="L948">
        <f t="shared" ca="1" si="1003"/>
        <v>101.8701463408305</v>
      </c>
      <c r="M948">
        <f t="shared" ca="1" si="1003"/>
        <v>117.18946726283447</v>
      </c>
      <c r="N948">
        <f t="shared" ca="1" si="1003"/>
        <v>119.91066072811276</v>
      </c>
      <c r="O948">
        <f t="shared" ca="1" si="1003"/>
        <v>113.99713775088409</v>
      </c>
      <c r="P948">
        <f t="shared" ca="1" si="1003"/>
        <v>109.35977111328005</v>
      </c>
      <c r="Q948">
        <f t="shared" ca="1" si="956"/>
        <v>105.97172507078604</v>
      </c>
      <c r="R948">
        <f t="shared" ca="1" si="957"/>
        <v>5.9717250707860359</v>
      </c>
      <c r="S948">
        <f t="shared" ca="1" si="958"/>
        <v>5.6804806023602863</v>
      </c>
    </row>
    <row r="949" spans="5:19" x14ac:dyDescent="0.75">
      <c r="E949">
        <v>944</v>
      </c>
      <c r="F949">
        <v>100</v>
      </c>
      <c r="G949">
        <f t="shared" ca="1" si="954"/>
        <v>91.974629772902901</v>
      </c>
      <c r="H949">
        <f t="shared" ca="1" si="954"/>
        <v>84.502133308235997</v>
      </c>
      <c r="I949">
        <f t="shared" ca="1" si="954"/>
        <v>88.627934816958373</v>
      </c>
      <c r="J949">
        <f t="shared" ca="1" si="954"/>
        <v>83.236146962055997</v>
      </c>
      <c r="K949">
        <f t="shared" ref="K949:P949" ca="1" si="1004">J949*EXP(($C$4-0.5*$C$5^2)*$C$10+$C$5*SQRT($C$10)*NORMINV(RAND(),0,1))</f>
        <v>76.758941064186686</v>
      </c>
      <c r="L949">
        <f t="shared" ca="1" si="1004"/>
        <v>77.014526118553192</v>
      </c>
      <c r="M949">
        <f t="shared" ca="1" si="1004"/>
        <v>78.770480621425236</v>
      </c>
      <c r="N949">
        <f t="shared" ca="1" si="1004"/>
        <v>68.051549997161459</v>
      </c>
      <c r="O949">
        <f t="shared" ca="1" si="1004"/>
        <v>68.580101356204892</v>
      </c>
      <c r="P949">
        <f t="shared" ca="1" si="1004"/>
        <v>72.893306543783879</v>
      </c>
      <c r="Q949">
        <f t="shared" ca="1" si="956"/>
        <v>80.946340960133526</v>
      </c>
      <c r="R949">
        <f t="shared" ca="1" si="957"/>
        <v>0</v>
      </c>
      <c r="S949">
        <f t="shared" ca="1" si="958"/>
        <v>0</v>
      </c>
    </row>
    <row r="950" spans="5:19" x14ac:dyDescent="0.75">
      <c r="E950">
        <v>945</v>
      </c>
      <c r="F950">
        <v>100</v>
      </c>
      <c r="G950">
        <f t="shared" ca="1" si="954"/>
        <v>101.43125578416385</v>
      </c>
      <c r="H950">
        <f t="shared" ca="1" si="954"/>
        <v>92.907768581595775</v>
      </c>
      <c r="I950">
        <f t="shared" ca="1" si="954"/>
        <v>83.11631497465676</v>
      </c>
      <c r="J950">
        <f t="shared" ca="1" si="954"/>
        <v>80.159099214416457</v>
      </c>
      <c r="K950">
        <f t="shared" ref="K950:P950" ca="1" si="1005">J950*EXP(($C$4-0.5*$C$5^2)*$C$10+$C$5*SQRT($C$10)*NORMINV(RAND(),0,1))</f>
        <v>75.555482795557097</v>
      </c>
      <c r="L950">
        <f t="shared" ca="1" si="1005"/>
        <v>79.755331919643908</v>
      </c>
      <c r="M950">
        <f t="shared" ca="1" si="1005"/>
        <v>88.003743430773895</v>
      </c>
      <c r="N950">
        <f t="shared" ca="1" si="1005"/>
        <v>87.55197333891725</v>
      </c>
      <c r="O950">
        <f t="shared" ca="1" si="1005"/>
        <v>89.437981083687745</v>
      </c>
      <c r="P950">
        <f t="shared" ca="1" si="1005"/>
        <v>84.786750485089826</v>
      </c>
      <c r="Q950">
        <f t="shared" ca="1" si="956"/>
        <v>87.518700146227502</v>
      </c>
      <c r="R950">
        <f t="shared" ca="1" si="957"/>
        <v>0</v>
      </c>
      <c r="S950">
        <f t="shared" ca="1" si="958"/>
        <v>0</v>
      </c>
    </row>
    <row r="951" spans="5:19" x14ac:dyDescent="0.75">
      <c r="E951">
        <v>946</v>
      </c>
      <c r="F951">
        <v>100</v>
      </c>
      <c r="G951">
        <f t="shared" ca="1" si="954"/>
        <v>97.02941795433108</v>
      </c>
      <c r="H951">
        <f t="shared" ca="1" si="954"/>
        <v>93.913819979861813</v>
      </c>
      <c r="I951">
        <f t="shared" ca="1" si="954"/>
        <v>102.8671098117624</v>
      </c>
      <c r="J951">
        <f t="shared" ca="1" si="954"/>
        <v>126.26587418998956</v>
      </c>
      <c r="K951">
        <f t="shared" ref="K951:P951" ca="1" si="1006">J951*EXP(($C$4-0.5*$C$5^2)*$C$10+$C$5*SQRT($C$10)*NORMINV(RAND(),0,1))</f>
        <v>137.57896790789823</v>
      </c>
      <c r="L951">
        <f t="shared" ca="1" si="1006"/>
        <v>138.9318607591691</v>
      </c>
      <c r="M951">
        <f t="shared" ca="1" si="1006"/>
        <v>129.09385412528411</v>
      </c>
      <c r="N951">
        <f t="shared" ca="1" si="1006"/>
        <v>135.74788682185059</v>
      </c>
      <c r="O951">
        <f t="shared" ca="1" si="1006"/>
        <v>151.08373293497667</v>
      </c>
      <c r="P951">
        <f t="shared" ca="1" si="1006"/>
        <v>139.73008283548489</v>
      </c>
      <c r="Q951">
        <f t="shared" ca="1" si="956"/>
        <v>122.93114612005533</v>
      </c>
      <c r="R951">
        <f t="shared" ca="1" si="957"/>
        <v>22.931146120055331</v>
      </c>
      <c r="S951">
        <f t="shared" ca="1" si="958"/>
        <v>21.812780926922013</v>
      </c>
    </row>
    <row r="952" spans="5:19" x14ac:dyDescent="0.75">
      <c r="E952">
        <v>947</v>
      </c>
      <c r="F952">
        <v>100</v>
      </c>
      <c r="G952">
        <f t="shared" ca="1" si="954"/>
        <v>104.2264147415974</v>
      </c>
      <c r="H952">
        <f t="shared" ca="1" si="954"/>
        <v>86.449890827485547</v>
      </c>
      <c r="I952">
        <f t="shared" ca="1" si="954"/>
        <v>88.632128046176177</v>
      </c>
      <c r="J952">
        <f t="shared" ca="1" si="954"/>
        <v>95.561778804511718</v>
      </c>
      <c r="K952">
        <f t="shared" ref="K952:P952" ca="1" si="1007">J952*EXP(($C$4-0.5*$C$5^2)*$C$10+$C$5*SQRT($C$10)*NORMINV(RAND(),0,1))</f>
        <v>96.31190815589089</v>
      </c>
      <c r="L952">
        <f t="shared" ca="1" si="1007"/>
        <v>105.38345546587817</v>
      </c>
      <c r="M952">
        <f t="shared" ca="1" si="1007"/>
        <v>107.65419603975221</v>
      </c>
      <c r="N952">
        <f t="shared" ca="1" si="1007"/>
        <v>102.00550094188625</v>
      </c>
      <c r="O952">
        <f t="shared" ca="1" si="1007"/>
        <v>113.25604339193518</v>
      </c>
      <c r="P952">
        <f t="shared" ca="1" si="1007"/>
        <v>120.02379963011799</v>
      </c>
      <c r="Q952">
        <f t="shared" ca="1" si="956"/>
        <v>101.77319236774832</v>
      </c>
      <c r="R952">
        <f t="shared" ca="1" si="957"/>
        <v>1.7731923677483223</v>
      </c>
      <c r="S952">
        <f t="shared" ca="1" si="958"/>
        <v>1.6867127555022952</v>
      </c>
    </row>
    <row r="953" spans="5:19" x14ac:dyDescent="0.75">
      <c r="E953">
        <v>948</v>
      </c>
      <c r="F953">
        <v>100</v>
      </c>
      <c r="G953">
        <f t="shared" ca="1" si="954"/>
        <v>90.917049907597587</v>
      </c>
      <c r="H953">
        <f t="shared" ca="1" si="954"/>
        <v>92.231813289539787</v>
      </c>
      <c r="I953">
        <f t="shared" ca="1" si="954"/>
        <v>93.757902097498402</v>
      </c>
      <c r="J953">
        <f t="shared" ca="1" si="954"/>
        <v>87.993558235379496</v>
      </c>
      <c r="K953">
        <f t="shared" ref="K953:P953" ca="1" si="1008">J953*EXP(($C$4-0.5*$C$5^2)*$C$10+$C$5*SQRT($C$10)*NORMINV(RAND(),0,1))</f>
        <v>79.868530532734852</v>
      </c>
      <c r="L953">
        <f t="shared" ca="1" si="1008"/>
        <v>80.481793574715141</v>
      </c>
      <c r="M953">
        <f t="shared" ca="1" si="1008"/>
        <v>81.250499599199216</v>
      </c>
      <c r="N953">
        <f t="shared" ca="1" si="1008"/>
        <v>84.557717992757361</v>
      </c>
      <c r="O953">
        <f t="shared" ca="1" si="1008"/>
        <v>83.468305946172592</v>
      </c>
      <c r="P953">
        <f t="shared" ca="1" si="1008"/>
        <v>78.108842546988285</v>
      </c>
      <c r="Q953">
        <f t="shared" ca="1" si="956"/>
        <v>86.603273974780251</v>
      </c>
      <c r="R953">
        <f t="shared" ca="1" si="957"/>
        <v>0</v>
      </c>
      <c r="S953">
        <f t="shared" ca="1" si="958"/>
        <v>0</v>
      </c>
    </row>
    <row r="954" spans="5:19" x14ac:dyDescent="0.75">
      <c r="E954">
        <v>949</v>
      </c>
      <c r="F954">
        <v>100</v>
      </c>
      <c r="G954">
        <f t="shared" ca="1" si="954"/>
        <v>96.432892308992265</v>
      </c>
      <c r="H954">
        <f t="shared" ca="1" si="954"/>
        <v>96.519690753780154</v>
      </c>
      <c r="I954">
        <f t="shared" ca="1" si="954"/>
        <v>89.18655617610672</v>
      </c>
      <c r="J954">
        <f t="shared" ca="1" si="954"/>
        <v>87.672669068121692</v>
      </c>
      <c r="K954">
        <f t="shared" ref="K954:P954" ca="1" si="1009">J954*EXP(($C$4-0.5*$C$5^2)*$C$10+$C$5*SQRT($C$10)*NORMINV(RAND(),0,1))</f>
        <v>88.526854697378965</v>
      </c>
      <c r="L954">
        <f t="shared" ca="1" si="1009"/>
        <v>94.593189805120389</v>
      </c>
      <c r="M954">
        <f t="shared" ca="1" si="1009"/>
        <v>86.828700420157745</v>
      </c>
      <c r="N954">
        <f t="shared" ca="1" si="1009"/>
        <v>91.058556113836431</v>
      </c>
      <c r="O954">
        <f t="shared" ca="1" si="1009"/>
        <v>89.385857067768342</v>
      </c>
      <c r="P954">
        <f t="shared" ca="1" si="1009"/>
        <v>88.43449240956798</v>
      </c>
      <c r="Q954">
        <f t="shared" ca="1" si="956"/>
        <v>91.694496256439137</v>
      </c>
      <c r="R954">
        <f t="shared" ca="1" si="957"/>
        <v>0</v>
      </c>
      <c r="S954">
        <f t="shared" ca="1" si="958"/>
        <v>0</v>
      </c>
    </row>
    <row r="955" spans="5:19" x14ac:dyDescent="0.75">
      <c r="E955">
        <v>950</v>
      </c>
      <c r="F955">
        <v>100</v>
      </c>
      <c r="G955">
        <f t="shared" ca="1" si="954"/>
        <v>93.079659321229428</v>
      </c>
      <c r="H955">
        <f t="shared" ca="1" si="954"/>
        <v>98.161600520813352</v>
      </c>
      <c r="I955">
        <f t="shared" ca="1" si="954"/>
        <v>100.23720267376272</v>
      </c>
      <c r="J955">
        <f t="shared" ca="1" si="954"/>
        <v>108.22115862209883</v>
      </c>
      <c r="K955">
        <f t="shared" ref="K955:P955" ca="1" si="1010">J955*EXP(($C$4-0.5*$C$5^2)*$C$10+$C$5*SQRT($C$10)*NORMINV(RAND(),0,1))</f>
        <v>112.3289179760978</v>
      </c>
      <c r="L955">
        <f t="shared" ca="1" si="1010"/>
        <v>112.96002660395905</v>
      </c>
      <c r="M955">
        <f t="shared" ca="1" si="1010"/>
        <v>109.49271706834435</v>
      </c>
      <c r="N955">
        <f t="shared" ca="1" si="1010"/>
        <v>108.51903632793716</v>
      </c>
      <c r="O955">
        <f t="shared" ca="1" si="1010"/>
        <v>106.27777350324412</v>
      </c>
      <c r="P955">
        <f t="shared" ca="1" si="1010"/>
        <v>113.33915650674928</v>
      </c>
      <c r="Q955">
        <f t="shared" ca="1" si="956"/>
        <v>105.69247719311237</v>
      </c>
      <c r="R955">
        <f t="shared" ca="1" si="957"/>
        <v>5.6924771931123672</v>
      </c>
      <c r="S955">
        <f t="shared" ca="1" si="958"/>
        <v>5.414851804387717</v>
      </c>
    </row>
    <row r="956" spans="5:19" x14ac:dyDescent="0.75">
      <c r="E956">
        <v>951</v>
      </c>
      <c r="F956">
        <v>100</v>
      </c>
      <c r="G956">
        <f t="shared" ca="1" si="954"/>
        <v>101.82114643897123</v>
      </c>
      <c r="H956">
        <f t="shared" ca="1" si="954"/>
        <v>106.11855533950943</v>
      </c>
      <c r="I956">
        <f t="shared" ca="1" si="954"/>
        <v>108.5107524286137</v>
      </c>
      <c r="J956">
        <f t="shared" ca="1" si="954"/>
        <v>101.53954865530456</v>
      </c>
      <c r="K956">
        <f t="shared" ref="K956:P956" ca="1" si="1011">J956*EXP(($C$4-0.5*$C$5^2)*$C$10+$C$5*SQRT($C$10)*NORMINV(RAND(),0,1))</f>
        <v>99.578470160456007</v>
      </c>
      <c r="L956">
        <f t="shared" ca="1" si="1011"/>
        <v>101.1172723462535</v>
      </c>
      <c r="M956">
        <f t="shared" ca="1" si="1011"/>
        <v>104.06807912337528</v>
      </c>
      <c r="N956">
        <f t="shared" ca="1" si="1011"/>
        <v>100.4874782305008</v>
      </c>
      <c r="O956">
        <f t="shared" ca="1" si="1011"/>
        <v>94.436252069774469</v>
      </c>
      <c r="P956">
        <f t="shared" ca="1" si="1011"/>
        <v>98.849609982312458</v>
      </c>
      <c r="Q956">
        <f t="shared" ca="1" si="956"/>
        <v>101.50246952500648</v>
      </c>
      <c r="R956">
        <f t="shared" ca="1" si="957"/>
        <v>1.5024695250064752</v>
      </c>
      <c r="S956">
        <f t="shared" ca="1" si="958"/>
        <v>1.4291932216017706</v>
      </c>
    </row>
    <row r="957" spans="5:19" x14ac:dyDescent="0.75">
      <c r="E957">
        <v>952</v>
      </c>
      <c r="F957">
        <v>100</v>
      </c>
      <c r="G957">
        <f t="shared" ca="1" si="954"/>
        <v>91.378380986850743</v>
      </c>
      <c r="H957">
        <f t="shared" ca="1" si="954"/>
        <v>85.209734588695383</v>
      </c>
      <c r="I957">
        <f t="shared" ca="1" si="954"/>
        <v>89.853380215058763</v>
      </c>
      <c r="J957">
        <f t="shared" ca="1" si="954"/>
        <v>104.7682173690943</v>
      </c>
      <c r="K957">
        <f t="shared" ref="K957:P957" ca="1" si="1012">J957*EXP(($C$4-0.5*$C$5^2)*$C$10+$C$5*SQRT($C$10)*NORMINV(RAND(),0,1))</f>
        <v>114.21881198091816</v>
      </c>
      <c r="L957">
        <f t="shared" ca="1" si="1012"/>
        <v>122.99646073257667</v>
      </c>
      <c r="M957">
        <f t="shared" ca="1" si="1012"/>
        <v>119.2601870895265</v>
      </c>
      <c r="N957">
        <f t="shared" ca="1" si="1012"/>
        <v>121.67209107625489</v>
      </c>
      <c r="O957">
        <f t="shared" ca="1" si="1012"/>
        <v>122.84282619045183</v>
      </c>
      <c r="P957">
        <f t="shared" ca="1" si="1012"/>
        <v>128.99156439277675</v>
      </c>
      <c r="Q957">
        <f t="shared" ca="1" si="956"/>
        <v>109.19924132929128</v>
      </c>
      <c r="R957">
        <f t="shared" ca="1" si="957"/>
        <v>9.1992413292912829</v>
      </c>
      <c r="S957">
        <f t="shared" ca="1" si="958"/>
        <v>8.7505890355049303</v>
      </c>
    </row>
    <row r="958" spans="5:19" x14ac:dyDescent="0.75">
      <c r="E958">
        <v>953</v>
      </c>
      <c r="F958">
        <v>100</v>
      </c>
      <c r="G958">
        <f t="shared" ca="1" si="954"/>
        <v>96.193704236491257</v>
      </c>
      <c r="H958">
        <f t="shared" ca="1" si="954"/>
        <v>93.7785144962304</v>
      </c>
      <c r="I958">
        <f t="shared" ca="1" si="954"/>
        <v>93.902844712303079</v>
      </c>
      <c r="J958">
        <f t="shared" ca="1" si="954"/>
        <v>90.226682840646376</v>
      </c>
      <c r="K958">
        <f t="shared" ref="K958:P958" ca="1" si="1013">J958*EXP(($C$4-0.5*$C$5^2)*$C$10+$C$5*SQRT($C$10)*NORMINV(RAND(),0,1))</f>
        <v>89.153091446399486</v>
      </c>
      <c r="L958">
        <f t="shared" ca="1" si="1013"/>
        <v>93.104341494341085</v>
      </c>
      <c r="M958">
        <f t="shared" ca="1" si="1013"/>
        <v>96.894388672173136</v>
      </c>
      <c r="N958">
        <f t="shared" ca="1" si="1013"/>
        <v>105.13609437249048</v>
      </c>
      <c r="O958">
        <f t="shared" ca="1" si="1013"/>
        <v>108.21012004976463</v>
      </c>
      <c r="P958">
        <f t="shared" ca="1" si="1013"/>
        <v>105.16136295320361</v>
      </c>
      <c r="Q958">
        <f t="shared" ca="1" si="956"/>
        <v>97.432831388549417</v>
      </c>
      <c r="R958">
        <f t="shared" ca="1" si="957"/>
        <v>0</v>
      </c>
      <c r="S958">
        <f t="shared" ca="1" si="958"/>
        <v>0</v>
      </c>
    </row>
    <row r="959" spans="5:19" x14ac:dyDescent="0.75">
      <c r="E959">
        <v>954</v>
      </c>
      <c r="F959">
        <v>100</v>
      </c>
      <c r="G959">
        <f t="shared" ca="1" si="954"/>
        <v>112.97980231718259</v>
      </c>
      <c r="H959">
        <f t="shared" ca="1" si="954"/>
        <v>111.64359077122879</v>
      </c>
      <c r="I959">
        <f t="shared" ca="1" si="954"/>
        <v>109.13947802790801</v>
      </c>
      <c r="J959">
        <f t="shared" ca="1" si="954"/>
        <v>111.39194385408595</v>
      </c>
      <c r="K959">
        <f t="shared" ref="K959:P959" ca="1" si="1014">J959*EXP(($C$4-0.5*$C$5^2)*$C$10+$C$5*SQRT($C$10)*NORMINV(RAND(),0,1))</f>
        <v>114.35092373054457</v>
      </c>
      <c r="L959">
        <f t="shared" ca="1" si="1014"/>
        <v>128.1734680290229</v>
      </c>
      <c r="M959">
        <f t="shared" ca="1" si="1014"/>
        <v>140.78317018543669</v>
      </c>
      <c r="N959">
        <f t="shared" ca="1" si="1014"/>
        <v>144.762916204774</v>
      </c>
      <c r="O959">
        <f t="shared" ca="1" si="1014"/>
        <v>157.92995462192417</v>
      </c>
      <c r="P959">
        <f t="shared" ca="1" si="1014"/>
        <v>161.79817240893763</v>
      </c>
      <c r="Q959">
        <f t="shared" ca="1" si="956"/>
        <v>126.63212910464048</v>
      </c>
      <c r="R959">
        <f t="shared" ca="1" si="957"/>
        <v>26.632129104640484</v>
      </c>
      <c r="S959">
        <f t="shared" ca="1" si="958"/>
        <v>25.333264841435884</v>
      </c>
    </row>
    <row r="960" spans="5:19" x14ac:dyDescent="0.75">
      <c r="E960">
        <v>955</v>
      </c>
      <c r="F960">
        <v>100</v>
      </c>
      <c r="G960">
        <f t="shared" ca="1" si="954"/>
        <v>101.70825487472115</v>
      </c>
      <c r="H960">
        <f t="shared" ca="1" si="954"/>
        <v>95.501896516826946</v>
      </c>
      <c r="I960">
        <f t="shared" ca="1" si="954"/>
        <v>88.089160750707023</v>
      </c>
      <c r="J960">
        <f t="shared" ca="1" si="954"/>
        <v>88.229295153214593</v>
      </c>
      <c r="K960">
        <f t="shared" ref="K960:P960" ca="1" si="1015">J960*EXP(($C$4-0.5*$C$5^2)*$C$10+$C$5*SQRT($C$10)*NORMINV(RAND(),0,1))</f>
        <v>94.744016535834348</v>
      </c>
      <c r="L960">
        <f t="shared" ca="1" si="1015"/>
        <v>97.209276009272614</v>
      </c>
      <c r="M960">
        <f t="shared" ca="1" si="1015"/>
        <v>105.87409607085208</v>
      </c>
      <c r="N960">
        <f t="shared" ca="1" si="1015"/>
        <v>110.89377467921133</v>
      </c>
      <c r="O960">
        <f t="shared" ca="1" si="1015"/>
        <v>122.3382457832686</v>
      </c>
      <c r="P960">
        <f t="shared" ca="1" si="1015"/>
        <v>124.20837003250662</v>
      </c>
      <c r="Q960">
        <f t="shared" ca="1" si="956"/>
        <v>102.6178533096741</v>
      </c>
      <c r="R960">
        <f t="shared" ca="1" si="957"/>
        <v>2.6178533096741035</v>
      </c>
      <c r="S960">
        <f t="shared" ca="1" si="958"/>
        <v>2.4901790971885869</v>
      </c>
    </row>
    <row r="961" spans="5:19" x14ac:dyDescent="0.75">
      <c r="E961">
        <v>956</v>
      </c>
      <c r="F961">
        <v>100</v>
      </c>
      <c r="G961">
        <f t="shared" ca="1" si="954"/>
        <v>100.51266974679068</v>
      </c>
      <c r="H961">
        <f t="shared" ca="1" si="954"/>
        <v>93.154682921530338</v>
      </c>
      <c r="I961">
        <f t="shared" ca="1" si="954"/>
        <v>92.627966966939169</v>
      </c>
      <c r="J961">
        <f t="shared" ca="1" si="954"/>
        <v>90.468148937496935</v>
      </c>
      <c r="K961">
        <f t="shared" ref="K961:P961" ca="1" si="1016">J961*EXP(($C$4-0.5*$C$5^2)*$C$10+$C$5*SQRT($C$10)*NORMINV(RAND(),0,1))</f>
        <v>92.347056197846456</v>
      </c>
      <c r="L961">
        <f t="shared" ca="1" si="1016"/>
        <v>99.14175693181501</v>
      </c>
      <c r="M961">
        <f t="shared" ca="1" si="1016"/>
        <v>94.247978436299192</v>
      </c>
      <c r="N961">
        <f t="shared" ca="1" si="1016"/>
        <v>93.356639900420319</v>
      </c>
      <c r="O961">
        <f t="shared" ca="1" si="1016"/>
        <v>90.011229516062727</v>
      </c>
      <c r="P961">
        <f t="shared" ca="1" si="1016"/>
        <v>85.724808156925988</v>
      </c>
      <c r="Q961">
        <f t="shared" ca="1" si="956"/>
        <v>93.781176155647884</v>
      </c>
      <c r="R961">
        <f t="shared" ca="1" si="957"/>
        <v>0</v>
      </c>
      <c r="S961">
        <f t="shared" ca="1" si="958"/>
        <v>0</v>
      </c>
    </row>
    <row r="962" spans="5:19" x14ac:dyDescent="0.75">
      <c r="E962">
        <v>957</v>
      </c>
      <c r="F962">
        <v>100</v>
      </c>
      <c r="G962">
        <f t="shared" ca="1" si="954"/>
        <v>106.80666409932638</v>
      </c>
      <c r="H962">
        <f t="shared" ca="1" si="954"/>
        <v>112.45554231035258</v>
      </c>
      <c r="I962">
        <f t="shared" ca="1" si="954"/>
        <v>118.17163260806186</v>
      </c>
      <c r="J962">
        <f t="shared" ca="1" si="954"/>
        <v>115.36585938018823</v>
      </c>
      <c r="K962">
        <f t="shared" ref="K962:P962" ca="1" si="1017">J962*EXP(($C$4-0.5*$C$5^2)*$C$10+$C$5*SQRT($C$10)*NORMINV(RAND(),0,1))</f>
        <v>113.80098347685308</v>
      </c>
      <c r="L962">
        <f t="shared" ca="1" si="1017"/>
        <v>109.53256420780571</v>
      </c>
      <c r="M962">
        <f t="shared" ca="1" si="1017"/>
        <v>110.53476644158208</v>
      </c>
      <c r="N962">
        <f t="shared" ca="1" si="1017"/>
        <v>106.14144997909231</v>
      </c>
      <c r="O962">
        <f t="shared" ca="1" si="1017"/>
        <v>100.26718607148159</v>
      </c>
      <c r="P962">
        <f t="shared" ca="1" si="1017"/>
        <v>93.722751593583268</v>
      </c>
      <c r="Q962">
        <f t="shared" ca="1" si="956"/>
        <v>107.89085456075701</v>
      </c>
      <c r="R962">
        <f t="shared" ca="1" si="957"/>
        <v>7.8908545607570062</v>
      </c>
      <c r="S962">
        <f t="shared" ca="1" si="958"/>
        <v>7.5060130426477212</v>
      </c>
    </row>
    <row r="963" spans="5:19" x14ac:dyDescent="0.75">
      <c r="E963">
        <v>958</v>
      </c>
      <c r="F963">
        <v>100</v>
      </c>
      <c r="G963">
        <f t="shared" ca="1" si="954"/>
        <v>102.98631439143038</v>
      </c>
      <c r="H963">
        <f t="shared" ca="1" si="954"/>
        <v>95.113668515179313</v>
      </c>
      <c r="I963">
        <f t="shared" ca="1" si="954"/>
        <v>97.083126146806407</v>
      </c>
      <c r="J963">
        <f t="shared" ca="1" si="954"/>
        <v>95.926252962841716</v>
      </c>
      <c r="K963">
        <f t="shared" ref="K963:P963" ca="1" si="1018">J963*EXP(($C$4-0.5*$C$5^2)*$C$10+$C$5*SQRT($C$10)*NORMINV(RAND(),0,1))</f>
        <v>91.882600034269942</v>
      </c>
      <c r="L963">
        <f t="shared" ca="1" si="1018"/>
        <v>93.706749135243072</v>
      </c>
      <c r="M963">
        <f t="shared" ca="1" si="1018"/>
        <v>98.778130426765216</v>
      </c>
      <c r="N963">
        <f t="shared" ca="1" si="1018"/>
        <v>95.553660758043605</v>
      </c>
      <c r="O963">
        <f t="shared" ca="1" si="1018"/>
        <v>95.359489792957689</v>
      </c>
      <c r="P963">
        <f t="shared" ca="1" si="1018"/>
        <v>86.809740284063196</v>
      </c>
      <c r="Q963">
        <f t="shared" ca="1" si="956"/>
        <v>95.745430222509142</v>
      </c>
      <c r="R963">
        <f t="shared" ca="1" si="957"/>
        <v>0</v>
      </c>
      <c r="S963">
        <f t="shared" ca="1" si="958"/>
        <v>0</v>
      </c>
    </row>
    <row r="964" spans="5:19" x14ac:dyDescent="0.75">
      <c r="E964">
        <v>959</v>
      </c>
      <c r="F964">
        <v>100</v>
      </c>
      <c r="G964">
        <f t="shared" ca="1" si="954"/>
        <v>111.992296995483</v>
      </c>
      <c r="H964">
        <f t="shared" ca="1" si="954"/>
        <v>122.70621649860726</v>
      </c>
      <c r="I964">
        <f t="shared" ca="1" si="954"/>
        <v>122.39944510233154</v>
      </c>
      <c r="J964">
        <f t="shared" ca="1" si="954"/>
        <v>123.21348653788256</v>
      </c>
      <c r="K964">
        <f t="shared" ref="K964:P964" ca="1" si="1019">J964*EXP(($C$4-0.5*$C$5^2)*$C$10+$C$5*SQRT($C$10)*NORMINV(RAND(),0,1))</f>
        <v>128.42970573305521</v>
      </c>
      <c r="L964">
        <f t="shared" ca="1" si="1019"/>
        <v>143.11621381471031</v>
      </c>
      <c r="M964">
        <f t="shared" ca="1" si="1019"/>
        <v>143.57345887542058</v>
      </c>
      <c r="N964">
        <f t="shared" ca="1" si="1019"/>
        <v>151.22634671334816</v>
      </c>
      <c r="O964">
        <f t="shared" ca="1" si="1019"/>
        <v>172.04273325926312</v>
      </c>
      <c r="P964">
        <f t="shared" ca="1" si="1019"/>
        <v>163.46660447438586</v>
      </c>
      <c r="Q964">
        <f t="shared" ca="1" si="956"/>
        <v>134.74240981858978</v>
      </c>
      <c r="R964">
        <f t="shared" ca="1" si="957"/>
        <v>34.742409818589778</v>
      </c>
      <c r="S964">
        <f t="shared" ca="1" si="958"/>
        <v>33.048002497505109</v>
      </c>
    </row>
    <row r="965" spans="5:19" x14ac:dyDescent="0.75">
      <c r="E965">
        <v>960</v>
      </c>
      <c r="F965">
        <v>100</v>
      </c>
      <c r="G965">
        <f t="shared" ca="1" si="954"/>
        <v>103.52425295294721</v>
      </c>
      <c r="H965">
        <f t="shared" ca="1" si="954"/>
        <v>108.97311269431142</v>
      </c>
      <c r="I965">
        <f t="shared" ca="1" si="954"/>
        <v>106.99960497689736</v>
      </c>
      <c r="J965">
        <f t="shared" ca="1" si="954"/>
        <v>99.262231803121679</v>
      </c>
      <c r="K965">
        <f t="shared" ref="K965:P965" ca="1" si="1020">J965*EXP(($C$4-0.5*$C$5^2)*$C$10+$C$5*SQRT($C$10)*NORMINV(RAND(),0,1))</f>
        <v>110.88403127384584</v>
      </c>
      <c r="L965">
        <f t="shared" ca="1" si="1020"/>
        <v>112.84216770788174</v>
      </c>
      <c r="M965">
        <f t="shared" ca="1" si="1020"/>
        <v>124.56723861351794</v>
      </c>
      <c r="N965">
        <f t="shared" ca="1" si="1020"/>
        <v>140.16710966315344</v>
      </c>
      <c r="O965">
        <f t="shared" ca="1" si="1020"/>
        <v>134.53960304061204</v>
      </c>
      <c r="P965">
        <f t="shared" ca="1" si="1020"/>
        <v>138.97494958966385</v>
      </c>
      <c r="Q965">
        <f t="shared" ca="1" si="956"/>
        <v>116.43039111963206</v>
      </c>
      <c r="R965">
        <f t="shared" ca="1" si="957"/>
        <v>16.430391119632063</v>
      </c>
      <c r="S965">
        <f t="shared" ca="1" si="958"/>
        <v>15.629071489049249</v>
      </c>
    </row>
    <row r="966" spans="5:19" x14ac:dyDescent="0.75">
      <c r="E966">
        <v>961</v>
      </c>
      <c r="F966">
        <v>100</v>
      </c>
      <c r="G966">
        <f t="shared" ca="1" si="954"/>
        <v>101.11507377980185</v>
      </c>
      <c r="H966">
        <f t="shared" ca="1" si="954"/>
        <v>103.23587898124144</v>
      </c>
      <c r="I966">
        <f t="shared" ca="1" si="954"/>
        <v>114.30695890783365</v>
      </c>
      <c r="J966">
        <f t="shared" ref="J966:P966" ca="1" si="1021">I966*EXP(($C$4-0.5*$C$5^2)*$C$10+$C$5*SQRT($C$10)*NORMINV(RAND(),0,1))</f>
        <v>110.35431778474526</v>
      </c>
      <c r="K966">
        <f t="shared" ca="1" si="1021"/>
        <v>108.56242600437238</v>
      </c>
      <c r="L966">
        <f t="shared" ca="1" si="1021"/>
        <v>109.40138863989738</v>
      </c>
      <c r="M966">
        <f t="shared" ca="1" si="1021"/>
        <v>114.65336383507463</v>
      </c>
      <c r="N966">
        <f t="shared" ca="1" si="1021"/>
        <v>104.00052290077859</v>
      </c>
      <c r="O966">
        <f t="shared" ca="1" si="1021"/>
        <v>104.86172962989926</v>
      </c>
      <c r="P966">
        <f t="shared" ca="1" si="1021"/>
        <v>107.26692083727401</v>
      </c>
      <c r="Q966">
        <f t="shared" ca="1" si="956"/>
        <v>107.06896193644712</v>
      </c>
      <c r="R966">
        <f t="shared" ca="1" si="957"/>
        <v>7.0689619364471241</v>
      </c>
      <c r="S966">
        <f t="shared" ca="1" si="958"/>
        <v>6.7242045946240507</v>
      </c>
    </row>
    <row r="967" spans="5:19" x14ac:dyDescent="0.75">
      <c r="E967">
        <v>962</v>
      </c>
      <c r="F967">
        <v>100</v>
      </c>
      <c r="G967">
        <f t="shared" ref="G967:M1005" ca="1" si="1022">F967*EXP(($C$4-0.5*$C$5^2)*$C$10+$C$5*SQRT($C$10)*NORMINV(RAND(),0,1))</f>
        <v>89.459082143563052</v>
      </c>
      <c r="H967">
        <f t="shared" ca="1" si="1022"/>
        <v>95.271056913196233</v>
      </c>
      <c r="I967">
        <f t="shared" ca="1" si="1022"/>
        <v>95.776174963631675</v>
      </c>
      <c r="J967">
        <f t="shared" ca="1" si="1022"/>
        <v>83.62983173206355</v>
      </c>
      <c r="K967">
        <f t="shared" ca="1" si="1022"/>
        <v>86.426074234145062</v>
      </c>
      <c r="L967">
        <f t="shared" ca="1" si="1022"/>
        <v>84.764170727235566</v>
      </c>
      <c r="M967">
        <f t="shared" ca="1" si="1022"/>
        <v>83.182319423756454</v>
      </c>
      <c r="N967">
        <f t="shared" ref="N967:P967" ca="1" si="1023">M967*EXP(($C$4-0.5*$C$5^2)*$C$10+$C$5*SQRT($C$10)*NORMINV(RAND(),0,1))</f>
        <v>80.408652407637987</v>
      </c>
      <c r="O967">
        <f t="shared" ca="1" si="1023"/>
        <v>79.384159766929798</v>
      </c>
      <c r="P967">
        <f t="shared" ca="1" si="1023"/>
        <v>78.16977587108191</v>
      </c>
      <c r="Q967">
        <f t="shared" ref="Q967:Q1005" ca="1" si="1024">AVERAGE(F967:P967)</f>
        <v>86.951936198476474</v>
      </c>
      <c r="R967">
        <f t="shared" ref="R967:R1005" ca="1" si="1025">MAX(Q967-$C$7,0)</f>
        <v>0</v>
      </c>
      <c r="S967">
        <f t="shared" ref="S967:S1005" ca="1" si="1026">EXP(-$C$4*$C$6)*R967</f>
        <v>0</v>
      </c>
    </row>
    <row r="968" spans="5:19" x14ac:dyDescent="0.75">
      <c r="E968">
        <v>963</v>
      </c>
      <c r="F968">
        <v>100</v>
      </c>
      <c r="G968">
        <f t="shared" ca="1" si="1022"/>
        <v>105.55805195974126</v>
      </c>
      <c r="H968">
        <f t="shared" ca="1" si="1022"/>
        <v>103.01301687318504</v>
      </c>
      <c r="I968">
        <f t="shared" ca="1" si="1022"/>
        <v>95.696998604995017</v>
      </c>
      <c r="J968">
        <f t="shared" ca="1" si="1022"/>
        <v>90.830723076337392</v>
      </c>
      <c r="K968">
        <f t="shared" ca="1" si="1022"/>
        <v>83.047436370040728</v>
      </c>
      <c r="L968">
        <f t="shared" ca="1" si="1022"/>
        <v>85.838875442040376</v>
      </c>
      <c r="M968">
        <f t="shared" ca="1" si="1022"/>
        <v>82.06969517642284</v>
      </c>
      <c r="N968">
        <f t="shared" ref="N968:P968" ca="1" si="1027">M968*EXP(($C$4-0.5*$C$5^2)*$C$10+$C$5*SQRT($C$10)*NORMINV(RAND(),0,1))</f>
        <v>84.255406196330156</v>
      </c>
      <c r="O968">
        <f t="shared" ca="1" si="1027"/>
        <v>90.15845238645457</v>
      </c>
      <c r="P968">
        <f t="shared" ca="1" si="1027"/>
        <v>93.673509943726359</v>
      </c>
      <c r="Q968">
        <f t="shared" ca="1" si="1024"/>
        <v>92.194742366297618</v>
      </c>
      <c r="R968">
        <f t="shared" ca="1" si="1025"/>
        <v>0</v>
      </c>
      <c r="S968">
        <f t="shared" ca="1" si="1026"/>
        <v>0</v>
      </c>
    </row>
    <row r="969" spans="5:19" x14ac:dyDescent="0.75">
      <c r="E969">
        <v>964</v>
      </c>
      <c r="F969">
        <v>100</v>
      </c>
      <c r="G969">
        <f t="shared" ca="1" si="1022"/>
        <v>96.44038798196128</v>
      </c>
      <c r="H969">
        <f t="shared" ca="1" si="1022"/>
        <v>100.10834025974252</v>
      </c>
      <c r="I969">
        <f t="shared" ca="1" si="1022"/>
        <v>98.87835048615915</v>
      </c>
      <c r="J969">
        <f t="shared" ca="1" si="1022"/>
        <v>89.028514236683051</v>
      </c>
      <c r="K969">
        <f t="shared" ca="1" si="1022"/>
        <v>86.57970386889393</v>
      </c>
      <c r="L969">
        <f t="shared" ca="1" si="1022"/>
        <v>94.81602270495118</v>
      </c>
      <c r="M969">
        <f t="shared" ca="1" si="1022"/>
        <v>101.05320978458909</v>
      </c>
      <c r="N969">
        <f t="shared" ref="N969:P969" ca="1" si="1028">M969*EXP(($C$4-0.5*$C$5^2)*$C$10+$C$5*SQRT($C$10)*NORMINV(RAND(),0,1))</f>
        <v>91.140118921986328</v>
      </c>
      <c r="O969">
        <f t="shared" ca="1" si="1028"/>
        <v>87.259738163650056</v>
      </c>
      <c r="P969">
        <f t="shared" ca="1" si="1028"/>
        <v>82.714351033701263</v>
      </c>
      <c r="Q969">
        <f t="shared" ca="1" si="1024"/>
        <v>93.456248858392513</v>
      </c>
      <c r="R969">
        <f t="shared" ca="1" si="1025"/>
        <v>0</v>
      </c>
      <c r="S969">
        <f t="shared" ca="1" si="1026"/>
        <v>0</v>
      </c>
    </row>
    <row r="970" spans="5:19" x14ac:dyDescent="0.75">
      <c r="E970">
        <v>965</v>
      </c>
      <c r="F970">
        <v>100</v>
      </c>
      <c r="G970">
        <f t="shared" ca="1" si="1022"/>
        <v>103.18836974598744</v>
      </c>
      <c r="H970">
        <f t="shared" ca="1" si="1022"/>
        <v>108.59028523754992</v>
      </c>
      <c r="I970">
        <f t="shared" ca="1" si="1022"/>
        <v>102.64408479326808</v>
      </c>
      <c r="J970">
        <f t="shared" ca="1" si="1022"/>
        <v>98.09489317487251</v>
      </c>
      <c r="K970">
        <f t="shared" ca="1" si="1022"/>
        <v>116.35903105959184</v>
      </c>
      <c r="L970">
        <f t="shared" ca="1" si="1022"/>
        <v>117.8966385103552</v>
      </c>
      <c r="M970">
        <f t="shared" ca="1" si="1022"/>
        <v>117.45081043078267</v>
      </c>
      <c r="N970">
        <f t="shared" ref="N970:P970" ca="1" si="1029">M970*EXP(($C$4-0.5*$C$5^2)*$C$10+$C$5*SQRT($C$10)*NORMINV(RAND(),0,1))</f>
        <v>113.55747422433083</v>
      </c>
      <c r="O970">
        <f t="shared" ca="1" si="1029"/>
        <v>110.80901878276806</v>
      </c>
      <c r="P970">
        <f t="shared" ca="1" si="1029"/>
        <v>124.09726458127325</v>
      </c>
      <c r="Q970">
        <f t="shared" ca="1" si="1024"/>
        <v>110.24435186734362</v>
      </c>
      <c r="R970">
        <f t="shared" ca="1" si="1025"/>
        <v>10.244351867343624</v>
      </c>
      <c r="S970">
        <f t="shared" ca="1" si="1026"/>
        <v>9.7447289311560912</v>
      </c>
    </row>
    <row r="971" spans="5:19" x14ac:dyDescent="0.75">
      <c r="E971">
        <v>966</v>
      </c>
      <c r="F971">
        <v>100</v>
      </c>
      <c r="G971">
        <f t="shared" ca="1" si="1022"/>
        <v>93.130401869191843</v>
      </c>
      <c r="H971">
        <f t="shared" ca="1" si="1022"/>
        <v>91.146917788340133</v>
      </c>
      <c r="I971">
        <f t="shared" ca="1" si="1022"/>
        <v>95.798117842503501</v>
      </c>
      <c r="J971">
        <f t="shared" ca="1" si="1022"/>
        <v>96.126190332651845</v>
      </c>
      <c r="K971">
        <f t="shared" ca="1" si="1022"/>
        <v>94.517323723811586</v>
      </c>
      <c r="L971">
        <f t="shared" ca="1" si="1022"/>
        <v>91.3469780264587</v>
      </c>
      <c r="M971">
        <f t="shared" ca="1" si="1022"/>
        <v>95.06726869590706</v>
      </c>
      <c r="N971">
        <f t="shared" ref="N971:P971" ca="1" si="1030">M971*EXP(($C$4-0.5*$C$5^2)*$C$10+$C$5*SQRT($C$10)*NORMINV(RAND(),0,1))</f>
        <v>91.787578857492889</v>
      </c>
      <c r="O971">
        <f t="shared" ca="1" si="1030"/>
        <v>93.370323174717228</v>
      </c>
      <c r="P971">
        <f t="shared" ca="1" si="1030"/>
        <v>95.057560768880833</v>
      </c>
      <c r="Q971">
        <f t="shared" ca="1" si="1024"/>
        <v>94.30442373454143</v>
      </c>
      <c r="R971">
        <f t="shared" ca="1" si="1025"/>
        <v>0</v>
      </c>
      <c r="S971">
        <f t="shared" ca="1" si="1026"/>
        <v>0</v>
      </c>
    </row>
    <row r="972" spans="5:19" x14ac:dyDescent="0.75">
      <c r="E972">
        <v>967</v>
      </c>
      <c r="F972">
        <v>100</v>
      </c>
      <c r="G972">
        <f t="shared" ca="1" si="1022"/>
        <v>99.309302473237423</v>
      </c>
      <c r="H972">
        <f t="shared" ca="1" si="1022"/>
        <v>98.487449897425961</v>
      </c>
      <c r="I972">
        <f t="shared" ca="1" si="1022"/>
        <v>101.7728659262916</v>
      </c>
      <c r="J972">
        <f t="shared" ca="1" si="1022"/>
        <v>100.99325066181058</v>
      </c>
      <c r="K972">
        <f t="shared" ca="1" si="1022"/>
        <v>108.53710452344728</v>
      </c>
      <c r="L972">
        <f t="shared" ca="1" si="1022"/>
        <v>109.98032427257905</v>
      </c>
      <c r="M972">
        <f t="shared" ca="1" si="1022"/>
        <v>125.20835606324754</v>
      </c>
      <c r="N972">
        <f t="shared" ref="N972:P972" ca="1" si="1031">M972*EXP(($C$4-0.5*$C$5^2)*$C$10+$C$5*SQRT($C$10)*NORMINV(RAND(),0,1))</f>
        <v>152.69255758759388</v>
      </c>
      <c r="O972">
        <f t="shared" ca="1" si="1031"/>
        <v>148.83729888965266</v>
      </c>
      <c r="P972">
        <f t="shared" ca="1" si="1031"/>
        <v>147.75013045813975</v>
      </c>
      <c r="Q972">
        <f t="shared" ca="1" si="1024"/>
        <v>117.59714915940232</v>
      </c>
      <c r="R972">
        <f t="shared" ca="1" si="1025"/>
        <v>17.597149159402321</v>
      </c>
      <c r="S972">
        <f t="shared" ca="1" si="1026"/>
        <v>16.738926067751493</v>
      </c>
    </row>
    <row r="973" spans="5:19" x14ac:dyDescent="0.75">
      <c r="E973">
        <v>968</v>
      </c>
      <c r="F973">
        <v>100</v>
      </c>
      <c r="G973">
        <f t="shared" ca="1" si="1022"/>
        <v>100.37138297137437</v>
      </c>
      <c r="H973">
        <f t="shared" ca="1" si="1022"/>
        <v>105.98513123808921</v>
      </c>
      <c r="I973">
        <f t="shared" ca="1" si="1022"/>
        <v>93.533390869436531</v>
      </c>
      <c r="J973">
        <f t="shared" ca="1" si="1022"/>
        <v>91.66524692083766</v>
      </c>
      <c r="K973">
        <f t="shared" ca="1" si="1022"/>
        <v>87.460541436112109</v>
      </c>
      <c r="L973">
        <f t="shared" ca="1" si="1022"/>
        <v>85.038678937833737</v>
      </c>
      <c r="M973">
        <f t="shared" ca="1" si="1022"/>
        <v>85.802476945446529</v>
      </c>
      <c r="N973">
        <f t="shared" ref="N973:P973" ca="1" si="1032">M973*EXP(($C$4-0.5*$C$5^2)*$C$10+$C$5*SQRT($C$10)*NORMINV(RAND(),0,1))</f>
        <v>85.91423146385813</v>
      </c>
      <c r="O973">
        <f t="shared" ca="1" si="1032"/>
        <v>95.680948240694548</v>
      </c>
      <c r="P973">
        <f t="shared" ca="1" si="1032"/>
        <v>87.350563167018109</v>
      </c>
      <c r="Q973">
        <f t="shared" ca="1" si="1024"/>
        <v>92.618417471881898</v>
      </c>
      <c r="R973">
        <f t="shared" ca="1" si="1025"/>
        <v>0</v>
      </c>
      <c r="S973">
        <f t="shared" ca="1" si="1026"/>
        <v>0</v>
      </c>
    </row>
    <row r="974" spans="5:19" x14ac:dyDescent="0.75">
      <c r="E974">
        <v>969</v>
      </c>
      <c r="F974">
        <v>100</v>
      </c>
      <c r="G974">
        <f t="shared" ca="1" si="1022"/>
        <v>105.30570000315791</v>
      </c>
      <c r="H974">
        <f t="shared" ca="1" si="1022"/>
        <v>98.139852838654065</v>
      </c>
      <c r="I974">
        <f t="shared" ca="1" si="1022"/>
        <v>102.48364745500014</v>
      </c>
      <c r="J974">
        <f t="shared" ca="1" si="1022"/>
        <v>100.23361149382066</v>
      </c>
      <c r="K974">
        <f t="shared" ca="1" si="1022"/>
        <v>95.16184216935649</v>
      </c>
      <c r="L974">
        <f t="shared" ca="1" si="1022"/>
        <v>87.607939883072248</v>
      </c>
      <c r="M974">
        <f t="shared" ca="1" si="1022"/>
        <v>91.961612563520077</v>
      </c>
      <c r="N974">
        <f t="shared" ref="N974:P974" ca="1" si="1033">M974*EXP(($C$4-0.5*$C$5^2)*$C$10+$C$5*SQRT($C$10)*NORMINV(RAND(),0,1))</f>
        <v>83.678859311742073</v>
      </c>
      <c r="O974">
        <f t="shared" ca="1" si="1033"/>
        <v>86.118454018895221</v>
      </c>
      <c r="P974">
        <f t="shared" ca="1" si="1033"/>
        <v>75.189828825798799</v>
      </c>
      <c r="Q974">
        <f t="shared" ca="1" si="1024"/>
        <v>93.26194077845615</v>
      </c>
      <c r="R974">
        <f t="shared" ca="1" si="1025"/>
        <v>0</v>
      </c>
      <c r="S974">
        <f t="shared" ca="1" si="1026"/>
        <v>0</v>
      </c>
    </row>
    <row r="975" spans="5:19" x14ac:dyDescent="0.75">
      <c r="E975">
        <v>970</v>
      </c>
      <c r="F975">
        <v>100</v>
      </c>
      <c r="G975">
        <f t="shared" ca="1" si="1022"/>
        <v>101.53297869000006</v>
      </c>
      <c r="H975">
        <f t="shared" ca="1" si="1022"/>
        <v>104.62676313857007</v>
      </c>
      <c r="I975">
        <f t="shared" ca="1" si="1022"/>
        <v>91.96170115291639</v>
      </c>
      <c r="J975">
        <f t="shared" ca="1" si="1022"/>
        <v>98.50174409152919</v>
      </c>
      <c r="K975">
        <f t="shared" ca="1" si="1022"/>
        <v>113.63633480504359</v>
      </c>
      <c r="L975">
        <f t="shared" ca="1" si="1022"/>
        <v>118.57924133643907</v>
      </c>
      <c r="M975">
        <f t="shared" ca="1" si="1022"/>
        <v>123.87358063573397</v>
      </c>
      <c r="N975">
        <f t="shared" ref="N975:P975" ca="1" si="1034">M975*EXP(($C$4-0.5*$C$5^2)*$C$10+$C$5*SQRT($C$10)*NORMINV(RAND(),0,1))</f>
        <v>127.25200861546041</v>
      </c>
      <c r="O975">
        <f t="shared" ca="1" si="1034"/>
        <v>125.92399128734637</v>
      </c>
      <c r="P975">
        <f t="shared" ca="1" si="1034"/>
        <v>130.33316515088046</v>
      </c>
      <c r="Q975">
        <f t="shared" ca="1" si="1024"/>
        <v>112.38377353671996</v>
      </c>
      <c r="R975">
        <f t="shared" ca="1" si="1025"/>
        <v>12.383773536719957</v>
      </c>
      <c r="S975">
        <f t="shared" ca="1" si="1026"/>
        <v>11.779809774481297</v>
      </c>
    </row>
    <row r="976" spans="5:19" x14ac:dyDescent="0.75">
      <c r="E976">
        <v>971</v>
      </c>
      <c r="F976">
        <v>100</v>
      </c>
      <c r="G976">
        <f t="shared" ca="1" si="1022"/>
        <v>99.938167312112839</v>
      </c>
      <c r="H976">
        <f t="shared" ca="1" si="1022"/>
        <v>103.01653741930417</v>
      </c>
      <c r="I976">
        <f t="shared" ca="1" si="1022"/>
        <v>103.56341967693379</v>
      </c>
      <c r="J976">
        <f t="shared" ca="1" si="1022"/>
        <v>101.49884409747986</v>
      </c>
      <c r="K976">
        <f t="shared" ca="1" si="1022"/>
        <v>106.02054008813055</v>
      </c>
      <c r="L976">
        <f t="shared" ca="1" si="1022"/>
        <v>117.45838533908237</v>
      </c>
      <c r="M976">
        <f t="shared" ca="1" si="1022"/>
        <v>101.75682297413628</v>
      </c>
      <c r="N976">
        <f t="shared" ref="N976:P976" ca="1" si="1035">M976*EXP(($C$4-0.5*$C$5^2)*$C$10+$C$5*SQRT($C$10)*NORMINV(RAND(),0,1))</f>
        <v>94.935265893840608</v>
      </c>
      <c r="O976">
        <f t="shared" ca="1" si="1035"/>
        <v>93.124306885274123</v>
      </c>
      <c r="P976">
        <f t="shared" ca="1" si="1035"/>
        <v>102.39029439100308</v>
      </c>
      <c r="Q976">
        <f t="shared" ca="1" si="1024"/>
        <v>102.15478037066345</v>
      </c>
      <c r="R976">
        <f t="shared" ca="1" si="1025"/>
        <v>2.1547803706634454</v>
      </c>
      <c r="S976">
        <f t="shared" ca="1" si="1026"/>
        <v>2.0496904919116243</v>
      </c>
    </row>
    <row r="977" spans="5:19" x14ac:dyDescent="0.75">
      <c r="E977">
        <v>972</v>
      </c>
      <c r="F977">
        <v>100</v>
      </c>
      <c r="G977">
        <f t="shared" ca="1" si="1022"/>
        <v>103.65308183931381</v>
      </c>
      <c r="H977">
        <f t="shared" ca="1" si="1022"/>
        <v>108.26056864311532</v>
      </c>
      <c r="I977">
        <f t="shared" ca="1" si="1022"/>
        <v>113.60173946492392</v>
      </c>
      <c r="J977">
        <f t="shared" ca="1" si="1022"/>
        <v>111.16202342755254</v>
      </c>
      <c r="K977">
        <f t="shared" ca="1" si="1022"/>
        <v>99.775968387425664</v>
      </c>
      <c r="L977">
        <f t="shared" ca="1" si="1022"/>
        <v>98.790237226592069</v>
      </c>
      <c r="M977">
        <f t="shared" ca="1" si="1022"/>
        <v>99.634239108737106</v>
      </c>
      <c r="N977">
        <f t="shared" ref="N977:P977" ca="1" si="1036">M977*EXP(($C$4-0.5*$C$5^2)*$C$10+$C$5*SQRT($C$10)*NORMINV(RAND(),0,1))</f>
        <v>100.93016422767556</v>
      </c>
      <c r="O977">
        <f t="shared" ca="1" si="1036"/>
        <v>103.94156266050943</v>
      </c>
      <c r="P977">
        <f t="shared" ca="1" si="1036"/>
        <v>96.84241661165639</v>
      </c>
      <c r="Q977">
        <f t="shared" ca="1" si="1024"/>
        <v>103.32654559977287</v>
      </c>
      <c r="R977">
        <f t="shared" ca="1" si="1025"/>
        <v>3.3265455997728708</v>
      </c>
      <c r="S977">
        <f t="shared" ca="1" si="1026"/>
        <v>3.1643080564473305</v>
      </c>
    </row>
    <row r="978" spans="5:19" x14ac:dyDescent="0.75">
      <c r="E978">
        <v>973</v>
      </c>
      <c r="F978">
        <v>100</v>
      </c>
      <c r="G978">
        <f t="shared" ca="1" si="1022"/>
        <v>116.34635834152769</v>
      </c>
      <c r="H978">
        <f t="shared" ca="1" si="1022"/>
        <v>126.36043393757693</v>
      </c>
      <c r="I978">
        <f t="shared" ca="1" si="1022"/>
        <v>118.01987412327003</v>
      </c>
      <c r="J978">
        <f t="shared" ca="1" si="1022"/>
        <v>119.91337481448969</v>
      </c>
      <c r="K978">
        <f t="shared" ca="1" si="1022"/>
        <v>120.01028358014801</v>
      </c>
      <c r="L978">
        <f t="shared" ca="1" si="1022"/>
        <v>124.35606230896877</v>
      </c>
      <c r="M978">
        <f t="shared" ca="1" si="1022"/>
        <v>128.94046150366881</v>
      </c>
      <c r="N978">
        <f t="shared" ref="N978:P978" ca="1" si="1037">M978*EXP(($C$4-0.5*$C$5^2)*$C$10+$C$5*SQRT($C$10)*NORMINV(RAND(),0,1))</f>
        <v>121.50773163238088</v>
      </c>
      <c r="O978">
        <f t="shared" ca="1" si="1037"/>
        <v>126.38234189410659</v>
      </c>
      <c r="P978">
        <f t="shared" ca="1" si="1037"/>
        <v>139.07274822538758</v>
      </c>
      <c r="Q978">
        <f t="shared" ca="1" si="1024"/>
        <v>121.90087912377498</v>
      </c>
      <c r="R978">
        <f t="shared" ca="1" si="1025"/>
        <v>21.900879123774985</v>
      </c>
      <c r="S978">
        <f t="shared" ca="1" si="1026"/>
        <v>20.832760644968179</v>
      </c>
    </row>
    <row r="979" spans="5:19" x14ac:dyDescent="0.75">
      <c r="E979">
        <v>974</v>
      </c>
      <c r="F979">
        <v>100</v>
      </c>
      <c r="G979">
        <f t="shared" ca="1" si="1022"/>
        <v>92.350498788261504</v>
      </c>
      <c r="H979">
        <f t="shared" ca="1" si="1022"/>
        <v>99.022404965204316</v>
      </c>
      <c r="I979">
        <f t="shared" ca="1" si="1022"/>
        <v>103.64967619150744</v>
      </c>
      <c r="J979">
        <f t="shared" ca="1" si="1022"/>
        <v>106.96777082957976</v>
      </c>
      <c r="K979">
        <f t="shared" ca="1" si="1022"/>
        <v>117.87948241039808</v>
      </c>
      <c r="L979">
        <f t="shared" ca="1" si="1022"/>
        <v>108.26127802374596</v>
      </c>
      <c r="M979">
        <f t="shared" ca="1" si="1022"/>
        <v>115.82670910064606</v>
      </c>
      <c r="N979">
        <f t="shared" ref="N979:P979" ca="1" si="1038">M979*EXP(($C$4-0.5*$C$5^2)*$C$10+$C$5*SQRT($C$10)*NORMINV(RAND(),0,1))</f>
        <v>111.75132544750325</v>
      </c>
      <c r="O979">
        <f t="shared" ca="1" si="1038"/>
        <v>112.52148710546476</v>
      </c>
      <c r="P979">
        <f t="shared" ca="1" si="1038"/>
        <v>113.4603543371513</v>
      </c>
      <c r="Q979">
        <f t="shared" ca="1" si="1024"/>
        <v>107.42645338176932</v>
      </c>
      <c r="R979">
        <f t="shared" ca="1" si="1025"/>
        <v>7.4264533817693206</v>
      </c>
      <c r="S979">
        <f t="shared" ca="1" si="1026"/>
        <v>7.0642609764218118</v>
      </c>
    </row>
    <row r="980" spans="5:19" x14ac:dyDescent="0.75">
      <c r="E980">
        <v>975</v>
      </c>
      <c r="F980">
        <v>100</v>
      </c>
      <c r="G980">
        <f t="shared" ca="1" si="1022"/>
        <v>88.448075057991645</v>
      </c>
      <c r="H980">
        <f t="shared" ca="1" si="1022"/>
        <v>85.941614627776389</v>
      </c>
      <c r="I980">
        <f t="shared" ca="1" si="1022"/>
        <v>87.393674038891263</v>
      </c>
      <c r="J980">
        <f t="shared" ca="1" si="1022"/>
        <v>96.668006752027267</v>
      </c>
      <c r="K980">
        <f t="shared" ca="1" si="1022"/>
        <v>90.479829935650343</v>
      </c>
      <c r="L980">
        <f t="shared" ca="1" si="1022"/>
        <v>93.52853387418854</v>
      </c>
      <c r="M980">
        <f t="shared" ca="1" si="1022"/>
        <v>94.74691653242769</v>
      </c>
      <c r="N980">
        <f t="shared" ref="N980:P980" ca="1" si="1039">M980*EXP(($C$4-0.5*$C$5^2)*$C$10+$C$5*SQRT($C$10)*NORMINV(RAND(),0,1))</f>
        <v>90.214225345109767</v>
      </c>
      <c r="O980">
        <f t="shared" ca="1" si="1039"/>
        <v>95.019478144900987</v>
      </c>
      <c r="P980">
        <f t="shared" ca="1" si="1039"/>
        <v>101.47614044101734</v>
      </c>
      <c r="Q980">
        <f t="shared" ca="1" si="1024"/>
        <v>93.083317704543745</v>
      </c>
      <c r="R980">
        <f t="shared" ca="1" si="1025"/>
        <v>0</v>
      </c>
      <c r="S980">
        <f t="shared" ca="1" si="1026"/>
        <v>0</v>
      </c>
    </row>
    <row r="981" spans="5:19" x14ac:dyDescent="0.75">
      <c r="E981">
        <v>976</v>
      </c>
      <c r="F981">
        <v>100</v>
      </c>
      <c r="G981">
        <f t="shared" ca="1" si="1022"/>
        <v>100.7586583578878</v>
      </c>
      <c r="H981">
        <f t="shared" ca="1" si="1022"/>
        <v>94.903754433648388</v>
      </c>
      <c r="I981">
        <f t="shared" ca="1" si="1022"/>
        <v>98.46968063399396</v>
      </c>
      <c r="J981">
        <f t="shared" ca="1" si="1022"/>
        <v>105.07307108380245</v>
      </c>
      <c r="K981">
        <f t="shared" ca="1" si="1022"/>
        <v>114.38441642215386</v>
      </c>
      <c r="L981">
        <f t="shared" ca="1" si="1022"/>
        <v>114.10152403459107</v>
      </c>
      <c r="M981">
        <f t="shared" ca="1" si="1022"/>
        <v>126.25805316091365</v>
      </c>
      <c r="N981">
        <f t="shared" ref="N981:P981" ca="1" si="1040">M981*EXP(($C$4-0.5*$C$5^2)*$C$10+$C$5*SQRT($C$10)*NORMINV(RAND(),0,1))</f>
        <v>118.34621642750012</v>
      </c>
      <c r="O981">
        <f t="shared" ca="1" si="1040"/>
        <v>113.05984247879768</v>
      </c>
      <c r="P981">
        <f t="shared" ca="1" si="1040"/>
        <v>120.54132217470577</v>
      </c>
      <c r="Q981">
        <f t="shared" ca="1" si="1024"/>
        <v>109.62695810981769</v>
      </c>
      <c r="R981">
        <f t="shared" ca="1" si="1025"/>
        <v>9.6269581098176928</v>
      </c>
      <c r="S981">
        <f t="shared" ca="1" si="1026"/>
        <v>9.1574458224943651</v>
      </c>
    </row>
    <row r="982" spans="5:19" x14ac:dyDescent="0.75">
      <c r="E982">
        <v>977</v>
      </c>
      <c r="F982">
        <v>100</v>
      </c>
      <c r="G982">
        <f t="shared" ca="1" si="1022"/>
        <v>89.777752081510542</v>
      </c>
      <c r="H982">
        <f t="shared" ca="1" si="1022"/>
        <v>95.116622051686392</v>
      </c>
      <c r="I982">
        <f t="shared" ca="1" si="1022"/>
        <v>89.599025975392138</v>
      </c>
      <c r="J982">
        <f t="shared" ca="1" si="1022"/>
        <v>87.961174953883912</v>
      </c>
      <c r="K982">
        <f t="shared" ca="1" si="1022"/>
        <v>85.163516751762941</v>
      </c>
      <c r="L982">
        <f t="shared" ca="1" si="1022"/>
        <v>99.413151710074146</v>
      </c>
      <c r="M982">
        <f t="shared" ca="1" si="1022"/>
        <v>93.002899039500022</v>
      </c>
      <c r="N982">
        <f t="shared" ref="N982:P982" ca="1" si="1041">M982*EXP(($C$4-0.5*$C$5^2)*$C$10+$C$5*SQRT($C$10)*NORMINV(RAND(),0,1))</f>
        <v>89.525728149114258</v>
      </c>
      <c r="O982">
        <f t="shared" ca="1" si="1041"/>
        <v>91.75989476272207</v>
      </c>
      <c r="P982">
        <f t="shared" ca="1" si="1041"/>
        <v>85.262600217608551</v>
      </c>
      <c r="Q982">
        <f t="shared" ca="1" si="1024"/>
        <v>91.507487790295912</v>
      </c>
      <c r="R982">
        <f t="shared" ca="1" si="1025"/>
        <v>0</v>
      </c>
      <c r="S982">
        <f t="shared" ca="1" si="1026"/>
        <v>0</v>
      </c>
    </row>
    <row r="983" spans="5:19" x14ac:dyDescent="0.75">
      <c r="E983">
        <v>978</v>
      </c>
      <c r="F983">
        <v>100</v>
      </c>
      <c r="G983">
        <f t="shared" ca="1" si="1022"/>
        <v>98.084944949098272</v>
      </c>
      <c r="H983">
        <f t="shared" ca="1" si="1022"/>
        <v>103.98195790615988</v>
      </c>
      <c r="I983">
        <f t="shared" ca="1" si="1022"/>
        <v>103.36773062252425</v>
      </c>
      <c r="J983">
        <f t="shared" ca="1" si="1022"/>
        <v>119.12743482470066</v>
      </c>
      <c r="K983">
        <f t="shared" ca="1" si="1022"/>
        <v>138.73680690409611</v>
      </c>
      <c r="L983">
        <f t="shared" ca="1" si="1022"/>
        <v>142.31311360170042</v>
      </c>
      <c r="M983">
        <f t="shared" ca="1" si="1022"/>
        <v>147.83424659216018</v>
      </c>
      <c r="N983">
        <f t="shared" ref="N983:P983" ca="1" si="1042">M983*EXP(($C$4-0.5*$C$5^2)*$C$10+$C$5*SQRT($C$10)*NORMINV(RAND(),0,1))</f>
        <v>156.09827997238045</v>
      </c>
      <c r="O983">
        <f t="shared" ca="1" si="1042"/>
        <v>136.85980776682825</v>
      </c>
      <c r="P983">
        <f t="shared" ca="1" si="1042"/>
        <v>131.38140389414323</v>
      </c>
      <c r="Q983">
        <f t="shared" ca="1" si="1024"/>
        <v>125.25324791216289</v>
      </c>
      <c r="R983">
        <f t="shared" ca="1" si="1025"/>
        <v>25.253247912162891</v>
      </c>
      <c r="S983">
        <f t="shared" ca="1" si="1026"/>
        <v>24.021632478260564</v>
      </c>
    </row>
    <row r="984" spans="5:19" x14ac:dyDescent="0.75">
      <c r="E984">
        <v>979</v>
      </c>
      <c r="F984">
        <v>100</v>
      </c>
      <c r="G984">
        <f t="shared" ca="1" si="1022"/>
        <v>99.954116292607679</v>
      </c>
      <c r="H984">
        <f t="shared" ca="1" si="1022"/>
        <v>100.61075761254074</v>
      </c>
      <c r="I984">
        <f t="shared" ca="1" si="1022"/>
        <v>98.649202475828503</v>
      </c>
      <c r="J984">
        <f t="shared" ca="1" si="1022"/>
        <v>91.636945340286857</v>
      </c>
      <c r="K984">
        <f t="shared" ca="1" si="1022"/>
        <v>93.548107774128397</v>
      </c>
      <c r="L984">
        <f t="shared" ca="1" si="1022"/>
        <v>86.839004781864915</v>
      </c>
      <c r="M984">
        <f t="shared" ca="1" si="1022"/>
        <v>90.125663105366911</v>
      </c>
      <c r="N984">
        <f t="shared" ref="N984:P984" ca="1" si="1043">M984*EXP(($C$4-0.5*$C$5^2)*$C$10+$C$5*SQRT($C$10)*NORMINV(RAND(),0,1))</f>
        <v>94.5104627739465</v>
      </c>
      <c r="O984">
        <f t="shared" ca="1" si="1043"/>
        <v>93.936761824833837</v>
      </c>
      <c r="P984">
        <f t="shared" ca="1" si="1043"/>
        <v>91.351822441579941</v>
      </c>
      <c r="Q984">
        <f t="shared" ca="1" si="1024"/>
        <v>94.651167674816762</v>
      </c>
      <c r="R984">
        <f t="shared" ca="1" si="1025"/>
        <v>0</v>
      </c>
      <c r="S984">
        <f t="shared" ca="1" si="1026"/>
        <v>0</v>
      </c>
    </row>
    <row r="985" spans="5:19" x14ac:dyDescent="0.75">
      <c r="E985">
        <v>980</v>
      </c>
      <c r="F985">
        <v>100</v>
      </c>
      <c r="G985">
        <f t="shared" ca="1" si="1022"/>
        <v>97.981968641389244</v>
      </c>
      <c r="H985">
        <f t="shared" ca="1" si="1022"/>
        <v>105.06667037170727</v>
      </c>
      <c r="I985">
        <f t="shared" ca="1" si="1022"/>
        <v>109.24769438854557</v>
      </c>
      <c r="J985">
        <f t="shared" ca="1" si="1022"/>
        <v>101.26111719122137</v>
      </c>
      <c r="K985">
        <f t="shared" ca="1" si="1022"/>
        <v>112.9876732479656</v>
      </c>
      <c r="L985">
        <f t="shared" ca="1" si="1022"/>
        <v>117.61721702794455</v>
      </c>
      <c r="M985">
        <f t="shared" ca="1" si="1022"/>
        <v>121.30754430569327</v>
      </c>
      <c r="N985">
        <f t="shared" ref="N985:P985" ca="1" si="1044">M985*EXP(($C$4-0.5*$C$5^2)*$C$10+$C$5*SQRT($C$10)*NORMINV(RAND(),0,1))</f>
        <v>122.13419724402935</v>
      </c>
      <c r="O985">
        <f t="shared" ca="1" si="1044"/>
        <v>113.9035500643062</v>
      </c>
      <c r="P985">
        <f t="shared" ca="1" si="1044"/>
        <v>126.30198295128632</v>
      </c>
      <c r="Q985">
        <f t="shared" ca="1" si="1024"/>
        <v>111.61905594855352</v>
      </c>
      <c r="R985">
        <f t="shared" ca="1" si="1025"/>
        <v>11.619055948553523</v>
      </c>
      <c r="S985">
        <f t="shared" ca="1" si="1026"/>
        <v>11.052387903184165</v>
      </c>
    </row>
    <row r="986" spans="5:19" x14ac:dyDescent="0.75">
      <c r="E986">
        <v>981</v>
      </c>
      <c r="F986">
        <v>100</v>
      </c>
      <c r="G986">
        <f t="shared" ca="1" si="1022"/>
        <v>103.57742000260126</v>
      </c>
      <c r="H986">
        <f t="shared" ca="1" si="1022"/>
        <v>102.37955482766942</v>
      </c>
      <c r="I986">
        <f t="shared" ca="1" si="1022"/>
        <v>96.117136272332459</v>
      </c>
      <c r="J986">
        <f t="shared" ca="1" si="1022"/>
        <v>98.866466653829207</v>
      </c>
      <c r="K986">
        <f t="shared" ca="1" si="1022"/>
        <v>108.94609185025277</v>
      </c>
      <c r="L986">
        <f t="shared" ca="1" si="1022"/>
        <v>109.6777639734169</v>
      </c>
      <c r="M986">
        <f t="shared" ca="1" si="1022"/>
        <v>109.72295390393914</v>
      </c>
      <c r="N986">
        <f t="shared" ref="N986:P986" ca="1" si="1045">M986*EXP(($C$4-0.5*$C$5^2)*$C$10+$C$5*SQRT($C$10)*NORMINV(RAND(),0,1))</f>
        <v>118.75407689552833</v>
      </c>
      <c r="O986">
        <f t="shared" ca="1" si="1045"/>
        <v>119.80786672289497</v>
      </c>
      <c r="P986">
        <f t="shared" ca="1" si="1045"/>
        <v>132.61944389979979</v>
      </c>
      <c r="Q986">
        <f t="shared" ca="1" si="1024"/>
        <v>109.13352500020584</v>
      </c>
      <c r="R986">
        <f t="shared" ca="1" si="1025"/>
        <v>9.1335250002058359</v>
      </c>
      <c r="S986">
        <f t="shared" ca="1" si="1026"/>
        <v>8.6880777296086809</v>
      </c>
    </row>
    <row r="987" spans="5:19" x14ac:dyDescent="0.75">
      <c r="E987">
        <v>982</v>
      </c>
      <c r="F987">
        <v>100</v>
      </c>
      <c r="G987">
        <f t="shared" ca="1" si="1022"/>
        <v>86.295809252911141</v>
      </c>
      <c r="H987">
        <f t="shared" ca="1" si="1022"/>
        <v>81.961222888122705</v>
      </c>
      <c r="I987">
        <f t="shared" ca="1" si="1022"/>
        <v>95.750395649554719</v>
      </c>
      <c r="J987">
        <f t="shared" ca="1" si="1022"/>
        <v>91.226855691722307</v>
      </c>
      <c r="K987">
        <f t="shared" ca="1" si="1022"/>
        <v>87.210286244496359</v>
      </c>
      <c r="L987">
        <f t="shared" ca="1" si="1022"/>
        <v>93.766010434803391</v>
      </c>
      <c r="M987">
        <f t="shared" ca="1" si="1022"/>
        <v>89.211674077182948</v>
      </c>
      <c r="N987">
        <f t="shared" ref="N987:P987" ca="1" si="1046">M987*EXP(($C$4-0.5*$C$5^2)*$C$10+$C$5*SQRT($C$10)*NORMINV(RAND(),0,1))</f>
        <v>84.532784176955644</v>
      </c>
      <c r="O987">
        <f t="shared" ca="1" si="1046"/>
        <v>82.67652450558333</v>
      </c>
      <c r="P987">
        <f t="shared" ca="1" si="1046"/>
        <v>80.54851674901613</v>
      </c>
      <c r="Q987">
        <f t="shared" ca="1" si="1024"/>
        <v>88.470916333668058</v>
      </c>
      <c r="R987">
        <f t="shared" ca="1" si="1025"/>
        <v>0</v>
      </c>
      <c r="S987">
        <f t="shared" ca="1" si="1026"/>
        <v>0</v>
      </c>
    </row>
    <row r="988" spans="5:19" x14ac:dyDescent="0.75">
      <c r="E988">
        <v>983</v>
      </c>
      <c r="F988">
        <v>100</v>
      </c>
      <c r="G988">
        <f t="shared" ca="1" si="1022"/>
        <v>103.80043412726701</v>
      </c>
      <c r="H988">
        <f t="shared" ca="1" si="1022"/>
        <v>105.15076953460631</v>
      </c>
      <c r="I988">
        <f t="shared" ca="1" si="1022"/>
        <v>108.74240028353863</v>
      </c>
      <c r="J988">
        <f t="shared" ca="1" si="1022"/>
        <v>108.8178496240875</v>
      </c>
      <c r="K988">
        <f t="shared" ca="1" si="1022"/>
        <v>121.48330792684183</v>
      </c>
      <c r="L988">
        <f t="shared" ca="1" si="1022"/>
        <v>128.37769219985753</v>
      </c>
      <c r="M988">
        <f t="shared" ref="M988:P988" ca="1" si="1047">L988*EXP(($C$4-0.5*$C$5^2)*$C$10+$C$5*SQRT($C$10)*NORMINV(RAND(),0,1))</f>
        <v>117.14792036670228</v>
      </c>
      <c r="N988">
        <f t="shared" ca="1" si="1047"/>
        <v>123.14871054895468</v>
      </c>
      <c r="O988">
        <f t="shared" ca="1" si="1047"/>
        <v>123.64865157743191</v>
      </c>
      <c r="P988">
        <f t="shared" ca="1" si="1047"/>
        <v>122.55815911432602</v>
      </c>
      <c r="Q988">
        <f t="shared" ca="1" si="1024"/>
        <v>114.80689957305577</v>
      </c>
      <c r="R988">
        <f t="shared" ca="1" si="1025"/>
        <v>14.806899573055773</v>
      </c>
      <c r="S988">
        <f t="shared" ca="1" si="1026"/>
        <v>14.084758559517711</v>
      </c>
    </row>
    <row r="989" spans="5:19" x14ac:dyDescent="0.75">
      <c r="E989">
        <v>984</v>
      </c>
      <c r="F989">
        <v>100</v>
      </c>
      <c r="G989">
        <f t="shared" ca="1" si="1022"/>
        <v>111.03599854037869</v>
      </c>
      <c r="H989">
        <f t="shared" ca="1" si="1022"/>
        <v>119.52295392065173</v>
      </c>
      <c r="I989">
        <f t="shared" ca="1" si="1022"/>
        <v>120.37497191328997</v>
      </c>
      <c r="J989">
        <f t="shared" ca="1" si="1022"/>
        <v>113.3198044449101</v>
      </c>
      <c r="K989">
        <f t="shared" ca="1" si="1022"/>
        <v>120.20033921410294</v>
      </c>
      <c r="L989">
        <f t="shared" ca="1" si="1022"/>
        <v>123.45518228891353</v>
      </c>
      <c r="M989">
        <f t="shared" ref="M989:P989" ca="1" si="1048">L989*EXP(($C$4-0.5*$C$5^2)*$C$10+$C$5*SQRT($C$10)*NORMINV(RAND(),0,1))</f>
        <v>120.74477601753769</v>
      </c>
      <c r="N989">
        <f t="shared" ca="1" si="1048"/>
        <v>115.35877708064247</v>
      </c>
      <c r="O989">
        <f t="shared" ca="1" si="1048"/>
        <v>121.41355672356599</v>
      </c>
      <c r="P989">
        <f t="shared" ca="1" si="1048"/>
        <v>126.07947703526872</v>
      </c>
      <c r="Q989">
        <f t="shared" ca="1" si="1024"/>
        <v>117.40962156175109</v>
      </c>
      <c r="R989">
        <f t="shared" ca="1" si="1025"/>
        <v>17.409621561751095</v>
      </c>
      <c r="S989">
        <f t="shared" ca="1" si="1026"/>
        <v>16.560544298959716</v>
      </c>
    </row>
    <row r="990" spans="5:19" x14ac:dyDescent="0.75">
      <c r="E990">
        <v>985</v>
      </c>
      <c r="F990">
        <v>100</v>
      </c>
      <c r="G990">
        <f t="shared" ca="1" si="1022"/>
        <v>102.81544712849593</v>
      </c>
      <c r="H990">
        <f t="shared" ca="1" si="1022"/>
        <v>105.43808604870145</v>
      </c>
      <c r="I990">
        <f t="shared" ca="1" si="1022"/>
        <v>112.71552715170451</v>
      </c>
      <c r="J990">
        <f t="shared" ca="1" si="1022"/>
        <v>123.55131580162957</v>
      </c>
      <c r="K990">
        <f t="shared" ca="1" si="1022"/>
        <v>114.00222900519191</v>
      </c>
      <c r="L990">
        <f t="shared" ca="1" si="1022"/>
        <v>113.77358539123848</v>
      </c>
      <c r="M990">
        <f t="shared" ref="M990:P990" ca="1" si="1049">L990*EXP(($C$4-0.5*$C$5^2)*$C$10+$C$5*SQRT($C$10)*NORMINV(RAND(),0,1))</f>
        <v>105.46574131086207</v>
      </c>
      <c r="N990">
        <f t="shared" ca="1" si="1049"/>
        <v>104.96915954054035</v>
      </c>
      <c r="O990">
        <f t="shared" ca="1" si="1049"/>
        <v>86.263929752495457</v>
      </c>
      <c r="P990">
        <f t="shared" ca="1" si="1049"/>
        <v>80.708745021716737</v>
      </c>
      <c r="Q990">
        <f t="shared" ca="1" si="1024"/>
        <v>104.51852419568877</v>
      </c>
      <c r="R990">
        <f t="shared" ca="1" si="1025"/>
        <v>4.5185241956887694</v>
      </c>
      <c r="S990">
        <f t="shared" ca="1" si="1026"/>
        <v>4.2981531702575797</v>
      </c>
    </row>
    <row r="991" spans="5:19" x14ac:dyDescent="0.75">
      <c r="E991">
        <v>986</v>
      </c>
      <c r="F991">
        <v>100</v>
      </c>
      <c r="G991">
        <f t="shared" ca="1" si="1022"/>
        <v>96.010960047144238</v>
      </c>
      <c r="H991">
        <f t="shared" ca="1" si="1022"/>
        <v>99.912274461734938</v>
      </c>
      <c r="I991">
        <f t="shared" ca="1" si="1022"/>
        <v>92.204514850906904</v>
      </c>
      <c r="J991">
        <f t="shared" ca="1" si="1022"/>
        <v>99.161922213320707</v>
      </c>
      <c r="K991">
        <f t="shared" ca="1" si="1022"/>
        <v>85.422655231540375</v>
      </c>
      <c r="L991">
        <f t="shared" ca="1" si="1022"/>
        <v>80.707978840582285</v>
      </c>
      <c r="M991">
        <f t="shared" ref="M991:P991" ca="1" si="1050">L991*EXP(($C$4-0.5*$C$5^2)*$C$10+$C$5*SQRT($C$10)*NORMINV(RAND(),0,1))</f>
        <v>75.606401751670788</v>
      </c>
      <c r="N991">
        <f t="shared" ca="1" si="1050"/>
        <v>82.230552826397471</v>
      </c>
      <c r="O991">
        <f t="shared" ca="1" si="1050"/>
        <v>78.976815388174842</v>
      </c>
      <c r="P991">
        <f t="shared" ca="1" si="1050"/>
        <v>78.136615235733728</v>
      </c>
      <c r="Q991">
        <f t="shared" ca="1" si="1024"/>
        <v>88.03369916792785</v>
      </c>
      <c r="R991">
        <f t="shared" ca="1" si="1025"/>
        <v>0</v>
      </c>
      <c r="S991">
        <f t="shared" ca="1" si="1026"/>
        <v>0</v>
      </c>
    </row>
    <row r="992" spans="5:19" x14ac:dyDescent="0.75">
      <c r="E992">
        <v>987</v>
      </c>
      <c r="F992">
        <v>100</v>
      </c>
      <c r="G992">
        <f t="shared" ca="1" si="1022"/>
        <v>100.38293578532962</v>
      </c>
      <c r="H992">
        <f t="shared" ca="1" si="1022"/>
        <v>92.587375646278801</v>
      </c>
      <c r="I992">
        <f t="shared" ca="1" si="1022"/>
        <v>90.576037873047696</v>
      </c>
      <c r="J992">
        <f t="shared" ca="1" si="1022"/>
        <v>105.60646457895233</v>
      </c>
      <c r="K992">
        <f t="shared" ca="1" si="1022"/>
        <v>113.78736257395605</v>
      </c>
      <c r="L992">
        <f t="shared" ca="1" si="1022"/>
        <v>111.33466808448765</v>
      </c>
      <c r="M992">
        <f t="shared" ref="M992:P992" ca="1" si="1051">L992*EXP(($C$4-0.5*$C$5^2)*$C$10+$C$5*SQRT($C$10)*NORMINV(RAND(),0,1))</f>
        <v>118.67140107554219</v>
      </c>
      <c r="N992">
        <f t="shared" ca="1" si="1051"/>
        <v>137.86778671119887</v>
      </c>
      <c r="O992">
        <f t="shared" ca="1" si="1051"/>
        <v>151.13049140494763</v>
      </c>
      <c r="P992">
        <f t="shared" ca="1" si="1051"/>
        <v>141.62680816826318</v>
      </c>
      <c r="Q992">
        <f t="shared" ca="1" si="1024"/>
        <v>114.87012108200037</v>
      </c>
      <c r="R992">
        <f t="shared" ca="1" si="1025"/>
        <v>14.870121082000367</v>
      </c>
      <c r="S992">
        <f t="shared" ca="1" si="1026"/>
        <v>14.144896719087143</v>
      </c>
    </row>
    <row r="993" spans="5:19" x14ac:dyDescent="0.75">
      <c r="E993">
        <v>988</v>
      </c>
      <c r="F993">
        <v>100</v>
      </c>
      <c r="G993">
        <f t="shared" ca="1" si="1022"/>
        <v>112.14730085489589</v>
      </c>
      <c r="H993">
        <f t="shared" ca="1" si="1022"/>
        <v>115.9051066040555</v>
      </c>
      <c r="I993">
        <f t="shared" ca="1" si="1022"/>
        <v>114.20000861409062</v>
      </c>
      <c r="J993">
        <f t="shared" ca="1" si="1022"/>
        <v>111.62304678456964</v>
      </c>
      <c r="K993">
        <f t="shared" ca="1" si="1022"/>
        <v>119.76909386079687</v>
      </c>
      <c r="L993">
        <f t="shared" ca="1" si="1022"/>
        <v>123.11371636817441</v>
      </c>
      <c r="M993">
        <f t="shared" ref="M993:P993" ca="1" si="1052">L993*EXP(($C$4-0.5*$C$5^2)*$C$10+$C$5*SQRT($C$10)*NORMINV(RAND(),0,1))</f>
        <v>111.77867173832104</v>
      </c>
      <c r="N993">
        <f t="shared" ca="1" si="1052"/>
        <v>108.12688707391106</v>
      </c>
      <c r="O993">
        <f t="shared" ca="1" si="1052"/>
        <v>95.555079120151802</v>
      </c>
      <c r="P993">
        <f t="shared" ca="1" si="1052"/>
        <v>98.750415170969717</v>
      </c>
      <c r="Q993">
        <f t="shared" ca="1" si="1024"/>
        <v>110.0881205627215</v>
      </c>
      <c r="R993">
        <f t="shared" ca="1" si="1025"/>
        <v>10.0881205627215</v>
      </c>
      <c r="S993">
        <f t="shared" ca="1" si="1026"/>
        <v>9.5961171171713922</v>
      </c>
    </row>
    <row r="994" spans="5:19" x14ac:dyDescent="0.75">
      <c r="E994">
        <v>989</v>
      </c>
      <c r="F994">
        <v>100</v>
      </c>
      <c r="G994">
        <f t="shared" ca="1" si="1022"/>
        <v>105.22387452481905</v>
      </c>
      <c r="H994">
        <f t="shared" ca="1" si="1022"/>
        <v>107.71205304416902</v>
      </c>
      <c r="I994">
        <f t="shared" ca="1" si="1022"/>
        <v>126.86125139701286</v>
      </c>
      <c r="J994">
        <f t="shared" ca="1" si="1022"/>
        <v>128.07910144500258</v>
      </c>
      <c r="K994">
        <f t="shared" ca="1" si="1022"/>
        <v>127.46172293446517</v>
      </c>
      <c r="L994">
        <f t="shared" ca="1" si="1022"/>
        <v>116.7331490003576</v>
      </c>
      <c r="M994">
        <f t="shared" ref="M994:P994" ca="1" si="1053">L994*EXP(($C$4-0.5*$C$5^2)*$C$10+$C$5*SQRT($C$10)*NORMINV(RAND(),0,1))</f>
        <v>116.01441449877341</v>
      </c>
      <c r="N994">
        <f t="shared" ca="1" si="1053"/>
        <v>103.46533770472422</v>
      </c>
      <c r="O994">
        <f t="shared" ca="1" si="1053"/>
        <v>115.06373600982677</v>
      </c>
      <c r="P994">
        <f t="shared" ca="1" si="1053"/>
        <v>120.44081296767831</v>
      </c>
      <c r="Q994">
        <f t="shared" ca="1" si="1024"/>
        <v>115.18685941152989</v>
      </c>
      <c r="R994">
        <f t="shared" ca="1" si="1025"/>
        <v>15.186859411529895</v>
      </c>
      <c r="S994">
        <f t="shared" ca="1" si="1026"/>
        <v>14.446187538002834</v>
      </c>
    </row>
    <row r="995" spans="5:19" x14ac:dyDescent="0.75">
      <c r="E995">
        <v>990</v>
      </c>
      <c r="F995">
        <v>100</v>
      </c>
      <c r="G995">
        <f t="shared" ca="1" si="1022"/>
        <v>97.869494658795546</v>
      </c>
      <c r="H995">
        <f t="shared" ca="1" si="1022"/>
        <v>100.30368341386247</v>
      </c>
      <c r="I995">
        <f t="shared" ca="1" si="1022"/>
        <v>97.567827609742395</v>
      </c>
      <c r="J995">
        <f t="shared" ca="1" si="1022"/>
        <v>105.882665933572</v>
      </c>
      <c r="K995">
        <f t="shared" ca="1" si="1022"/>
        <v>109.97329013453451</v>
      </c>
      <c r="L995">
        <f t="shared" ca="1" si="1022"/>
        <v>116.58621025721446</v>
      </c>
      <c r="M995">
        <f t="shared" ref="M995:P995" ca="1" si="1054">L995*EXP(($C$4-0.5*$C$5^2)*$C$10+$C$5*SQRT($C$10)*NORMINV(RAND(),0,1))</f>
        <v>124.84043683068302</v>
      </c>
      <c r="N995">
        <f t="shared" ca="1" si="1054"/>
        <v>113.267744853916</v>
      </c>
      <c r="O995">
        <f t="shared" ca="1" si="1054"/>
        <v>110.9092022682007</v>
      </c>
      <c r="P995">
        <f t="shared" ca="1" si="1054"/>
        <v>105.16128264668056</v>
      </c>
      <c r="Q995">
        <f t="shared" ca="1" si="1024"/>
        <v>107.48743987338197</v>
      </c>
      <c r="R995">
        <f t="shared" ca="1" si="1025"/>
        <v>7.4874398733819731</v>
      </c>
      <c r="S995">
        <f t="shared" ca="1" si="1026"/>
        <v>7.1222731217408333</v>
      </c>
    </row>
    <row r="996" spans="5:19" x14ac:dyDescent="0.75">
      <c r="E996">
        <v>991</v>
      </c>
      <c r="F996">
        <v>100</v>
      </c>
      <c r="G996">
        <f t="shared" ca="1" si="1022"/>
        <v>111.51503717058517</v>
      </c>
      <c r="H996">
        <f t="shared" ca="1" si="1022"/>
        <v>119.84826254204147</v>
      </c>
      <c r="I996">
        <f t="shared" ca="1" si="1022"/>
        <v>113.42961330863989</v>
      </c>
      <c r="J996">
        <f t="shared" ca="1" si="1022"/>
        <v>112.60081971681718</v>
      </c>
      <c r="K996">
        <f t="shared" ca="1" si="1022"/>
        <v>111.19956807308067</v>
      </c>
      <c r="L996">
        <f t="shared" ca="1" si="1022"/>
        <v>105.7624012246953</v>
      </c>
      <c r="M996">
        <f t="shared" ref="M996:P996" ca="1" si="1055">L996*EXP(($C$4-0.5*$C$5^2)*$C$10+$C$5*SQRT($C$10)*NORMINV(RAND(),0,1))</f>
        <v>104.02429517168218</v>
      </c>
      <c r="N996">
        <f t="shared" ca="1" si="1055"/>
        <v>110.45289902559527</v>
      </c>
      <c r="O996">
        <f t="shared" ca="1" si="1055"/>
        <v>113.07859546737373</v>
      </c>
      <c r="P996">
        <f t="shared" ca="1" si="1055"/>
        <v>126.12160866348339</v>
      </c>
      <c r="Q996">
        <f t="shared" ca="1" si="1024"/>
        <v>111.63937276036312</v>
      </c>
      <c r="R996">
        <f t="shared" ca="1" si="1025"/>
        <v>11.639372760363116</v>
      </c>
      <c r="S996">
        <f t="shared" ca="1" si="1026"/>
        <v>11.071713852389495</v>
      </c>
    </row>
    <row r="997" spans="5:19" x14ac:dyDescent="0.75">
      <c r="E997">
        <v>992</v>
      </c>
      <c r="F997">
        <v>100</v>
      </c>
      <c r="G997">
        <f t="shared" ca="1" si="1022"/>
        <v>107.21637998639288</v>
      </c>
      <c r="H997">
        <f t="shared" ca="1" si="1022"/>
        <v>104.68750045276896</v>
      </c>
      <c r="I997">
        <f t="shared" ca="1" si="1022"/>
        <v>106.0821754805888</v>
      </c>
      <c r="J997">
        <f t="shared" ca="1" si="1022"/>
        <v>100.76784805636431</v>
      </c>
      <c r="K997">
        <f t="shared" ca="1" si="1022"/>
        <v>96.318270320033037</v>
      </c>
      <c r="L997">
        <f t="shared" ca="1" si="1022"/>
        <v>105.58881524931644</v>
      </c>
      <c r="M997">
        <f t="shared" ref="M997:P997" ca="1" si="1056">L997*EXP(($C$4-0.5*$C$5^2)*$C$10+$C$5*SQRT($C$10)*NORMINV(RAND(),0,1))</f>
        <v>109.87755533456419</v>
      </c>
      <c r="N997">
        <f t="shared" ca="1" si="1056"/>
        <v>105.4708656749406</v>
      </c>
      <c r="O997">
        <f t="shared" ca="1" si="1056"/>
        <v>110.90236283841546</v>
      </c>
      <c r="P997">
        <f t="shared" ca="1" si="1056"/>
        <v>113.5387590649427</v>
      </c>
      <c r="Q997">
        <f t="shared" ca="1" si="1024"/>
        <v>105.49550295075704</v>
      </c>
      <c r="R997">
        <f t="shared" ca="1" si="1025"/>
        <v>5.495502950757043</v>
      </c>
      <c r="S997">
        <f t="shared" ca="1" si="1026"/>
        <v>5.2274841091905975</v>
      </c>
    </row>
    <row r="998" spans="5:19" x14ac:dyDescent="0.75">
      <c r="E998">
        <v>993</v>
      </c>
      <c r="F998">
        <v>100</v>
      </c>
      <c r="G998">
        <f t="shared" ca="1" si="1022"/>
        <v>99.833824536627262</v>
      </c>
      <c r="H998">
        <f t="shared" ca="1" si="1022"/>
        <v>99.858046138667873</v>
      </c>
      <c r="I998">
        <f t="shared" ca="1" si="1022"/>
        <v>89.372783098416804</v>
      </c>
      <c r="J998">
        <f t="shared" ca="1" si="1022"/>
        <v>93.020741500478337</v>
      </c>
      <c r="K998">
        <f t="shared" ca="1" si="1022"/>
        <v>98.020675261546273</v>
      </c>
      <c r="L998">
        <f t="shared" ca="1" si="1022"/>
        <v>107.63555485260797</v>
      </c>
      <c r="M998">
        <f t="shared" ref="M998:P998" ca="1" si="1057">L998*EXP(($C$4-0.5*$C$5^2)*$C$10+$C$5*SQRT($C$10)*NORMINV(RAND(),0,1))</f>
        <v>109.64512737438848</v>
      </c>
      <c r="N998">
        <f t="shared" ca="1" si="1057"/>
        <v>111.0366975714079</v>
      </c>
      <c r="O998">
        <f t="shared" ca="1" si="1057"/>
        <v>110.94030302176516</v>
      </c>
      <c r="P998">
        <f t="shared" ca="1" si="1057"/>
        <v>114.79197293528753</v>
      </c>
      <c r="Q998">
        <f t="shared" ca="1" si="1024"/>
        <v>103.10506602647214</v>
      </c>
      <c r="R998">
        <f t="shared" ca="1" si="1025"/>
        <v>3.1050660264721444</v>
      </c>
      <c r="S998">
        <f t="shared" ca="1" si="1026"/>
        <v>2.9536301693978166</v>
      </c>
    </row>
    <row r="999" spans="5:19" x14ac:dyDescent="0.75">
      <c r="E999">
        <v>994</v>
      </c>
      <c r="F999">
        <v>100</v>
      </c>
      <c r="G999">
        <f t="shared" ca="1" si="1022"/>
        <v>110.93388933896786</v>
      </c>
      <c r="H999">
        <f t="shared" ca="1" si="1022"/>
        <v>104.18622651271899</v>
      </c>
      <c r="I999">
        <f t="shared" ca="1" si="1022"/>
        <v>103.15222268144281</v>
      </c>
      <c r="J999">
        <f t="shared" ca="1" si="1022"/>
        <v>106.15316666581052</v>
      </c>
      <c r="K999">
        <f t="shared" ca="1" si="1022"/>
        <v>105.26834054622161</v>
      </c>
      <c r="L999">
        <f t="shared" ca="1" si="1022"/>
        <v>108.77625204054851</v>
      </c>
      <c r="M999">
        <f t="shared" ref="M999:P999" ca="1" si="1058">L999*EXP(($C$4-0.5*$C$5^2)*$C$10+$C$5*SQRT($C$10)*NORMINV(RAND(),0,1))</f>
        <v>121.81552991357104</v>
      </c>
      <c r="N999">
        <f t="shared" ca="1" si="1058"/>
        <v>128.81795102539257</v>
      </c>
      <c r="O999">
        <f t="shared" ca="1" si="1058"/>
        <v>143.84606826620097</v>
      </c>
      <c r="P999">
        <f t="shared" ca="1" si="1058"/>
        <v>130.47768699646753</v>
      </c>
      <c r="Q999">
        <f t="shared" ca="1" si="1024"/>
        <v>114.85703036248569</v>
      </c>
      <c r="R999">
        <f t="shared" ca="1" si="1025"/>
        <v>14.857030362485688</v>
      </c>
      <c r="S999">
        <f t="shared" ca="1" si="1026"/>
        <v>14.132444441496895</v>
      </c>
    </row>
    <row r="1000" spans="5:19" x14ac:dyDescent="0.75">
      <c r="E1000">
        <v>995</v>
      </c>
      <c r="F1000">
        <v>100</v>
      </c>
      <c r="G1000">
        <f t="shared" ca="1" si="1022"/>
        <v>97.663756420220579</v>
      </c>
      <c r="H1000">
        <f t="shared" ca="1" si="1022"/>
        <v>101.49291100501198</v>
      </c>
      <c r="I1000">
        <f t="shared" ca="1" si="1022"/>
        <v>92.600194020586443</v>
      </c>
      <c r="J1000">
        <f t="shared" ca="1" si="1022"/>
        <v>88.148424775439082</v>
      </c>
      <c r="K1000">
        <f t="shared" ca="1" si="1022"/>
        <v>80.966505541067093</v>
      </c>
      <c r="L1000">
        <f t="shared" ca="1" si="1022"/>
        <v>77.569416048367387</v>
      </c>
      <c r="M1000">
        <f t="shared" ref="M1000:P1000" ca="1" si="1059">L1000*EXP(($C$4-0.5*$C$5^2)*$C$10+$C$5*SQRT($C$10)*NORMINV(RAND(),0,1))</f>
        <v>75.011104696905591</v>
      </c>
      <c r="N1000">
        <f t="shared" ca="1" si="1059"/>
        <v>80.728242405954973</v>
      </c>
      <c r="O1000">
        <f t="shared" ca="1" si="1059"/>
        <v>94.258420635326516</v>
      </c>
      <c r="P1000">
        <f t="shared" ca="1" si="1059"/>
        <v>95.163016159032296</v>
      </c>
      <c r="Q1000">
        <f t="shared" ca="1" si="1024"/>
        <v>89.418362882537451</v>
      </c>
      <c r="R1000">
        <f t="shared" ca="1" si="1025"/>
        <v>0</v>
      </c>
      <c r="S1000">
        <f t="shared" ca="1" si="1026"/>
        <v>0</v>
      </c>
    </row>
    <row r="1001" spans="5:19" x14ac:dyDescent="0.75">
      <c r="E1001">
        <v>996</v>
      </c>
      <c r="F1001">
        <v>100</v>
      </c>
      <c r="G1001">
        <f t="shared" ca="1" si="1022"/>
        <v>91.259676712326993</v>
      </c>
      <c r="H1001">
        <f t="shared" ca="1" si="1022"/>
        <v>84.508134424835276</v>
      </c>
      <c r="I1001">
        <f t="shared" ca="1" si="1022"/>
        <v>82.199347781607841</v>
      </c>
      <c r="J1001">
        <f t="shared" ca="1" si="1022"/>
        <v>78.589848346625445</v>
      </c>
      <c r="K1001">
        <f t="shared" ca="1" si="1022"/>
        <v>79.09455604157408</v>
      </c>
      <c r="L1001">
        <f t="shared" ca="1" si="1022"/>
        <v>84.433867060941239</v>
      </c>
      <c r="M1001">
        <f t="shared" ref="M1001:P1001" ca="1" si="1060">L1001*EXP(($C$4-0.5*$C$5^2)*$C$10+$C$5*SQRT($C$10)*NORMINV(RAND(),0,1))</f>
        <v>80.128767563988873</v>
      </c>
      <c r="N1001">
        <f t="shared" ca="1" si="1060"/>
        <v>83.780729987329906</v>
      </c>
      <c r="O1001">
        <f t="shared" ca="1" si="1060"/>
        <v>87.759662951191814</v>
      </c>
      <c r="P1001">
        <f t="shared" ca="1" si="1060"/>
        <v>77.226045317495362</v>
      </c>
      <c r="Q1001">
        <f t="shared" ca="1" si="1024"/>
        <v>84.45278510799244</v>
      </c>
      <c r="R1001">
        <f t="shared" ca="1" si="1025"/>
        <v>0</v>
      </c>
      <c r="S1001">
        <f t="shared" ca="1" si="1026"/>
        <v>0</v>
      </c>
    </row>
    <row r="1002" spans="5:19" x14ac:dyDescent="0.75">
      <c r="E1002">
        <v>997</v>
      </c>
      <c r="F1002">
        <v>100</v>
      </c>
      <c r="G1002">
        <f t="shared" ca="1" si="1022"/>
        <v>96.684997227005013</v>
      </c>
      <c r="H1002">
        <f t="shared" ca="1" si="1022"/>
        <v>91.444364557540766</v>
      </c>
      <c r="I1002">
        <f t="shared" ca="1" si="1022"/>
        <v>89.581399564254255</v>
      </c>
      <c r="J1002">
        <f t="shared" ca="1" si="1022"/>
        <v>84.368452232162284</v>
      </c>
      <c r="K1002">
        <f t="shared" ca="1" si="1022"/>
        <v>84.966683474165848</v>
      </c>
      <c r="L1002">
        <f t="shared" ca="1" si="1022"/>
        <v>85.254523802008478</v>
      </c>
      <c r="M1002">
        <f t="shared" ref="M1002:P1002" ca="1" si="1061">L1002*EXP(($C$4-0.5*$C$5^2)*$C$10+$C$5*SQRT($C$10)*NORMINV(RAND(),0,1))</f>
        <v>91.060360243681757</v>
      </c>
      <c r="N1002">
        <f t="shared" ca="1" si="1061"/>
        <v>90.321482847801448</v>
      </c>
      <c r="O1002">
        <f t="shared" ca="1" si="1061"/>
        <v>86.629725209533078</v>
      </c>
      <c r="P1002">
        <f t="shared" ca="1" si="1061"/>
        <v>82.964024856048553</v>
      </c>
      <c r="Q1002">
        <f t="shared" ca="1" si="1024"/>
        <v>89.388728546745583</v>
      </c>
      <c r="R1002">
        <f t="shared" ca="1" si="1025"/>
        <v>0</v>
      </c>
      <c r="S1002">
        <f t="shared" ca="1" si="1026"/>
        <v>0</v>
      </c>
    </row>
    <row r="1003" spans="5:19" x14ac:dyDescent="0.75">
      <c r="E1003">
        <v>998</v>
      </c>
      <c r="F1003">
        <v>100</v>
      </c>
      <c r="G1003">
        <f t="shared" ca="1" si="1022"/>
        <v>97.303894946683698</v>
      </c>
      <c r="H1003">
        <f t="shared" ca="1" si="1022"/>
        <v>94.861240110045856</v>
      </c>
      <c r="I1003">
        <f t="shared" ca="1" si="1022"/>
        <v>92.56822688606492</v>
      </c>
      <c r="J1003">
        <f t="shared" ca="1" si="1022"/>
        <v>90.842046059674303</v>
      </c>
      <c r="K1003">
        <f t="shared" ca="1" si="1022"/>
        <v>90.419116736281069</v>
      </c>
      <c r="L1003">
        <f t="shared" ca="1" si="1022"/>
        <v>91.619072978972071</v>
      </c>
      <c r="M1003">
        <f t="shared" ref="M1003:P1003" ca="1" si="1062">L1003*EXP(($C$4-0.5*$C$5^2)*$C$10+$C$5*SQRT($C$10)*NORMINV(RAND(),0,1))</f>
        <v>93.633948007154203</v>
      </c>
      <c r="N1003">
        <f t="shared" ca="1" si="1062"/>
        <v>88.754728933281683</v>
      </c>
      <c r="O1003">
        <f t="shared" ca="1" si="1062"/>
        <v>89.969492613454619</v>
      </c>
      <c r="P1003">
        <f t="shared" ca="1" si="1062"/>
        <v>83.881193081408981</v>
      </c>
      <c r="Q1003">
        <f t="shared" ca="1" si="1024"/>
        <v>92.168450941183764</v>
      </c>
      <c r="R1003">
        <f t="shared" ca="1" si="1025"/>
        <v>0</v>
      </c>
      <c r="S1003">
        <f t="shared" ca="1" si="1026"/>
        <v>0</v>
      </c>
    </row>
    <row r="1004" spans="5:19" x14ac:dyDescent="0.75">
      <c r="E1004">
        <v>999</v>
      </c>
      <c r="F1004">
        <v>100</v>
      </c>
      <c r="G1004">
        <f t="shared" ca="1" si="1022"/>
        <v>96.871351520526034</v>
      </c>
      <c r="H1004">
        <f t="shared" ca="1" si="1022"/>
        <v>98.19093172644051</v>
      </c>
      <c r="I1004">
        <f t="shared" ca="1" si="1022"/>
        <v>98.191126920494284</v>
      </c>
      <c r="J1004">
        <f t="shared" ca="1" si="1022"/>
        <v>103.15495115483129</v>
      </c>
      <c r="K1004">
        <f t="shared" ca="1" si="1022"/>
        <v>105.84789285906513</v>
      </c>
      <c r="L1004">
        <f t="shared" ca="1" si="1022"/>
        <v>114.63762781278103</v>
      </c>
      <c r="M1004">
        <f t="shared" ref="M1004:P1004" ca="1" si="1063">L1004*EXP(($C$4-0.5*$C$5^2)*$C$10+$C$5*SQRT($C$10)*NORMINV(RAND(),0,1))</f>
        <v>107.66400894618528</v>
      </c>
      <c r="N1004">
        <f t="shared" ca="1" si="1063"/>
        <v>99.232633057069833</v>
      </c>
      <c r="O1004">
        <f t="shared" ca="1" si="1063"/>
        <v>95.346268511338536</v>
      </c>
      <c r="P1004">
        <f t="shared" ca="1" si="1063"/>
        <v>106.73008617308439</v>
      </c>
      <c r="Q1004">
        <f t="shared" ca="1" si="1024"/>
        <v>102.35153442561968</v>
      </c>
      <c r="R1004">
        <f t="shared" ca="1" si="1025"/>
        <v>2.3515344256196755</v>
      </c>
      <c r="S1004">
        <f t="shared" ca="1" si="1026"/>
        <v>2.2368487383758211</v>
      </c>
    </row>
    <row r="1005" spans="5:19" x14ac:dyDescent="0.75">
      <c r="E1005">
        <v>1000</v>
      </c>
      <c r="F1005">
        <v>100</v>
      </c>
      <c r="G1005">
        <f t="shared" ca="1" si="1022"/>
        <v>99.315876093648754</v>
      </c>
      <c r="H1005">
        <f t="shared" ca="1" si="1022"/>
        <v>98.281235391890149</v>
      </c>
      <c r="I1005">
        <f t="shared" ca="1" si="1022"/>
        <v>100.35168378598193</v>
      </c>
      <c r="J1005">
        <f t="shared" ca="1" si="1022"/>
        <v>99.819168157044146</v>
      </c>
      <c r="K1005">
        <f t="shared" ca="1" si="1022"/>
        <v>101.5173067164135</v>
      </c>
      <c r="L1005">
        <f t="shared" ca="1" si="1022"/>
        <v>104.59823877333277</v>
      </c>
      <c r="M1005">
        <f t="shared" ref="M1005:P1005" ca="1" si="1064">L1005*EXP(($C$4-0.5*$C$5^2)*$C$10+$C$5*SQRT($C$10)*NORMINV(RAND(),0,1))</f>
        <v>114.33464421603171</v>
      </c>
      <c r="N1005">
        <f t="shared" ca="1" si="1064"/>
        <v>107.72572656177856</v>
      </c>
      <c r="O1005">
        <f t="shared" ca="1" si="1064"/>
        <v>95.924049727446771</v>
      </c>
      <c r="P1005">
        <f t="shared" ca="1" si="1064"/>
        <v>93.672890107085721</v>
      </c>
      <c r="Q1005">
        <f t="shared" ca="1" si="1024"/>
        <v>101.41280177551401</v>
      </c>
      <c r="R1005">
        <f t="shared" ca="1" si="1025"/>
        <v>1.4128017755140121</v>
      </c>
      <c r="S1005">
        <f t="shared" ca="1" si="1026"/>
        <v>1.3438986198557807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65EA-66CE-40EF-8DBB-12437B9B2054}">
  <dimension ref="A4:V1005"/>
  <sheetViews>
    <sheetView topLeftCell="H4" workbookViewId="0">
      <selection activeCell="V7" sqref="V7"/>
    </sheetView>
  </sheetViews>
  <sheetFormatPr baseColWidth="10" defaultRowHeight="14.75" x14ac:dyDescent="0.75"/>
  <sheetData>
    <row r="4" spans="1:22" x14ac:dyDescent="0.75">
      <c r="A4" t="s">
        <v>28</v>
      </c>
    </row>
    <row r="5" spans="1:22" x14ac:dyDescent="0.75">
      <c r="B5" t="s">
        <v>0</v>
      </c>
      <c r="C5">
        <v>100</v>
      </c>
      <c r="E5" t="s">
        <v>20</v>
      </c>
      <c r="F5">
        <v>0</v>
      </c>
      <c r="G5">
        <f>F5+$C$12</f>
        <v>0.05</v>
      </c>
      <c r="H5">
        <f t="shared" ref="H5:P5" si="0">G5+$C$12</f>
        <v>0.1</v>
      </c>
      <c r="I5">
        <f t="shared" si="0"/>
        <v>0.15000000000000002</v>
      </c>
      <c r="J5">
        <f t="shared" si="0"/>
        <v>0.2</v>
      </c>
      <c r="K5">
        <f t="shared" si="0"/>
        <v>0.25</v>
      </c>
      <c r="L5">
        <f t="shared" si="0"/>
        <v>0.3</v>
      </c>
      <c r="M5">
        <f t="shared" si="0"/>
        <v>0.35</v>
      </c>
      <c r="N5">
        <f t="shared" si="0"/>
        <v>0.39999999999999997</v>
      </c>
      <c r="O5">
        <f>N5+$C$12</f>
        <v>0.44999999999999996</v>
      </c>
      <c r="P5">
        <f t="shared" si="0"/>
        <v>0.49999999999999994</v>
      </c>
      <c r="Q5" t="s">
        <v>31</v>
      </c>
      <c r="R5" t="s">
        <v>13</v>
      </c>
      <c r="S5" t="s">
        <v>15</v>
      </c>
    </row>
    <row r="6" spans="1:22" x14ac:dyDescent="0.75">
      <c r="B6" t="s">
        <v>1</v>
      </c>
      <c r="C6">
        <v>0.05</v>
      </c>
      <c r="E6">
        <v>1</v>
      </c>
      <c r="F6">
        <f>$C$5</f>
        <v>100</v>
      </c>
      <c r="G6">
        <f ca="1">F6*EXP(($C$6-0.5*$C$7^2)*$C$12+$C$7*SQRT($C$12)*NORMINV(RAND(),0,1))</f>
        <v>96.554517242656061</v>
      </c>
      <c r="H6">
        <f t="shared" ref="H6:P6" ca="1" si="1">G6*EXP(($C$6-0.5*$C$7^2)*$C$12+$C$7*SQRT($C$12)*NORMINV(RAND(),0,1))</f>
        <v>99.000322365458672</v>
      </c>
      <c r="I6">
        <f t="shared" ca="1" si="1"/>
        <v>104.46277230525659</v>
      </c>
      <c r="J6">
        <f t="shared" ca="1" si="1"/>
        <v>112.6971670255118</v>
      </c>
      <c r="K6">
        <f t="shared" ca="1" si="1"/>
        <v>124.98766598382004</v>
      </c>
      <c r="L6">
        <f t="shared" ca="1" si="1"/>
        <v>126.28734391257679</v>
      </c>
      <c r="M6">
        <f t="shared" ca="1" si="1"/>
        <v>130.42514782215892</v>
      </c>
      <c r="N6">
        <f t="shared" ca="1" si="1"/>
        <v>134.64866716439789</v>
      </c>
      <c r="O6">
        <f t="shared" ca="1" si="1"/>
        <v>149.47513466901518</v>
      </c>
      <c r="P6">
        <f t="shared" ca="1" si="1"/>
        <v>146.48581064072826</v>
      </c>
      <c r="Q6">
        <f ca="1">MAX(G6:P6)</f>
        <v>149.47513466901518</v>
      </c>
      <c r="R6">
        <f ca="1">IF(Q6&gt;=$C$13,0, MAX(P6-$C$9,0))</f>
        <v>0</v>
      </c>
      <c r="S6">
        <f ca="1">EXP(-$C$6*$C$8)*R6</f>
        <v>0</v>
      </c>
    </row>
    <row r="7" spans="1:22" x14ac:dyDescent="0.75">
      <c r="B7" t="s">
        <v>2</v>
      </c>
      <c r="C7">
        <v>0.2</v>
      </c>
      <c r="E7">
        <v>2</v>
      </c>
      <c r="F7">
        <f t="shared" ref="F7:F70" si="2">$C$5</f>
        <v>100</v>
      </c>
      <c r="G7">
        <f t="shared" ref="G7:P70" ca="1" si="3">F7*EXP(($C$6-0.5*$C$7^2)*$C$12+$C$7*SQRT($C$12)*NORMINV(RAND(),0,1))</f>
        <v>104.41819459358108</v>
      </c>
      <c r="H7">
        <f t="shared" ca="1" si="3"/>
        <v>106.40241639780521</v>
      </c>
      <c r="I7">
        <f t="shared" ca="1" si="3"/>
        <v>108.43147670567605</v>
      </c>
      <c r="J7">
        <f t="shared" ca="1" si="3"/>
        <v>109.04766605730005</v>
      </c>
      <c r="K7">
        <f t="shared" ca="1" si="3"/>
        <v>116.21155915472576</v>
      </c>
      <c r="L7">
        <f t="shared" ca="1" si="3"/>
        <v>106.2872259557623</v>
      </c>
      <c r="M7">
        <f t="shared" ca="1" si="3"/>
        <v>105.2818980500972</v>
      </c>
      <c r="N7">
        <f t="shared" ca="1" si="3"/>
        <v>101.80050411249229</v>
      </c>
      <c r="O7">
        <f t="shared" ca="1" si="3"/>
        <v>106.89323400120017</v>
      </c>
      <c r="P7">
        <f t="shared" ca="1" si="3"/>
        <v>109.42618439555943</v>
      </c>
      <c r="Q7">
        <f t="shared" ref="Q7:Q70" ca="1" si="4">MAX(G7:P7)</f>
        <v>116.21155915472576</v>
      </c>
      <c r="R7">
        <f t="shared" ref="R7:R70" ca="1" si="5">IF(Q7&gt;=$C$13,0, MAX(P7-$C$9,0))</f>
        <v>0</v>
      </c>
      <c r="S7">
        <f t="shared" ref="S7:S70" ca="1" si="6">EXP(-$C$6*$C$8)*R7</f>
        <v>0</v>
      </c>
      <c r="U7" t="s">
        <v>32</v>
      </c>
      <c r="V7">
        <f ca="1">AVERAGE(S6:S1005)</f>
        <v>0.35523189203140709</v>
      </c>
    </row>
    <row r="8" spans="1:22" x14ac:dyDescent="0.75">
      <c r="B8" t="s">
        <v>3</v>
      </c>
      <c r="C8">
        <v>0.5</v>
      </c>
      <c r="E8">
        <v>3</v>
      </c>
      <c r="F8">
        <f t="shared" si="2"/>
        <v>100</v>
      </c>
      <c r="G8">
        <f t="shared" ca="1" si="3"/>
        <v>97.790537531726059</v>
      </c>
      <c r="H8">
        <f t="shared" ca="1" si="3"/>
        <v>97.083350826977934</v>
      </c>
      <c r="I8">
        <f t="shared" ca="1" si="3"/>
        <v>91.908540793997716</v>
      </c>
      <c r="J8">
        <f t="shared" ca="1" si="3"/>
        <v>89.906055015935493</v>
      </c>
      <c r="K8">
        <f t="shared" ca="1" si="3"/>
        <v>92.718330694315</v>
      </c>
      <c r="L8">
        <f t="shared" ca="1" si="3"/>
        <v>91.215431431300473</v>
      </c>
      <c r="M8">
        <f t="shared" ca="1" si="3"/>
        <v>91.107488613074651</v>
      </c>
      <c r="N8">
        <f t="shared" ca="1" si="3"/>
        <v>99.772120794211631</v>
      </c>
      <c r="O8">
        <f t="shared" ca="1" si="3"/>
        <v>96.609617210037726</v>
      </c>
      <c r="P8">
        <f t="shared" ca="1" si="3"/>
        <v>100.03030134847783</v>
      </c>
      <c r="Q8">
        <f t="shared" ca="1" si="4"/>
        <v>100.03030134847783</v>
      </c>
      <c r="R8">
        <f t="shared" ca="1" si="5"/>
        <v>0</v>
      </c>
      <c r="S8">
        <f t="shared" ca="1" si="6"/>
        <v>0</v>
      </c>
      <c r="V8" s="1"/>
    </row>
    <row r="9" spans="1:22" x14ac:dyDescent="0.75">
      <c r="B9" t="s">
        <v>4</v>
      </c>
      <c r="C9">
        <v>102</v>
      </c>
      <c r="E9">
        <v>4</v>
      </c>
      <c r="F9">
        <f t="shared" si="2"/>
        <v>100</v>
      </c>
      <c r="G9">
        <f t="shared" ca="1" si="3"/>
        <v>103.57862924295486</v>
      </c>
      <c r="H9">
        <f t="shared" ca="1" si="3"/>
        <v>101.32019733739357</v>
      </c>
      <c r="I9">
        <f t="shared" ca="1" si="3"/>
        <v>93.593578071414086</v>
      </c>
      <c r="J9">
        <f t="shared" ca="1" si="3"/>
        <v>90.952000800101345</v>
      </c>
      <c r="K9">
        <f t="shared" ca="1" si="3"/>
        <v>91.231967512399223</v>
      </c>
      <c r="L9">
        <f t="shared" ca="1" si="3"/>
        <v>95.429872743837507</v>
      </c>
      <c r="M9">
        <f t="shared" ca="1" si="3"/>
        <v>90.728332802187197</v>
      </c>
      <c r="N9">
        <f t="shared" ca="1" si="3"/>
        <v>88.963879953272823</v>
      </c>
      <c r="O9">
        <f ca="1">N9*EXP(($C$6-0.5*$C$7^2)*$C$12+$C$7*SQRT($C$12)*NORMINV(RAND(),0,1))</f>
        <v>92.89504819088279</v>
      </c>
      <c r="P9">
        <f t="shared" ca="1" si="3"/>
        <v>90.331928274403708</v>
      </c>
      <c r="Q9">
        <f t="shared" ca="1" si="4"/>
        <v>103.57862924295486</v>
      </c>
      <c r="R9">
        <f t="shared" ca="1" si="5"/>
        <v>0</v>
      </c>
      <c r="S9">
        <f t="shared" ca="1" si="6"/>
        <v>0</v>
      </c>
    </row>
    <row r="10" spans="1:22" x14ac:dyDescent="0.75">
      <c r="E10">
        <v>5</v>
      </c>
      <c r="F10">
        <f t="shared" si="2"/>
        <v>100</v>
      </c>
      <c r="G10">
        <f t="shared" ca="1" si="3"/>
        <v>102.52635570265353</v>
      </c>
      <c r="H10">
        <f t="shared" ca="1" si="3"/>
        <v>108.78231700631186</v>
      </c>
      <c r="I10">
        <f t="shared" ca="1" si="3"/>
        <v>109.85321631389307</v>
      </c>
      <c r="J10">
        <f t="shared" ca="1" si="3"/>
        <v>116.41603956247761</v>
      </c>
      <c r="K10">
        <f t="shared" ca="1" si="3"/>
        <v>113.15982310920663</v>
      </c>
      <c r="L10">
        <f t="shared" ca="1" si="3"/>
        <v>107.33374290178607</v>
      </c>
      <c r="M10">
        <f t="shared" ca="1" si="3"/>
        <v>113.01713300432102</v>
      </c>
      <c r="N10">
        <f t="shared" ca="1" si="3"/>
        <v>119.52366333425388</v>
      </c>
      <c r="O10">
        <f t="shared" ca="1" si="3"/>
        <v>123.64718446002932</v>
      </c>
      <c r="P10">
        <f t="shared" ca="1" si="3"/>
        <v>128.2834848720608</v>
      </c>
      <c r="Q10">
        <f t="shared" ca="1" si="4"/>
        <v>128.2834848720608</v>
      </c>
      <c r="R10">
        <f t="shared" ca="1" si="5"/>
        <v>0</v>
      </c>
      <c r="S10">
        <f t="shared" ca="1" si="6"/>
        <v>0</v>
      </c>
    </row>
    <row r="11" spans="1:22" x14ac:dyDescent="0.75">
      <c r="E11">
        <v>6</v>
      </c>
      <c r="F11">
        <f t="shared" si="2"/>
        <v>100</v>
      </c>
      <c r="G11">
        <f t="shared" ca="1" si="3"/>
        <v>107.45084765739534</v>
      </c>
      <c r="H11">
        <f t="shared" ca="1" si="3"/>
        <v>114.89734568845846</v>
      </c>
      <c r="I11">
        <f t="shared" ca="1" si="3"/>
        <v>118.46990409681891</v>
      </c>
      <c r="J11">
        <f t="shared" ca="1" si="3"/>
        <v>121.25482005630361</v>
      </c>
      <c r="K11">
        <f t="shared" ca="1" si="3"/>
        <v>121.47083518951688</v>
      </c>
      <c r="L11">
        <f t="shared" ca="1" si="3"/>
        <v>126.53499944980781</v>
      </c>
      <c r="M11">
        <f t="shared" ca="1" si="3"/>
        <v>127.60912741394687</v>
      </c>
      <c r="N11">
        <f t="shared" ca="1" si="3"/>
        <v>131.80954744758151</v>
      </c>
      <c r="O11">
        <f t="shared" ca="1" si="3"/>
        <v>126.63793154564863</v>
      </c>
      <c r="P11">
        <f t="shared" ca="1" si="3"/>
        <v>139.36604507309755</v>
      </c>
      <c r="Q11">
        <f t="shared" ca="1" si="4"/>
        <v>139.36604507309755</v>
      </c>
      <c r="R11">
        <f t="shared" ca="1" si="5"/>
        <v>0</v>
      </c>
      <c r="S11">
        <f t="shared" ca="1" si="6"/>
        <v>0</v>
      </c>
    </row>
    <row r="12" spans="1:22" x14ac:dyDescent="0.75">
      <c r="B12" t="s">
        <v>29</v>
      </c>
      <c r="C12">
        <v>0.05</v>
      </c>
      <c r="E12">
        <v>7</v>
      </c>
      <c r="F12">
        <f t="shared" si="2"/>
        <v>100</v>
      </c>
      <c r="G12">
        <f t="shared" ca="1" si="3"/>
        <v>99.127338506039905</v>
      </c>
      <c r="H12">
        <f t="shared" ca="1" si="3"/>
        <v>105.2476459145134</v>
      </c>
      <c r="I12">
        <f t="shared" ca="1" si="3"/>
        <v>103.02930170261671</v>
      </c>
      <c r="J12">
        <f t="shared" ca="1" si="3"/>
        <v>104.02652210567462</v>
      </c>
      <c r="K12">
        <f t="shared" ca="1" si="3"/>
        <v>104.05614125665494</v>
      </c>
      <c r="L12">
        <f t="shared" ca="1" si="3"/>
        <v>97.206617597634406</v>
      </c>
      <c r="M12">
        <f t="shared" ca="1" si="3"/>
        <v>99.312046576468262</v>
      </c>
      <c r="N12">
        <f t="shared" ca="1" si="3"/>
        <v>96.952481290223147</v>
      </c>
      <c r="O12">
        <f t="shared" ca="1" si="3"/>
        <v>105.5661496072503</v>
      </c>
      <c r="P12">
        <f t="shared" ca="1" si="3"/>
        <v>111.59086275575251</v>
      </c>
      <c r="Q12">
        <f t="shared" ca="1" si="4"/>
        <v>111.59086275575251</v>
      </c>
      <c r="R12">
        <f t="shared" ca="1" si="5"/>
        <v>0</v>
      </c>
      <c r="S12">
        <f t="shared" ca="1" si="6"/>
        <v>0</v>
      </c>
    </row>
    <row r="13" spans="1:22" x14ac:dyDescent="0.75">
      <c r="B13" t="s">
        <v>30</v>
      </c>
      <c r="C13">
        <v>110</v>
      </c>
      <c r="E13">
        <v>8</v>
      </c>
      <c r="F13">
        <f t="shared" si="2"/>
        <v>100</v>
      </c>
      <c r="G13">
        <f t="shared" ca="1" si="3"/>
        <v>96.198084354136341</v>
      </c>
      <c r="H13">
        <f t="shared" ca="1" si="3"/>
        <v>101.98010468563773</v>
      </c>
      <c r="I13">
        <f t="shared" ca="1" si="3"/>
        <v>98.977311030193817</v>
      </c>
      <c r="J13">
        <f t="shared" ca="1" si="3"/>
        <v>108.60502255982577</v>
      </c>
      <c r="K13">
        <f t="shared" ca="1" si="3"/>
        <v>108.61265886592059</v>
      </c>
      <c r="L13">
        <f t="shared" ca="1" si="3"/>
        <v>100.67336405149885</v>
      </c>
      <c r="M13">
        <f t="shared" ca="1" si="3"/>
        <v>102.33388135407689</v>
      </c>
      <c r="N13">
        <f t="shared" ca="1" si="3"/>
        <v>103.71148047245504</v>
      </c>
      <c r="O13">
        <f t="shared" ca="1" si="3"/>
        <v>106.31105006701964</v>
      </c>
      <c r="P13">
        <f t="shared" ca="1" si="3"/>
        <v>109.48414731045607</v>
      </c>
      <c r="Q13">
        <f t="shared" ca="1" si="4"/>
        <v>109.48414731045607</v>
      </c>
      <c r="R13">
        <f t="shared" ca="1" si="5"/>
        <v>7.4841473104560663</v>
      </c>
      <c r="S13">
        <f t="shared" ca="1" si="6"/>
        <v>7.299363054967988</v>
      </c>
    </row>
    <row r="14" spans="1:22" x14ac:dyDescent="0.75">
      <c r="E14">
        <v>9</v>
      </c>
      <c r="F14">
        <f t="shared" si="2"/>
        <v>100</v>
      </c>
      <c r="G14">
        <f t="shared" ca="1" si="3"/>
        <v>102.10046837718967</v>
      </c>
      <c r="H14">
        <f t="shared" ca="1" si="3"/>
        <v>100.40800177096845</v>
      </c>
      <c r="I14">
        <f t="shared" ca="1" si="3"/>
        <v>100.54504665917604</v>
      </c>
      <c r="J14">
        <f t="shared" ca="1" si="3"/>
        <v>94.095094542358254</v>
      </c>
      <c r="K14">
        <f t="shared" ca="1" si="3"/>
        <v>94.837722452001231</v>
      </c>
      <c r="L14">
        <f t="shared" ca="1" si="3"/>
        <v>93.554185664897489</v>
      </c>
      <c r="M14">
        <f t="shared" ca="1" si="3"/>
        <v>87.993296959129708</v>
      </c>
      <c r="N14">
        <f t="shared" ca="1" si="3"/>
        <v>90.750049210754099</v>
      </c>
      <c r="O14">
        <f t="shared" ca="1" si="3"/>
        <v>83.62364192817185</v>
      </c>
      <c r="P14">
        <f t="shared" ca="1" si="3"/>
        <v>81.219766659628007</v>
      </c>
      <c r="Q14">
        <f t="shared" ca="1" si="4"/>
        <v>102.10046837718967</v>
      </c>
      <c r="R14">
        <f t="shared" ca="1" si="5"/>
        <v>0</v>
      </c>
      <c r="S14">
        <f t="shared" ca="1" si="6"/>
        <v>0</v>
      </c>
    </row>
    <row r="15" spans="1:22" x14ac:dyDescent="0.75">
      <c r="E15">
        <v>10</v>
      </c>
      <c r="F15">
        <f t="shared" si="2"/>
        <v>100</v>
      </c>
      <c r="G15">
        <f t="shared" ca="1" si="3"/>
        <v>93.520238202540213</v>
      </c>
      <c r="H15">
        <f t="shared" ca="1" si="3"/>
        <v>91.30629170109232</v>
      </c>
      <c r="I15">
        <f t="shared" ca="1" si="3"/>
        <v>84.396620282934506</v>
      </c>
      <c r="J15">
        <f t="shared" ca="1" si="3"/>
        <v>84.603779783618407</v>
      </c>
      <c r="K15">
        <f t="shared" ca="1" si="3"/>
        <v>88.246352125246503</v>
      </c>
      <c r="L15">
        <f t="shared" ca="1" si="3"/>
        <v>91.798894243170423</v>
      </c>
      <c r="M15">
        <f t="shared" ca="1" si="3"/>
        <v>85.023430876632247</v>
      </c>
      <c r="N15">
        <f t="shared" ca="1" si="3"/>
        <v>80.176841175660115</v>
      </c>
      <c r="O15">
        <f t="shared" ca="1" si="3"/>
        <v>81.156996715415829</v>
      </c>
      <c r="P15">
        <f t="shared" ca="1" si="3"/>
        <v>77.768095527401698</v>
      </c>
      <c r="Q15">
        <f t="shared" ca="1" si="4"/>
        <v>93.520238202540213</v>
      </c>
      <c r="R15">
        <f t="shared" ca="1" si="5"/>
        <v>0</v>
      </c>
      <c r="S15">
        <f t="shared" ca="1" si="6"/>
        <v>0</v>
      </c>
    </row>
    <row r="16" spans="1:22" x14ac:dyDescent="0.75">
      <c r="E16">
        <v>11</v>
      </c>
      <c r="F16">
        <f t="shared" si="2"/>
        <v>100</v>
      </c>
      <c r="G16">
        <f t="shared" ca="1" si="3"/>
        <v>101.05419173055385</v>
      </c>
      <c r="H16">
        <f t="shared" ca="1" si="3"/>
        <v>97.519883613764435</v>
      </c>
      <c r="I16">
        <f t="shared" ca="1" si="3"/>
        <v>96.052355465624998</v>
      </c>
      <c r="J16">
        <f t="shared" ref="J16:P16" ca="1" si="7">I16*EXP(($C$6-0.5*$C$7^2)*$C$12+$C$7*SQRT($C$12)*NORMINV(RAND(),0,1))</f>
        <v>103.08300414695188</v>
      </c>
      <c r="K16">
        <f t="shared" ca="1" si="7"/>
        <v>94.757636823382896</v>
      </c>
      <c r="L16">
        <f t="shared" ca="1" si="7"/>
        <v>95.78299611377571</v>
      </c>
      <c r="M16">
        <f t="shared" ca="1" si="7"/>
        <v>89.669964512634593</v>
      </c>
      <c r="N16">
        <f t="shared" ca="1" si="7"/>
        <v>88.342173830826979</v>
      </c>
      <c r="O16">
        <f t="shared" ca="1" si="7"/>
        <v>84.279085446149111</v>
      </c>
      <c r="P16">
        <f t="shared" ca="1" si="7"/>
        <v>89.457143699638905</v>
      </c>
      <c r="Q16">
        <f t="shared" ca="1" si="4"/>
        <v>103.08300414695188</v>
      </c>
      <c r="R16">
        <f t="shared" ca="1" si="5"/>
        <v>0</v>
      </c>
      <c r="S16">
        <f t="shared" ca="1" si="6"/>
        <v>0</v>
      </c>
    </row>
    <row r="17" spans="5:19" x14ac:dyDescent="0.75">
      <c r="E17">
        <v>12</v>
      </c>
      <c r="F17">
        <f t="shared" si="2"/>
        <v>100</v>
      </c>
      <c r="G17">
        <f t="shared" ca="1" si="3"/>
        <v>91.449750807399184</v>
      </c>
      <c r="H17">
        <f t="shared" ca="1" si="3"/>
        <v>94.145897462013593</v>
      </c>
      <c r="I17">
        <f t="shared" ca="1" si="3"/>
        <v>100.11704308105949</v>
      </c>
      <c r="J17">
        <f t="shared" ref="J17:P17" ca="1" si="8">I17*EXP(($C$6-0.5*$C$7^2)*$C$12+$C$7*SQRT($C$12)*NORMINV(RAND(),0,1))</f>
        <v>96.387486071407977</v>
      </c>
      <c r="K17">
        <f t="shared" ca="1" si="8"/>
        <v>99.114308839436916</v>
      </c>
      <c r="L17">
        <f t="shared" ca="1" si="8"/>
        <v>104.01098482034007</v>
      </c>
      <c r="M17">
        <f t="shared" ca="1" si="8"/>
        <v>109.97374862333498</v>
      </c>
      <c r="N17">
        <f t="shared" ca="1" si="8"/>
        <v>113.32216980738801</v>
      </c>
      <c r="O17">
        <f t="shared" ca="1" si="8"/>
        <v>106.96052225490547</v>
      </c>
      <c r="P17">
        <f t="shared" ca="1" si="8"/>
        <v>111.98964719625349</v>
      </c>
      <c r="Q17">
        <f t="shared" ca="1" si="4"/>
        <v>113.32216980738801</v>
      </c>
      <c r="R17">
        <f t="shared" ca="1" si="5"/>
        <v>0</v>
      </c>
      <c r="S17">
        <f t="shared" ca="1" si="6"/>
        <v>0</v>
      </c>
    </row>
    <row r="18" spans="5:19" x14ac:dyDescent="0.75">
      <c r="E18">
        <v>13</v>
      </c>
      <c r="F18">
        <f t="shared" si="2"/>
        <v>100</v>
      </c>
      <c r="G18">
        <f t="shared" ca="1" si="3"/>
        <v>102.48861537831129</v>
      </c>
      <c r="H18">
        <f t="shared" ca="1" si="3"/>
        <v>99.514485971632254</v>
      </c>
      <c r="I18">
        <f t="shared" ca="1" si="3"/>
        <v>92.423761707184397</v>
      </c>
      <c r="J18">
        <f t="shared" ref="J18:P18" ca="1" si="9">I18*EXP(($C$6-0.5*$C$7^2)*$C$12+$C$7*SQRT($C$12)*NORMINV(RAND(),0,1))</f>
        <v>92.835576701388121</v>
      </c>
      <c r="K18">
        <f t="shared" ca="1" si="9"/>
        <v>97.437340994732395</v>
      </c>
      <c r="L18">
        <f t="shared" ca="1" si="9"/>
        <v>100.1527054516081</v>
      </c>
      <c r="M18">
        <f t="shared" ca="1" si="9"/>
        <v>97.865067840513404</v>
      </c>
      <c r="N18">
        <f t="shared" ca="1" si="9"/>
        <v>91.918209117616996</v>
      </c>
      <c r="O18">
        <f t="shared" ca="1" si="9"/>
        <v>96.373877401105659</v>
      </c>
      <c r="P18">
        <f t="shared" ca="1" si="9"/>
        <v>102.02678820135843</v>
      </c>
      <c r="Q18">
        <f t="shared" ca="1" si="4"/>
        <v>102.48861537831129</v>
      </c>
      <c r="R18">
        <f t="shared" ca="1" si="5"/>
        <v>2.678820135842841E-2</v>
      </c>
      <c r="S18">
        <f t="shared" ca="1" si="6"/>
        <v>2.6126798310286071E-2</v>
      </c>
    </row>
    <row r="19" spans="5:19" x14ac:dyDescent="0.75">
      <c r="E19">
        <v>14</v>
      </c>
      <c r="F19">
        <f t="shared" si="2"/>
        <v>100</v>
      </c>
      <c r="G19">
        <f t="shared" ca="1" si="3"/>
        <v>99.636356676970053</v>
      </c>
      <c r="H19">
        <f t="shared" ca="1" si="3"/>
        <v>104.94521100515719</v>
      </c>
      <c r="I19">
        <f t="shared" ca="1" si="3"/>
        <v>103.29007840194966</v>
      </c>
      <c r="J19">
        <f t="shared" ref="J19:P19" ca="1" si="10">I19*EXP(($C$6-0.5*$C$7^2)*$C$12+$C$7*SQRT($C$12)*NORMINV(RAND(),0,1))</f>
        <v>108.84927236789522</v>
      </c>
      <c r="K19">
        <f t="shared" ca="1" si="10"/>
        <v>116.14488652025584</v>
      </c>
      <c r="L19">
        <f t="shared" ca="1" si="10"/>
        <v>115.07390156083903</v>
      </c>
      <c r="M19">
        <f t="shared" ca="1" si="10"/>
        <v>115.75509348638271</v>
      </c>
      <c r="N19">
        <f t="shared" ca="1" si="10"/>
        <v>113.39201580373418</v>
      </c>
      <c r="O19">
        <f t="shared" ca="1" si="10"/>
        <v>116.02838655170234</v>
      </c>
      <c r="P19">
        <f t="shared" ca="1" si="10"/>
        <v>124.36217031747952</v>
      </c>
      <c r="Q19">
        <f t="shared" ca="1" si="4"/>
        <v>124.36217031747952</v>
      </c>
      <c r="R19">
        <f t="shared" ca="1" si="5"/>
        <v>0</v>
      </c>
      <c r="S19">
        <f t="shared" ca="1" si="6"/>
        <v>0</v>
      </c>
    </row>
    <row r="20" spans="5:19" x14ac:dyDescent="0.75">
      <c r="E20">
        <v>15</v>
      </c>
      <c r="F20">
        <f t="shared" si="2"/>
        <v>100</v>
      </c>
      <c r="G20">
        <f t="shared" ca="1" si="3"/>
        <v>106.83431741679217</v>
      </c>
      <c r="H20">
        <f t="shared" ca="1" si="3"/>
        <v>112.24734488340285</v>
      </c>
      <c r="I20">
        <f t="shared" ca="1" si="3"/>
        <v>109.62712557209423</v>
      </c>
      <c r="J20">
        <f t="shared" ref="J20:P20" ca="1" si="11">I20*EXP(($C$6-0.5*$C$7^2)*$C$12+$C$7*SQRT($C$12)*NORMINV(RAND(),0,1))</f>
        <v>107.56097458524542</v>
      </c>
      <c r="K20">
        <f t="shared" ca="1" si="11"/>
        <v>106.43260220042848</v>
      </c>
      <c r="L20">
        <f t="shared" ca="1" si="11"/>
        <v>102.0651419385128</v>
      </c>
      <c r="M20">
        <f t="shared" ca="1" si="11"/>
        <v>98.762556905601357</v>
      </c>
      <c r="N20">
        <f t="shared" ca="1" si="11"/>
        <v>101.58481892955101</v>
      </c>
      <c r="O20">
        <f t="shared" ca="1" si="11"/>
        <v>111.09163719021892</v>
      </c>
      <c r="P20">
        <f t="shared" ca="1" si="11"/>
        <v>112.59039992023001</v>
      </c>
      <c r="Q20">
        <f t="shared" ca="1" si="4"/>
        <v>112.59039992023001</v>
      </c>
      <c r="R20">
        <f t="shared" ca="1" si="5"/>
        <v>0</v>
      </c>
      <c r="S20">
        <f t="shared" ca="1" si="6"/>
        <v>0</v>
      </c>
    </row>
    <row r="21" spans="5:19" x14ac:dyDescent="0.75">
      <c r="E21">
        <v>16</v>
      </c>
      <c r="F21">
        <f t="shared" si="2"/>
        <v>100</v>
      </c>
      <c r="G21">
        <f t="shared" ca="1" si="3"/>
        <v>97.930979051727476</v>
      </c>
      <c r="H21">
        <f t="shared" ca="1" si="3"/>
        <v>93.736690822887638</v>
      </c>
      <c r="I21">
        <f t="shared" ca="1" si="3"/>
        <v>100.0781853794044</v>
      </c>
      <c r="J21">
        <f t="shared" ref="J21:P21" ca="1" si="12">I21*EXP(($C$6-0.5*$C$7^2)*$C$12+$C$7*SQRT($C$12)*NORMINV(RAND(),0,1))</f>
        <v>96.113635673722513</v>
      </c>
      <c r="K21">
        <f t="shared" ca="1" si="12"/>
        <v>94.399893689083811</v>
      </c>
      <c r="L21">
        <f t="shared" ca="1" si="12"/>
        <v>104.57057284019977</v>
      </c>
      <c r="M21">
        <f t="shared" ca="1" si="12"/>
        <v>105.75906293388229</v>
      </c>
      <c r="N21">
        <f t="shared" ca="1" si="12"/>
        <v>99.734501776233145</v>
      </c>
      <c r="O21">
        <f t="shared" ca="1" si="12"/>
        <v>96.9849737199456</v>
      </c>
      <c r="P21">
        <f t="shared" ca="1" si="12"/>
        <v>100.3449198366189</v>
      </c>
      <c r="Q21">
        <f t="shared" ca="1" si="4"/>
        <v>105.75906293388229</v>
      </c>
      <c r="R21">
        <f t="shared" ca="1" si="5"/>
        <v>0</v>
      </c>
      <c r="S21">
        <f t="shared" ca="1" si="6"/>
        <v>0</v>
      </c>
    </row>
    <row r="22" spans="5:19" x14ac:dyDescent="0.75">
      <c r="E22">
        <v>17</v>
      </c>
      <c r="F22">
        <f t="shared" si="2"/>
        <v>100</v>
      </c>
      <c r="G22">
        <f t="shared" ca="1" si="3"/>
        <v>99.805804350981191</v>
      </c>
      <c r="H22">
        <f t="shared" ca="1" si="3"/>
        <v>99.852006415887715</v>
      </c>
      <c r="I22">
        <f t="shared" ca="1" si="3"/>
        <v>94.808037740921748</v>
      </c>
      <c r="J22">
        <f t="shared" ref="J22:P22" ca="1" si="13">I22*EXP(($C$6-0.5*$C$7^2)*$C$12+$C$7*SQRT($C$12)*NORMINV(RAND(),0,1))</f>
        <v>92.264025475054879</v>
      </c>
      <c r="K22">
        <f t="shared" ca="1" si="13"/>
        <v>98.408375181591992</v>
      </c>
      <c r="L22">
        <f t="shared" ca="1" si="13"/>
        <v>92.064651291008516</v>
      </c>
      <c r="M22">
        <f t="shared" ca="1" si="13"/>
        <v>94.081828675167714</v>
      </c>
      <c r="N22">
        <f t="shared" ca="1" si="13"/>
        <v>96.48578599995119</v>
      </c>
      <c r="O22">
        <f t="shared" ca="1" si="13"/>
        <v>86.855731718753518</v>
      </c>
      <c r="P22">
        <f t="shared" ca="1" si="13"/>
        <v>87.778635858537243</v>
      </c>
      <c r="Q22">
        <f t="shared" ca="1" si="4"/>
        <v>99.852006415887715</v>
      </c>
      <c r="R22">
        <f t="shared" ca="1" si="5"/>
        <v>0</v>
      </c>
      <c r="S22">
        <f t="shared" ca="1" si="6"/>
        <v>0</v>
      </c>
    </row>
    <row r="23" spans="5:19" x14ac:dyDescent="0.75">
      <c r="E23">
        <v>18</v>
      </c>
      <c r="F23">
        <f t="shared" si="2"/>
        <v>100</v>
      </c>
      <c r="G23">
        <f t="shared" ca="1" si="3"/>
        <v>98.690436604768124</v>
      </c>
      <c r="H23">
        <f t="shared" ca="1" si="3"/>
        <v>95.000049752805111</v>
      </c>
      <c r="I23">
        <f t="shared" ca="1" si="3"/>
        <v>95.961542892422059</v>
      </c>
      <c r="J23">
        <f t="shared" ref="J23:P23" ca="1" si="14">I23*EXP(($C$6-0.5*$C$7^2)*$C$12+$C$7*SQRT($C$12)*NORMINV(RAND(),0,1))</f>
        <v>94.545344834306817</v>
      </c>
      <c r="K23">
        <f t="shared" ca="1" si="14"/>
        <v>100.56813734160684</v>
      </c>
      <c r="L23">
        <f t="shared" ca="1" si="14"/>
        <v>99.92075049502256</v>
      </c>
      <c r="M23">
        <f t="shared" ca="1" si="14"/>
        <v>93.941333438700994</v>
      </c>
      <c r="N23">
        <f t="shared" ca="1" si="14"/>
        <v>92.114836940205265</v>
      </c>
      <c r="O23">
        <f t="shared" ca="1" si="14"/>
        <v>96.175860952043479</v>
      </c>
      <c r="P23">
        <f t="shared" ca="1" si="14"/>
        <v>98.403482137652375</v>
      </c>
      <c r="Q23">
        <f t="shared" ca="1" si="4"/>
        <v>100.56813734160684</v>
      </c>
      <c r="R23">
        <f t="shared" ca="1" si="5"/>
        <v>0</v>
      </c>
      <c r="S23">
        <f t="shared" ca="1" si="6"/>
        <v>0</v>
      </c>
    </row>
    <row r="24" spans="5:19" x14ac:dyDescent="0.75">
      <c r="E24">
        <v>19</v>
      </c>
      <c r="F24">
        <f t="shared" si="2"/>
        <v>100</v>
      </c>
      <c r="G24">
        <f t="shared" ca="1" si="3"/>
        <v>101.02902550790202</v>
      </c>
      <c r="H24">
        <f t="shared" ca="1" si="3"/>
        <v>96.75145733585066</v>
      </c>
      <c r="I24">
        <f t="shared" ca="1" si="3"/>
        <v>103.69627660016525</v>
      </c>
      <c r="J24">
        <f t="shared" ref="J24:P24" ca="1" si="15">I24*EXP(($C$6-0.5*$C$7^2)*$C$12+$C$7*SQRT($C$12)*NORMINV(RAND(),0,1))</f>
        <v>116.32599740551733</v>
      </c>
      <c r="K24">
        <f t="shared" ca="1" si="15"/>
        <v>119.564240955739</v>
      </c>
      <c r="L24">
        <f t="shared" ca="1" si="15"/>
        <v>119.67613039416368</v>
      </c>
      <c r="M24">
        <f t="shared" ca="1" si="15"/>
        <v>116.96752236983262</v>
      </c>
      <c r="N24">
        <f t="shared" ca="1" si="15"/>
        <v>115.45886127509876</v>
      </c>
      <c r="O24">
        <f t="shared" ca="1" si="15"/>
        <v>119.22334080647619</v>
      </c>
      <c r="P24">
        <f t="shared" ca="1" si="15"/>
        <v>116.0516321906925</v>
      </c>
      <c r="Q24">
        <f t="shared" ca="1" si="4"/>
        <v>119.67613039416368</v>
      </c>
      <c r="R24">
        <f t="shared" ca="1" si="5"/>
        <v>0</v>
      </c>
      <c r="S24">
        <f t="shared" ca="1" si="6"/>
        <v>0</v>
      </c>
    </row>
    <row r="25" spans="5:19" x14ac:dyDescent="0.75">
      <c r="E25">
        <v>20</v>
      </c>
      <c r="F25">
        <f t="shared" si="2"/>
        <v>100</v>
      </c>
      <c r="G25">
        <f t="shared" ca="1" si="3"/>
        <v>98.599880797767469</v>
      </c>
      <c r="H25">
        <f t="shared" ca="1" si="3"/>
        <v>97.317358356812406</v>
      </c>
      <c r="I25">
        <f t="shared" ca="1" si="3"/>
        <v>99.551228974637525</v>
      </c>
      <c r="J25">
        <f t="shared" ref="J25:P25" ca="1" si="16">I25*EXP(($C$6-0.5*$C$7^2)*$C$12+$C$7*SQRT($C$12)*NORMINV(RAND(),0,1))</f>
        <v>104.33443861620606</v>
      </c>
      <c r="K25">
        <f t="shared" ca="1" si="16"/>
        <v>101.52768599276966</v>
      </c>
      <c r="L25">
        <f t="shared" ca="1" si="16"/>
        <v>101.78614032956175</v>
      </c>
      <c r="M25">
        <f t="shared" ca="1" si="16"/>
        <v>99.708099878233369</v>
      </c>
      <c r="N25">
        <f t="shared" ca="1" si="16"/>
        <v>97.465449315053164</v>
      </c>
      <c r="O25">
        <f t="shared" ca="1" si="16"/>
        <v>97.2240296603254</v>
      </c>
      <c r="P25">
        <f t="shared" ca="1" si="16"/>
        <v>97.971207626223915</v>
      </c>
      <c r="Q25">
        <f t="shared" ca="1" si="4"/>
        <v>104.33443861620606</v>
      </c>
      <c r="R25">
        <f t="shared" ca="1" si="5"/>
        <v>0</v>
      </c>
      <c r="S25">
        <f t="shared" ca="1" si="6"/>
        <v>0</v>
      </c>
    </row>
    <row r="26" spans="5:19" x14ac:dyDescent="0.75">
      <c r="E26">
        <v>21</v>
      </c>
      <c r="F26">
        <f t="shared" si="2"/>
        <v>100</v>
      </c>
      <c r="G26">
        <f t="shared" ca="1" si="3"/>
        <v>111.10613416791541</v>
      </c>
      <c r="H26">
        <f t="shared" ca="1" si="3"/>
        <v>111.7986694769445</v>
      </c>
      <c r="I26">
        <f t="shared" ca="1" si="3"/>
        <v>109.53390819723195</v>
      </c>
      <c r="J26">
        <f t="shared" ref="J26:P26" ca="1" si="17">I26*EXP(($C$6-0.5*$C$7^2)*$C$12+$C$7*SQRT($C$12)*NORMINV(RAND(),0,1))</f>
        <v>106.79398927305914</v>
      </c>
      <c r="K26">
        <f t="shared" ca="1" si="17"/>
        <v>104.51477475620284</v>
      </c>
      <c r="L26">
        <f t="shared" ca="1" si="17"/>
        <v>105.90129525820505</v>
      </c>
      <c r="M26">
        <f t="shared" ca="1" si="17"/>
        <v>107.31431767352045</v>
      </c>
      <c r="N26">
        <f t="shared" ca="1" si="17"/>
        <v>106.37605554234695</v>
      </c>
      <c r="O26">
        <f t="shared" ca="1" si="17"/>
        <v>99.777047917749329</v>
      </c>
      <c r="P26">
        <f t="shared" ca="1" si="17"/>
        <v>94.084334473468687</v>
      </c>
      <c r="Q26">
        <f t="shared" ca="1" si="4"/>
        <v>111.7986694769445</v>
      </c>
      <c r="R26">
        <f t="shared" ca="1" si="5"/>
        <v>0</v>
      </c>
      <c r="S26">
        <f t="shared" ca="1" si="6"/>
        <v>0</v>
      </c>
    </row>
    <row r="27" spans="5:19" x14ac:dyDescent="0.75">
      <c r="E27">
        <v>22</v>
      </c>
      <c r="F27">
        <f t="shared" si="2"/>
        <v>100</v>
      </c>
      <c r="G27">
        <f t="shared" ca="1" si="3"/>
        <v>93.95312755729887</v>
      </c>
      <c r="H27">
        <f t="shared" ca="1" si="3"/>
        <v>96.447148821551266</v>
      </c>
      <c r="I27">
        <f t="shared" ca="1" si="3"/>
        <v>96.907282310478678</v>
      </c>
      <c r="J27">
        <f t="shared" ref="J27:P27" ca="1" si="18">I27*EXP(($C$6-0.5*$C$7^2)*$C$12+$C$7*SQRT($C$12)*NORMINV(RAND(),0,1))</f>
        <v>93.255329439270866</v>
      </c>
      <c r="K27">
        <f t="shared" ca="1" si="18"/>
        <v>96.843657312730372</v>
      </c>
      <c r="L27">
        <f t="shared" ca="1" si="18"/>
        <v>94.315379287873682</v>
      </c>
      <c r="M27">
        <f t="shared" ca="1" si="18"/>
        <v>96.177206266200145</v>
      </c>
      <c r="N27">
        <f t="shared" ca="1" si="18"/>
        <v>84.987590669477783</v>
      </c>
      <c r="O27">
        <f t="shared" ca="1" si="18"/>
        <v>79.424367546973357</v>
      </c>
      <c r="P27">
        <f t="shared" ca="1" si="18"/>
        <v>79.514525898220256</v>
      </c>
      <c r="Q27">
        <f t="shared" ca="1" si="4"/>
        <v>96.907282310478678</v>
      </c>
      <c r="R27">
        <f t="shared" ca="1" si="5"/>
        <v>0</v>
      </c>
      <c r="S27">
        <f t="shared" ca="1" si="6"/>
        <v>0</v>
      </c>
    </row>
    <row r="28" spans="5:19" x14ac:dyDescent="0.75">
      <c r="E28">
        <v>23</v>
      </c>
      <c r="F28">
        <f t="shared" si="2"/>
        <v>100</v>
      </c>
      <c r="G28">
        <f t="shared" ca="1" si="3"/>
        <v>100.62814924226835</v>
      </c>
      <c r="H28">
        <f t="shared" ca="1" si="3"/>
        <v>97.482424054785497</v>
      </c>
      <c r="I28">
        <f t="shared" ca="1" si="3"/>
        <v>106.50154265832428</v>
      </c>
      <c r="J28">
        <f t="shared" ref="J28:P28" ca="1" si="19">I28*EXP(($C$6-0.5*$C$7^2)*$C$12+$C$7*SQRT($C$12)*NORMINV(RAND(),0,1))</f>
        <v>108.89545616023794</v>
      </c>
      <c r="K28">
        <f t="shared" ca="1" si="19"/>
        <v>110.19295163663925</v>
      </c>
      <c r="L28">
        <f t="shared" ca="1" si="19"/>
        <v>105.98664683492534</v>
      </c>
      <c r="M28">
        <f t="shared" ca="1" si="19"/>
        <v>111.57184888774533</v>
      </c>
      <c r="N28">
        <f t="shared" ca="1" si="19"/>
        <v>107.88546028332367</v>
      </c>
      <c r="O28">
        <f t="shared" ca="1" si="19"/>
        <v>104.97388407175256</v>
      </c>
      <c r="P28">
        <f t="shared" ca="1" si="19"/>
        <v>104.28107508261529</v>
      </c>
      <c r="Q28">
        <f t="shared" ca="1" si="4"/>
        <v>111.57184888774533</v>
      </c>
      <c r="R28">
        <f t="shared" ca="1" si="5"/>
        <v>0</v>
      </c>
      <c r="S28">
        <f t="shared" ca="1" si="6"/>
        <v>0</v>
      </c>
    </row>
    <row r="29" spans="5:19" x14ac:dyDescent="0.75">
      <c r="E29">
        <v>24</v>
      </c>
      <c r="F29">
        <f t="shared" si="2"/>
        <v>100</v>
      </c>
      <c r="G29">
        <f t="shared" ca="1" si="3"/>
        <v>98.76432056087458</v>
      </c>
      <c r="H29">
        <f t="shared" ca="1" si="3"/>
        <v>94.851433156486294</v>
      </c>
      <c r="I29">
        <f t="shared" ca="1" si="3"/>
        <v>90.803106109019737</v>
      </c>
      <c r="J29">
        <f t="shared" ref="J29:P29" ca="1" si="20">I29*EXP(($C$6-0.5*$C$7^2)*$C$12+$C$7*SQRT($C$12)*NORMINV(RAND(),0,1))</f>
        <v>90.121794830862768</v>
      </c>
      <c r="K29">
        <f t="shared" ca="1" si="20"/>
        <v>92.987426216060058</v>
      </c>
      <c r="L29">
        <f t="shared" ca="1" si="20"/>
        <v>92.997696746927559</v>
      </c>
      <c r="M29">
        <f t="shared" ca="1" si="20"/>
        <v>95.687002273580376</v>
      </c>
      <c r="N29">
        <f t="shared" ca="1" si="20"/>
        <v>93.393749912943989</v>
      </c>
      <c r="O29">
        <f t="shared" ca="1" si="20"/>
        <v>93.165506471932105</v>
      </c>
      <c r="P29">
        <f t="shared" ca="1" si="20"/>
        <v>94.430193966600939</v>
      </c>
      <c r="Q29">
        <f t="shared" ca="1" si="4"/>
        <v>98.76432056087458</v>
      </c>
      <c r="R29">
        <f t="shared" ca="1" si="5"/>
        <v>0</v>
      </c>
      <c r="S29">
        <f t="shared" ca="1" si="6"/>
        <v>0</v>
      </c>
    </row>
    <row r="30" spans="5:19" x14ac:dyDescent="0.75">
      <c r="E30">
        <v>25</v>
      </c>
      <c r="F30">
        <f t="shared" si="2"/>
        <v>100</v>
      </c>
      <c r="G30">
        <f t="shared" ca="1" si="3"/>
        <v>107.04251631685091</v>
      </c>
      <c r="H30">
        <f t="shared" ca="1" si="3"/>
        <v>113.54283153183238</v>
      </c>
      <c r="I30">
        <f t="shared" ca="1" si="3"/>
        <v>112.0926227718039</v>
      </c>
      <c r="J30">
        <f t="shared" ref="J30:P30" ca="1" si="21">I30*EXP(($C$6-0.5*$C$7^2)*$C$12+$C$7*SQRT($C$12)*NORMINV(RAND(),0,1))</f>
        <v>113.33622724565836</v>
      </c>
      <c r="K30">
        <f t="shared" ca="1" si="21"/>
        <v>115.92603014290903</v>
      </c>
      <c r="L30">
        <f t="shared" ca="1" si="21"/>
        <v>114.11592770709342</v>
      </c>
      <c r="M30">
        <f t="shared" ca="1" si="21"/>
        <v>114.86773028621961</v>
      </c>
      <c r="N30">
        <f t="shared" ca="1" si="21"/>
        <v>129.33057886141285</v>
      </c>
      <c r="O30">
        <f t="shared" ca="1" si="21"/>
        <v>121.54460945753651</v>
      </c>
      <c r="P30">
        <f t="shared" ca="1" si="21"/>
        <v>134.6318210997436</v>
      </c>
      <c r="Q30">
        <f t="shared" ca="1" si="4"/>
        <v>134.6318210997436</v>
      </c>
      <c r="R30">
        <f t="shared" ca="1" si="5"/>
        <v>0</v>
      </c>
      <c r="S30">
        <f t="shared" ca="1" si="6"/>
        <v>0</v>
      </c>
    </row>
    <row r="31" spans="5:19" x14ac:dyDescent="0.75">
      <c r="E31">
        <v>26</v>
      </c>
      <c r="F31">
        <f t="shared" si="2"/>
        <v>100</v>
      </c>
      <c r="G31">
        <f t="shared" ca="1" si="3"/>
        <v>93.650066945571524</v>
      </c>
      <c r="H31">
        <f t="shared" ca="1" si="3"/>
        <v>92.61134450053639</v>
      </c>
      <c r="I31">
        <f t="shared" ca="1" si="3"/>
        <v>96.036984435515592</v>
      </c>
      <c r="J31">
        <f t="shared" ref="J31:P31" ca="1" si="22">I31*EXP(($C$6-0.5*$C$7^2)*$C$12+$C$7*SQRT($C$12)*NORMINV(RAND(),0,1))</f>
        <v>101.16307710970187</v>
      </c>
      <c r="K31">
        <f t="shared" ca="1" si="22"/>
        <v>98.082238722011894</v>
      </c>
      <c r="L31">
        <f t="shared" ca="1" si="22"/>
        <v>94.119141369224565</v>
      </c>
      <c r="M31">
        <f t="shared" ca="1" si="22"/>
        <v>102.80361951902799</v>
      </c>
      <c r="N31">
        <f t="shared" ca="1" si="22"/>
        <v>98.474380617725814</v>
      </c>
      <c r="O31">
        <f t="shared" ca="1" si="22"/>
        <v>98.070828232901562</v>
      </c>
      <c r="P31">
        <f t="shared" ca="1" si="22"/>
        <v>97.381803781264509</v>
      </c>
      <c r="Q31">
        <f t="shared" ca="1" si="4"/>
        <v>102.80361951902799</v>
      </c>
      <c r="R31">
        <f t="shared" ca="1" si="5"/>
        <v>0</v>
      </c>
      <c r="S31">
        <f t="shared" ca="1" si="6"/>
        <v>0</v>
      </c>
    </row>
    <row r="32" spans="5:19" x14ac:dyDescent="0.75">
      <c r="E32">
        <v>27</v>
      </c>
      <c r="F32">
        <f t="shared" si="2"/>
        <v>100</v>
      </c>
      <c r="G32">
        <f t="shared" ca="1" si="3"/>
        <v>101.68943458697741</v>
      </c>
      <c r="H32">
        <f t="shared" ca="1" si="3"/>
        <v>106.43663942949649</v>
      </c>
      <c r="I32">
        <f t="shared" ca="1" si="3"/>
        <v>108.1571844260333</v>
      </c>
      <c r="J32">
        <f t="shared" ref="J32:P32" ca="1" si="23">I32*EXP(($C$6-0.5*$C$7^2)*$C$12+$C$7*SQRT($C$12)*NORMINV(RAND(),0,1))</f>
        <v>105.10407068109878</v>
      </c>
      <c r="K32">
        <f t="shared" ca="1" si="23"/>
        <v>102.36564206616082</v>
      </c>
      <c r="L32">
        <f t="shared" ca="1" si="23"/>
        <v>105.05204225844511</v>
      </c>
      <c r="M32">
        <f t="shared" ca="1" si="23"/>
        <v>113.45105695249924</v>
      </c>
      <c r="N32">
        <f t="shared" ca="1" si="23"/>
        <v>115.00882455865674</v>
      </c>
      <c r="O32">
        <f t="shared" ca="1" si="23"/>
        <v>113.38425353824424</v>
      </c>
      <c r="P32">
        <f t="shared" ca="1" si="23"/>
        <v>115.01710572163961</v>
      </c>
      <c r="Q32">
        <f t="shared" ca="1" si="4"/>
        <v>115.01710572163961</v>
      </c>
      <c r="R32">
        <f t="shared" ca="1" si="5"/>
        <v>0</v>
      </c>
      <c r="S32">
        <f t="shared" ca="1" si="6"/>
        <v>0</v>
      </c>
    </row>
    <row r="33" spans="5:19" x14ac:dyDescent="0.75">
      <c r="E33">
        <v>28</v>
      </c>
      <c r="F33">
        <f t="shared" si="2"/>
        <v>100</v>
      </c>
      <c r="G33">
        <f t="shared" ca="1" si="3"/>
        <v>99.661901712667756</v>
      </c>
      <c r="H33">
        <f t="shared" ca="1" si="3"/>
        <v>90.977073562868398</v>
      </c>
      <c r="I33">
        <f t="shared" ca="1" si="3"/>
        <v>92.687125381141328</v>
      </c>
      <c r="J33">
        <f t="shared" ref="J33:P33" ca="1" si="24">I33*EXP(($C$6-0.5*$C$7^2)*$C$12+$C$7*SQRT($C$12)*NORMINV(RAND(),0,1))</f>
        <v>92.489657698993582</v>
      </c>
      <c r="K33">
        <f t="shared" ca="1" si="24"/>
        <v>94.809543116609447</v>
      </c>
      <c r="L33">
        <f t="shared" ca="1" si="24"/>
        <v>93.160997016880472</v>
      </c>
      <c r="M33">
        <f t="shared" ca="1" si="24"/>
        <v>86.454692109749047</v>
      </c>
      <c r="N33">
        <f t="shared" ca="1" si="24"/>
        <v>81.450011843632097</v>
      </c>
      <c r="O33">
        <f t="shared" ca="1" si="24"/>
        <v>84.460961462165798</v>
      </c>
      <c r="P33">
        <f t="shared" ca="1" si="24"/>
        <v>84.917432954913465</v>
      </c>
      <c r="Q33">
        <f t="shared" ca="1" si="4"/>
        <v>99.661901712667756</v>
      </c>
      <c r="R33">
        <f t="shared" ca="1" si="5"/>
        <v>0</v>
      </c>
      <c r="S33">
        <f t="shared" ca="1" si="6"/>
        <v>0</v>
      </c>
    </row>
    <row r="34" spans="5:19" x14ac:dyDescent="0.75">
      <c r="E34">
        <v>29</v>
      </c>
      <c r="F34">
        <f t="shared" si="2"/>
        <v>100</v>
      </c>
      <c r="G34">
        <f t="shared" ca="1" si="3"/>
        <v>113.33076917148384</v>
      </c>
      <c r="H34">
        <f t="shared" ca="1" si="3"/>
        <v>112.28430065918899</v>
      </c>
      <c r="I34">
        <f t="shared" ca="1" si="3"/>
        <v>110.91700645512717</v>
      </c>
      <c r="J34">
        <f t="shared" ref="J34:P34" ca="1" si="25">I34*EXP(($C$6-0.5*$C$7^2)*$C$12+$C$7*SQRT($C$12)*NORMINV(RAND(),0,1))</f>
        <v>110.97423259150165</v>
      </c>
      <c r="K34">
        <f t="shared" ca="1" si="25"/>
        <v>104.74800039063865</v>
      </c>
      <c r="L34">
        <f t="shared" ca="1" si="25"/>
        <v>105.30683857558788</v>
      </c>
      <c r="M34">
        <f t="shared" ca="1" si="25"/>
        <v>110.17014607803715</v>
      </c>
      <c r="N34">
        <f t="shared" ca="1" si="25"/>
        <v>105.55229380334548</v>
      </c>
      <c r="O34">
        <f t="shared" ca="1" si="25"/>
        <v>99.889157625913086</v>
      </c>
      <c r="P34">
        <f t="shared" ca="1" si="25"/>
        <v>103.09782846425558</v>
      </c>
      <c r="Q34">
        <f t="shared" ca="1" si="4"/>
        <v>113.33076917148384</v>
      </c>
      <c r="R34">
        <f t="shared" ca="1" si="5"/>
        <v>0</v>
      </c>
      <c r="S34">
        <f t="shared" ca="1" si="6"/>
        <v>0</v>
      </c>
    </row>
    <row r="35" spans="5:19" x14ac:dyDescent="0.75">
      <c r="E35">
        <v>30</v>
      </c>
      <c r="F35">
        <f t="shared" si="2"/>
        <v>100</v>
      </c>
      <c r="G35">
        <f t="shared" ca="1" si="3"/>
        <v>95.75973402527778</v>
      </c>
      <c r="H35">
        <f t="shared" ca="1" si="3"/>
        <v>96.394672122132675</v>
      </c>
      <c r="I35">
        <f t="shared" ca="1" si="3"/>
        <v>97.193863579317977</v>
      </c>
      <c r="J35">
        <f t="shared" ref="J35:P35" ca="1" si="26">I35*EXP(($C$6-0.5*$C$7^2)*$C$12+$C$7*SQRT($C$12)*NORMINV(RAND(),0,1))</f>
        <v>101.6338359620263</v>
      </c>
      <c r="K35">
        <f t="shared" ca="1" si="26"/>
        <v>100.82813054085958</v>
      </c>
      <c r="L35">
        <f t="shared" ca="1" si="26"/>
        <v>95.253007563060208</v>
      </c>
      <c r="M35">
        <f t="shared" ca="1" si="26"/>
        <v>106.08095227917937</v>
      </c>
      <c r="N35">
        <f t="shared" ca="1" si="26"/>
        <v>112.89970337051949</v>
      </c>
      <c r="O35">
        <f t="shared" ca="1" si="26"/>
        <v>112.51518411052731</v>
      </c>
      <c r="P35">
        <f t="shared" ca="1" si="26"/>
        <v>111.72528609971479</v>
      </c>
      <c r="Q35">
        <f t="shared" ca="1" si="4"/>
        <v>112.89970337051949</v>
      </c>
      <c r="R35">
        <f t="shared" ca="1" si="5"/>
        <v>0</v>
      </c>
      <c r="S35">
        <f t="shared" ca="1" si="6"/>
        <v>0</v>
      </c>
    </row>
    <row r="36" spans="5:19" x14ac:dyDescent="0.75">
      <c r="E36">
        <v>31</v>
      </c>
      <c r="F36">
        <f t="shared" si="2"/>
        <v>100</v>
      </c>
      <c r="G36">
        <f t="shared" ca="1" si="3"/>
        <v>101.28309837606888</v>
      </c>
      <c r="H36">
        <f t="shared" ca="1" si="3"/>
        <v>102.17746137597221</v>
      </c>
      <c r="I36">
        <f t="shared" ca="1" si="3"/>
        <v>102.06911555600935</v>
      </c>
      <c r="J36">
        <f t="shared" ref="J36:P36" ca="1" si="27">I36*EXP(($C$6-0.5*$C$7^2)*$C$12+$C$7*SQRT($C$12)*NORMINV(RAND(),0,1))</f>
        <v>93.9730094091273</v>
      </c>
      <c r="K36">
        <f t="shared" ca="1" si="27"/>
        <v>98.346975218558995</v>
      </c>
      <c r="L36">
        <f t="shared" ca="1" si="27"/>
        <v>102.71743955232024</v>
      </c>
      <c r="M36">
        <f t="shared" ca="1" si="27"/>
        <v>105.68520737116269</v>
      </c>
      <c r="N36">
        <f t="shared" ca="1" si="27"/>
        <v>104.3784259438012</v>
      </c>
      <c r="O36">
        <f t="shared" ca="1" si="27"/>
        <v>106.01621270782385</v>
      </c>
      <c r="P36">
        <f t="shared" ca="1" si="27"/>
        <v>106.60586594559172</v>
      </c>
      <c r="Q36">
        <f t="shared" ca="1" si="4"/>
        <v>106.60586594559172</v>
      </c>
      <c r="R36">
        <f t="shared" ca="1" si="5"/>
        <v>4.6058659455917166</v>
      </c>
      <c r="S36">
        <f t="shared" ca="1" si="6"/>
        <v>4.49214671020935</v>
      </c>
    </row>
    <row r="37" spans="5:19" x14ac:dyDescent="0.75">
      <c r="E37">
        <v>32</v>
      </c>
      <c r="F37">
        <f t="shared" si="2"/>
        <v>100</v>
      </c>
      <c r="G37">
        <f t="shared" ca="1" si="3"/>
        <v>98.599395036321411</v>
      </c>
      <c r="H37">
        <f t="shared" ca="1" si="3"/>
        <v>94.746522096176619</v>
      </c>
      <c r="I37">
        <f t="shared" ca="1" si="3"/>
        <v>96.486819225794804</v>
      </c>
      <c r="J37">
        <f t="shared" ref="J37:P37" ca="1" si="28">I37*EXP(($C$6-0.5*$C$7^2)*$C$12+$C$7*SQRT($C$12)*NORMINV(RAND(),0,1))</f>
        <v>96.06244219110404</v>
      </c>
      <c r="K37">
        <f t="shared" ca="1" si="28"/>
        <v>92.203077152680777</v>
      </c>
      <c r="L37">
        <f t="shared" ca="1" si="28"/>
        <v>92.46304251008975</v>
      </c>
      <c r="M37">
        <f t="shared" ca="1" si="28"/>
        <v>91.967506442375836</v>
      </c>
      <c r="N37">
        <f t="shared" ca="1" si="28"/>
        <v>97.577316265492371</v>
      </c>
      <c r="O37">
        <f t="shared" ca="1" si="28"/>
        <v>100.42252046253193</v>
      </c>
      <c r="P37">
        <f t="shared" ca="1" si="28"/>
        <v>104.58962305088168</v>
      </c>
      <c r="Q37">
        <f t="shared" ca="1" si="4"/>
        <v>104.58962305088168</v>
      </c>
      <c r="R37">
        <f t="shared" ca="1" si="5"/>
        <v>2.5896230508816842</v>
      </c>
      <c r="S37">
        <f t="shared" ca="1" si="6"/>
        <v>2.5256850299419575</v>
      </c>
    </row>
    <row r="38" spans="5:19" x14ac:dyDescent="0.75">
      <c r="E38">
        <v>33</v>
      </c>
      <c r="F38">
        <f t="shared" si="2"/>
        <v>100</v>
      </c>
      <c r="G38">
        <f t="shared" ca="1" si="3"/>
        <v>90.134609550304077</v>
      </c>
      <c r="H38">
        <f t="shared" ca="1" si="3"/>
        <v>84.378140725120147</v>
      </c>
      <c r="I38">
        <f t="shared" ca="1" si="3"/>
        <v>78.142112869669674</v>
      </c>
      <c r="J38">
        <f t="shared" ref="J38:P38" ca="1" si="29">I38*EXP(($C$6-0.5*$C$7^2)*$C$12+$C$7*SQRT($C$12)*NORMINV(RAND(),0,1))</f>
        <v>80.395957788267268</v>
      </c>
      <c r="K38">
        <f t="shared" ca="1" si="29"/>
        <v>76.227827578997648</v>
      </c>
      <c r="L38">
        <f t="shared" ca="1" si="29"/>
        <v>82.00297218007249</v>
      </c>
      <c r="M38">
        <f t="shared" ca="1" si="29"/>
        <v>82.816310105072802</v>
      </c>
      <c r="N38">
        <f t="shared" ca="1" si="29"/>
        <v>88.14606193721076</v>
      </c>
      <c r="O38">
        <f t="shared" ca="1" si="29"/>
        <v>95.724022712405286</v>
      </c>
      <c r="P38">
        <f t="shared" ca="1" si="29"/>
        <v>96.354402873500717</v>
      </c>
      <c r="Q38">
        <f t="shared" ca="1" si="4"/>
        <v>96.354402873500717</v>
      </c>
      <c r="R38">
        <f t="shared" ca="1" si="5"/>
        <v>0</v>
      </c>
      <c r="S38">
        <f t="shared" ca="1" si="6"/>
        <v>0</v>
      </c>
    </row>
    <row r="39" spans="5:19" x14ac:dyDescent="0.75">
      <c r="E39">
        <v>34</v>
      </c>
      <c r="F39">
        <f t="shared" si="2"/>
        <v>100</v>
      </c>
      <c r="G39">
        <f t="shared" ca="1" si="3"/>
        <v>93.604372993108839</v>
      </c>
      <c r="H39">
        <f t="shared" ca="1" si="3"/>
        <v>94.492337490127042</v>
      </c>
      <c r="I39">
        <f t="shared" ca="1" si="3"/>
        <v>80.437707181515279</v>
      </c>
      <c r="J39">
        <f t="shared" ref="J39:P39" ca="1" si="30">I39*EXP(($C$6-0.5*$C$7^2)*$C$12+$C$7*SQRT($C$12)*NORMINV(RAND(),0,1))</f>
        <v>85.186068277679396</v>
      </c>
      <c r="K39">
        <f t="shared" ca="1" si="30"/>
        <v>85.496803324854014</v>
      </c>
      <c r="L39">
        <f t="shared" ca="1" si="30"/>
        <v>83.843219175408379</v>
      </c>
      <c r="M39">
        <f t="shared" ca="1" si="30"/>
        <v>84.253806754098548</v>
      </c>
      <c r="N39">
        <f t="shared" ca="1" si="30"/>
        <v>92.596356485821147</v>
      </c>
      <c r="O39">
        <f t="shared" ca="1" si="30"/>
        <v>88.192398000345435</v>
      </c>
      <c r="P39">
        <f t="shared" ca="1" si="30"/>
        <v>85.138141710978218</v>
      </c>
      <c r="Q39">
        <f t="shared" ca="1" si="4"/>
        <v>94.492337490127042</v>
      </c>
      <c r="R39">
        <f t="shared" ca="1" si="5"/>
        <v>0</v>
      </c>
      <c r="S39">
        <f t="shared" ca="1" si="6"/>
        <v>0</v>
      </c>
    </row>
    <row r="40" spans="5:19" x14ac:dyDescent="0.75">
      <c r="E40">
        <v>35</v>
      </c>
      <c r="F40">
        <f t="shared" si="2"/>
        <v>100</v>
      </c>
      <c r="G40">
        <f t="shared" ca="1" si="3"/>
        <v>102.05201010107878</v>
      </c>
      <c r="H40">
        <f t="shared" ca="1" si="3"/>
        <v>98.66791655340424</v>
      </c>
      <c r="I40">
        <f t="shared" ca="1" si="3"/>
        <v>91.737714903775384</v>
      </c>
      <c r="J40">
        <f t="shared" ref="J40:P40" ca="1" si="31">I40*EXP(($C$6-0.5*$C$7^2)*$C$12+$C$7*SQRT($C$12)*NORMINV(RAND(),0,1))</f>
        <v>93.121037704689741</v>
      </c>
      <c r="K40">
        <f t="shared" ca="1" si="31"/>
        <v>88.2193459112802</v>
      </c>
      <c r="L40">
        <f t="shared" ca="1" si="31"/>
        <v>87.435379028270361</v>
      </c>
      <c r="M40">
        <f t="shared" ca="1" si="31"/>
        <v>84.840373979212259</v>
      </c>
      <c r="N40">
        <f t="shared" ca="1" si="31"/>
        <v>85.73989594239913</v>
      </c>
      <c r="O40">
        <f t="shared" ca="1" si="31"/>
        <v>80.064001022897131</v>
      </c>
      <c r="P40">
        <f t="shared" ca="1" si="31"/>
        <v>72.195902729019267</v>
      </c>
      <c r="Q40">
        <f t="shared" ca="1" si="4"/>
        <v>102.05201010107878</v>
      </c>
      <c r="R40">
        <f t="shared" ca="1" si="5"/>
        <v>0</v>
      </c>
      <c r="S40">
        <f t="shared" ca="1" si="6"/>
        <v>0</v>
      </c>
    </row>
    <row r="41" spans="5:19" x14ac:dyDescent="0.75">
      <c r="E41">
        <v>36</v>
      </c>
      <c r="F41">
        <f t="shared" si="2"/>
        <v>100</v>
      </c>
      <c r="G41">
        <f t="shared" ca="1" si="3"/>
        <v>104.15794007804331</v>
      </c>
      <c r="H41">
        <f t="shared" ca="1" si="3"/>
        <v>102.92099511868582</v>
      </c>
      <c r="I41">
        <f t="shared" ca="1" si="3"/>
        <v>104.65263945309304</v>
      </c>
      <c r="J41">
        <f t="shared" ref="J41:P41" ca="1" si="32">I41*EXP(($C$6-0.5*$C$7^2)*$C$12+$C$7*SQRT($C$12)*NORMINV(RAND(),0,1))</f>
        <v>106.99445475154565</v>
      </c>
      <c r="K41">
        <f t="shared" ca="1" si="32"/>
        <v>105.90462571013771</v>
      </c>
      <c r="L41">
        <f t="shared" ca="1" si="32"/>
        <v>120.63704919027292</v>
      </c>
      <c r="M41">
        <f t="shared" ca="1" si="32"/>
        <v>116.85815713153198</v>
      </c>
      <c r="N41">
        <f t="shared" ca="1" si="32"/>
        <v>120.55832343741478</v>
      </c>
      <c r="O41">
        <f t="shared" ca="1" si="32"/>
        <v>124.94735597546837</v>
      </c>
      <c r="P41">
        <f t="shared" ca="1" si="32"/>
        <v>135.00937915982738</v>
      </c>
      <c r="Q41">
        <f t="shared" ca="1" si="4"/>
        <v>135.00937915982738</v>
      </c>
      <c r="R41">
        <f t="shared" ca="1" si="5"/>
        <v>0</v>
      </c>
      <c r="S41">
        <f t="shared" ca="1" si="6"/>
        <v>0</v>
      </c>
    </row>
    <row r="42" spans="5:19" x14ac:dyDescent="0.75">
      <c r="E42">
        <v>37</v>
      </c>
      <c r="F42">
        <f t="shared" si="2"/>
        <v>100</v>
      </c>
      <c r="G42">
        <f t="shared" ca="1" si="3"/>
        <v>102.41614866613293</v>
      </c>
      <c r="H42">
        <f t="shared" ca="1" si="3"/>
        <v>108.12603874451456</v>
      </c>
      <c r="I42">
        <f t="shared" ca="1" si="3"/>
        <v>108.88764749430668</v>
      </c>
      <c r="J42">
        <f t="shared" ref="J42:P42" ca="1" si="33">I42*EXP(($C$6-0.5*$C$7^2)*$C$12+$C$7*SQRT($C$12)*NORMINV(RAND(),0,1))</f>
        <v>112.59579065627373</v>
      </c>
      <c r="K42">
        <f t="shared" ca="1" si="33"/>
        <v>102.0188467481786</v>
      </c>
      <c r="L42">
        <f t="shared" ca="1" si="33"/>
        <v>109.18945062425286</v>
      </c>
      <c r="M42">
        <f t="shared" ca="1" si="33"/>
        <v>108.70167055536994</v>
      </c>
      <c r="N42">
        <f t="shared" ca="1" si="33"/>
        <v>112.32542015085617</v>
      </c>
      <c r="O42">
        <f t="shared" ca="1" si="33"/>
        <v>105.80643466164493</v>
      </c>
      <c r="P42">
        <f t="shared" ca="1" si="33"/>
        <v>109.81418910725176</v>
      </c>
      <c r="Q42">
        <f t="shared" ca="1" si="4"/>
        <v>112.59579065627373</v>
      </c>
      <c r="R42">
        <f t="shared" ca="1" si="5"/>
        <v>0</v>
      </c>
      <c r="S42">
        <f t="shared" ca="1" si="6"/>
        <v>0</v>
      </c>
    </row>
    <row r="43" spans="5:19" x14ac:dyDescent="0.75">
      <c r="E43">
        <v>38</v>
      </c>
      <c r="F43">
        <f t="shared" si="2"/>
        <v>100</v>
      </c>
      <c r="G43">
        <f t="shared" ca="1" si="3"/>
        <v>107.47468053914946</v>
      </c>
      <c r="H43">
        <f t="shared" ca="1" si="3"/>
        <v>112.62670214622803</v>
      </c>
      <c r="I43">
        <f t="shared" ca="1" si="3"/>
        <v>112.69452704719015</v>
      </c>
      <c r="J43">
        <f t="shared" ref="J43:P43" ca="1" si="34">I43*EXP(($C$6-0.5*$C$7^2)*$C$12+$C$7*SQRT($C$12)*NORMINV(RAND(),0,1))</f>
        <v>111.66299185880767</v>
      </c>
      <c r="K43">
        <f t="shared" ca="1" si="34"/>
        <v>106.01894008730612</v>
      </c>
      <c r="L43">
        <f t="shared" ca="1" si="34"/>
        <v>110.67186192212657</v>
      </c>
      <c r="M43">
        <f t="shared" ca="1" si="34"/>
        <v>108.37565827819878</v>
      </c>
      <c r="N43">
        <f t="shared" ca="1" si="34"/>
        <v>105.56617581290944</v>
      </c>
      <c r="O43">
        <f t="shared" ca="1" si="34"/>
        <v>106.66387131129493</v>
      </c>
      <c r="P43">
        <f t="shared" ca="1" si="34"/>
        <v>102.45396284437787</v>
      </c>
      <c r="Q43">
        <f t="shared" ca="1" si="4"/>
        <v>112.69452704719015</v>
      </c>
      <c r="R43">
        <f t="shared" ca="1" si="5"/>
        <v>0</v>
      </c>
      <c r="S43">
        <f t="shared" ca="1" si="6"/>
        <v>0</v>
      </c>
    </row>
    <row r="44" spans="5:19" x14ac:dyDescent="0.75">
      <c r="E44">
        <v>39</v>
      </c>
      <c r="F44">
        <f t="shared" si="2"/>
        <v>100</v>
      </c>
      <c r="G44">
        <f t="shared" ca="1" si="3"/>
        <v>102.95929039741422</v>
      </c>
      <c r="H44">
        <f t="shared" ca="1" si="3"/>
        <v>102.58442763107874</v>
      </c>
      <c r="I44">
        <f t="shared" ca="1" si="3"/>
        <v>106.14989267445925</v>
      </c>
      <c r="J44">
        <f t="shared" ref="J44:P44" ca="1" si="35">I44*EXP(($C$6-0.5*$C$7^2)*$C$12+$C$7*SQRT($C$12)*NORMINV(RAND(),0,1))</f>
        <v>104.13278691147532</v>
      </c>
      <c r="K44">
        <f t="shared" ca="1" si="35"/>
        <v>100.2378610311675</v>
      </c>
      <c r="L44">
        <f t="shared" ca="1" si="35"/>
        <v>93.548671813632026</v>
      </c>
      <c r="M44">
        <f t="shared" ca="1" si="35"/>
        <v>90.40640678475873</v>
      </c>
      <c r="N44">
        <f t="shared" ca="1" si="35"/>
        <v>98.949485838969878</v>
      </c>
      <c r="O44">
        <f t="shared" ca="1" si="35"/>
        <v>96.779136559909944</v>
      </c>
      <c r="P44">
        <f t="shared" ca="1" si="35"/>
        <v>102.48665782657763</v>
      </c>
      <c r="Q44">
        <f t="shared" ca="1" si="4"/>
        <v>106.14989267445925</v>
      </c>
      <c r="R44">
        <f t="shared" ca="1" si="5"/>
        <v>0.48665782657762691</v>
      </c>
      <c r="S44">
        <f t="shared" ca="1" si="6"/>
        <v>0.47464220202732482</v>
      </c>
    </row>
    <row r="45" spans="5:19" x14ac:dyDescent="0.75">
      <c r="E45">
        <v>40</v>
      </c>
      <c r="F45">
        <f t="shared" si="2"/>
        <v>100</v>
      </c>
      <c r="G45">
        <f t="shared" ca="1" si="3"/>
        <v>100.91870290422069</v>
      </c>
      <c r="H45">
        <f t="shared" ca="1" si="3"/>
        <v>96.853748555249638</v>
      </c>
      <c r="I45">
        <f t="shared" ca="1" si="3"/>
        <v>94.840355911153452</v>
      </c>
      <c r="J45">
        <f t="shared" ref="J45:P45" ca="1" si="36">I45*EXP(($C$6-0.5*$C$7^2)*$C$12+$C$7*SQRT($C$12)*NORMINV(RAND(),0,1))</f>
        <v>95.618301096856655</v>
      </c>
      <c r="K45">
        <f t="shared" ca="1" si="36"/>
        <v>100.82385285737503</v>
      </c>
      <c r="L45">
        <f t="shared" ca="1" si="36"/>
        <v>102.9866017748361</v>
      </c>
      <c r="M45">
        <f t="shared" ca="1" si="36"/>
        <v>106.85286726621393</v>
      </c>
      <c r="N45">
        <f t="shared" ca="1" si="36"/>
        <v>105.43626982623331</v>
      </c>
      <c r="O45">
        <f t="shared" ca="1" si="36"/>
        <v>103.92739926030977</v>
      </c>
      <c r="P45">
        <f t="shared" ca="1" si="36"/>
        <v>101.90162536898156</v>
      </c>
      <c r="Q45">
        <f t="shared" ca="1" si="4"/>
        <v>106.85286726621393</v>
      </c>
      <c r="R45">
        <f t="shared" ca="1" si="5"/>
        <v>0</v>
      </c>
      <c r="S45">
        <f t="shared" ca="1" si="6"/>
        <v>0</v>
      </c>
    </row>
    <row r="46" spans="5:19" x14ac:dyDescent="0.75">
      <c r="E46">
        <v>41</v>
      </c>
      <c r="F46">
        <f t="shared" si="2"/>
        <v>100</v>
      </c>
      <c r="G46">
        <f t="shared" ca="1" si="3"/>
        <v>100.70227435521606</v>
      </c>
      <c r="H46">
        <f t="shared" ca="1" si="3"/>
        <v>97.598746455291604</v>
      </c>
      <c r="I46">
        <f t="shared" ca="1" si="3"/>
        <v>106.86526005278085</v>
      </c>
      <c r="J46">
        <f t="shared" ref="J46:P46" ca="1" si="37">I46*EXP(($C$6-0.5*$C$7^2)*$C$12+$C$7*SQRT($C$12)*NORMINV(RAND(),0,1))</f>
        <v>114.02569256620397</v>
      </c>
      <c r="K46">
        <f t="shared" ca="1" si="37"/>
        <v>114.79029664897851</v>
      </c>
      <c r="L46">
        <f t="shared" ca="1" si="37"/>
        <v>122.63728433348888</v>
      </c>
      <c r="M46">
        <f t="shared" ca="1" si="37"/>
        <v>124.53628595980554</v>
      </c>
      <c r="N46">
        <f t="shared" ca="1" si="37"/>
        <v>123.6981216604849</v>
      </c>
      <c r="O46">
        <f t="shared" ca="1" si="37"/>
        <v>128.01645461361161</v>
      </c>
      <c r="P46">
        <f t="shared" ca="1" si="37"/>
        <v>131.05349721386696</v>
      </c>
      <c r="Q46">
        <f t="shared" ca="1" si="4"/>
        <v>131.05349721386696</v>
      </c>
      <c r="R46">
        <f t="shared" ca="1" si="5"/>
        <v>0</v>
      </c>
      <c r="S46">
        <f t="shared" ca="1" si="6"/>
        <v>0</v>
      </c>
    </row>
    <row r="47" spans="5:19" x14ac:dyDescent="0.75">
      <c r="E47">
        <v>42</v>
      </c>
      <c r="F47">
        <f t="shared" si="2"/>
        <v>100</v>
      </c>
      <c r="G47">
        <f t="shared" ca="1" si="3"/>
        <v>100.20517009243575</v>
      </c>
      <c r="H47">
        <f t="shared" ca="1" si="3"/>
        <v>102.07107315342152</v>
      </c>
      <c r="I47">
        <f t="shared" ca="1" si="3"/>
        <v>100.16836557883346</v>
      </c>
      <c r="J47">
        <f t="shared" ref="J47:P47" ca="1" si="38">I47*EXP(($C$6-0.5*$C$7^2)*$C$12+$C$7*SQRT($C$12)*NORMINV(RAND(),0,1))</f>
        <v>93.238569309505806</v>
      </c>
      <c r="K47">
        <f t="shared" ca="1" si="38"/>
        <v>98.782241687583351</v>
      </c>
      <c r="L47">
        <f t="shared" ca="1" si="38"/>
        <v>93.134544707744311</v>
      </c>
      <c r="M47">
        <f t="shared" ca="1" si="38"/>
        <v>96.526497277011444</v>
      </c>
      <c r="N47">
        <f t="shared" ca="1" si="38"/>
        <v>96.562132399084334</v>
      </c>
      <c r="O47">
        <f t="shared" ca="1" si="38"/>
        <v>99.393739433153414</v>
      </c>
      <c r="P47">
        <f t="shared" ca="1" si="38"/>
        <v>100.31380183701096</v>
      </c>
      <c r="Q47">
        <f t="shared" ca="1" si="4"/>
        <v>102.07107315342152</v>
      </c>
      <c r="R47">
        <f t="shared" ca="1" si="5"/>
        <v>0</v>
      </c>
      <c r="S47">
        <f t="shared" ca="1" si="6"/>
        <v>0</v>
      </c>
    </row>
    <row r="48" spans="5:19" x14ac:dyDescent="0.75">
      <c r="E48">
        <v>43</v>
      </c>
      <c r="F48">
        <f t="shared" si="2"/>
        <v>100</v>
      </c>
      <c r="G48">
        <f t="shared" ca="1" si="3"/>
        <v>101.17109081544169</v>
      </c>
      <c r="H48">
        <f t="shared" ca="1" si="3"/>
        <v>95.088201238224542</v>
      </c>
      <c r="I48">
        <f t="shared" ca="1" si="3"/>
        <v>92.984802927998672</v>
      </c>
      <c r="J48">
        <f t="shared" ref="J48:P48" ca="1" si="39">I48*EXP(($C$6-0.5*$C$7^2)*$C$12+$C$7*SQRT($C$12)*NORMINV(RAND(),0,1))</f>
        <v>93.445924673625072</v>
      </c>
      <c r="K48">
        <f t="shared" ca="1" si="39"/>
        <v>98.117210285654409</v>
      </c>
      <c r="L48">
        <f t="shared" ca="1" si="39"/>
        <v>94.519211448547807</v>
      </c>
      <c r="M48">
        <f t="shared" ca="1" si="39"/>
        <v>91.24558460137527</v>
      </c>
      <c r="N48">
        <f t="shared" ca="1" si="39"/>
        <v>96.139845393971456</v>
      </c>
      <c r="O48">
        <f t="shared" ca="1" si="39"/>
        <v>103.36334089445869</v>
      </c>
      <c r="P48">
        <f t="shared" ca="1" si="39"/>
        <v>99.473878124610209</v>
      </c>
      <c r="Q48">
        <f t="shared" ca="1" si="4"/>
        <v>103.36334089445869</v>
      </c>
      <c r="R48">
        <f t="shared" ca="1" si="5"/>
        <v>0</v>
      </c>
      <c r="S48">
        <f t="shared" ca="1" si="6"/>
        <v>0</v>
      </c>
    </row>
    <row r="49" spans="5:19" x14ac:dyDescent="0.75">
      <c r="E49">
        <v>44</v>
      </c>
      <c r="F49">
        <f t="shared" si="2"/>
        <v>100</v>
      </c>
      <c r="G49">
        <f t="shared" ca="1" si="3"/>
        <v>110.52939095401995</v>
      </c>
      <c r="H49">
        <f t="shared" ca="1" si="3"/>
        <v>104.35255360602308</v>
      </c>
      <c r="I49">
        <f t="shared" ca="1" si="3"/>
        <v>114.08694318339322</v>
      </c>
      <c r="J49">
        <f t="shared" ref="J49:P49" ca="1" si="40">I49*EXP(($C$6-0.5*$C$7^2)*$C$12+$C$7*SQRT($C$12)*NORMINV(RAND(),0,1))</f>
        <v>112.00739836973058</v>
      </c>
      <c r="K49">
        <f t="shared" ca="1" si="40"/>
        <v>120.54377982124879</v>
      </c>
      <c r="L49">
        <f t="shared" ca="1" si="40"/>
        <v>121.35365804708564</v>
      </c>
      <c r="M49">
        <f t="shared" ca="1" si="40"/>
        <v>119.20286542261859</v>
      </c>
      <c r="N49">
        <f t="shared" ca="1" si="40"/>
        <v>108.87128141655839</v>
      </c>
      <c r="O49">
        <f t="shared" ca="1" si="40"/>
        <v>107.92333354582142</v>
      </c>
      <c r="P49">
        <f t="shared" ca="1" si="40"/>
        <v>105.51684365758481</v>
      </c>
      <c r="Q49">
        <f t="shared" ca="1" si="4"/>
        <v>121.35365804708564</v>
      </c>
      <c r="R49">
        <f t="shared" ca="1" si="5"/>
        <v>0</v>
      </c>
      <c r="S49">
        <f t="shared" ca="1" si="6"/>
        <v>0</v>
      </c>
    </row>
    <row r="50" spans="5:19" x14ac:dyDescent="0.75">
      <c r="E50">
        <v>45</v>
      </c>
      <c r="F50">
        <f t="shared" si="2"/>
        <v>100</v>
      </c>
      <c r="G50">
        <f t="shared" ca="1" si="3"/>
        <v>99.706273956786987</v>
      </c>
      <c r="H50">
        <f t="shared" ca="1" si="3"/>
        <v>105.9214600589971</v>
      </c>
      <c r="I50">
        <f t="shared" ca="1" si="3"/>
        <v>105.54503397073974</v>
      </c>
      <c r="J50">
        <f t="shared" ref="J50:P50" ca="1" si="41">I50*EXP(($C$6-0.5*$C$7^2)*$C$12+$C$7*SQRT($C$12)*NORMINV(RAND(),0,1))</f>
        <v>110.29679380075294</v>
      </c>
      <c r="K50">
        <f t="shared" ca="1" si="41"/>
        <v>111.40698728047968</v>
      </c>
      <c r="L50">
        <f t="shared" ca="1" si="41"/>
        <v>110.58565884685686</v>
      </c>
      <c r="M50">
        <f t="shared" ca="1" si="41"/>
        <v>108.76242957709533</v>
      </c>
      <c r="N50">
        <f t="shared" ca="1" si="41"/>
        <v>110.16354945161605</v>
      </c>
      <c r="O50">
        <f t="shared" ca="1" si="41"/>
        <v>110.54603490253268</v>
      </c>
      <c r="P50">
        <f t="shared" ca="1" si="41"/>
        <v>115.70191701543931</v>
      </c>
      <c r="Q50">
        <f t="shared" ca="1" si="4"/>
        <v>115.70191701543931</v>
      </c>
      <c r="R50">
        <f t="shared" ca="1" si="5"/>
        <v>0</v>
      </c>
      <c r="S50">
        <f t="shared" ca="1" si="6"/>
        <v>0</v>
      </c>
    </row>
    <row r="51" spans="5:19" x14ac:dyDescent="0.75">
      <c r="E51">
        <v>46</v>
      </c>
      <c r="F51">
        <f t="shared" si="2"/>
        <v>100</v>
      </c>
      <c r="G51">
        <f t="shared" ca="1" si="3"/>
        <v>100.25859572969003</v>
      </c>
      <c r="H51">
        <f t="shared" ca="1" si="3"/>
        <v>106.379445461264</v>
      </c>
      <c r="I51">
        <f t="shared" ca="1" si="3"/>
        <v>101.90577219244058</v>
      </c>
      <c r="J51">
        <f t="shared" ref="J51:P51" ca="1" si="42">I51*EXP(($C$6-0.5*$C$7^2)*$C$12+$C$7*SQRT($C$12)*NORMINV(RAND(),0,1))</f>
        <v>104.37555115817241</v>
      </c>
      <c r="K51">
        <f t="shared" ca="1" si="42"/>
        <v>103.3585685237837</v>
      </c>
      <c r="L51">
        <f t="shared" ca="1" si="42"/>
        <v>106.01202635891782</v>
      </c>
      <c r="M51">
        <f t="shared" ca="1" si="42"/>
        <v>100.97233207444027</v>
      </c>
      <c r="N51">
        <f t="shared" ca="1" si="42"/>
        <v>96.700717786513579</v>
      </c>
      <c r="O51">
        <f t="shared" ca="1" si="42"/>
        <v>98.370885303648976</v>
      </c>
      <c r="P51">
        <f t="shared" ca="1" si="42"/>
        <v>106.10485669326698</v>
      </c>
      <c r="Q51">
        <f t="shared" ca="1" si="4"/>
        <v>106.379445461264</v>
      </c>
      <c r="R51">
        <f t="shared" ca="1" si="5"/>
        <v>4.1048566932669814</v>
      </c>
      <c r="S51">
        <f t="shared" ca="1" si="6"/>
        <v>4.0035074203991323</v>
      </c>
    </row>
    <row r="52" spans="5:19" x14ac:dyDescent="0.75">
      <c r="E52">
        <v>47</v>
      </c>
      <c r="F52">
        <f t="shared" si="2"/>
        <v>100</v>
      </c>
      <c r="G52">
        <f t="shared" ca="1" si="3"/>
        <v>103.29439544144783</v>
      </c>
      <c r="H52">
        <f t="shared" ca="1" si="3"/>
        <v>108.42005644602089</v>
      </c>
      <c r="I52">
        <f t="shared" ca="1" si="3"/>
        <v>104.56793581439338</v>
      </c>
      <c r="J52">
        <f t="shared" ref="J52:P52" ca="1" si="43">I52*EXP(($C$6-0.5*$C$7^2)*$C$12+$C$7*SQRT($C$12)*NORMINV(RAND(),0,1))</f>
        <v>103.36709397438545</v>
      </c>
      <c r="K52">
        <f t="shared" ca="1" si="43"/>
        <v>101.92508577111094</v>
      </c>
      <c r="L52">
        <f t="shared" ca="1" si="43"/>
        <v>107.1958529119749</v>
      </c>
      <c r="M52">
        <f t="shared" ca="1" si="43"/>
        <v>105.57956539678463</v>
      </c>
      <c r="N52">
        <f t="shared" ca="1" si="43"/>
        <v>102.54730820224542</v>
      </c>
      <c r="O52">
        <f t="shared" ca="1" si="43"/>
        <v>112.41558158318777</v>
      </c>
      <c r="P52">
        <f t="shared" ca="1" si="43"/>
        <v>109.78123413773024</v>
      </c>
      <c r="Q52">
        <f t="shared" ca="1" si="4"/>
        <v>112.41558158318777</v>
      </c>
      <c r="R52">
        <f t="shared" ca="1" si="5"/>
        <v>0</v>
      </c>
      <c r="S52">
        <f t="shared" ca="1" si="6"/>
        <v>0</v>
      </c>
    </row>
    <row r="53" spans="5:19" x14ac:dyDescent="0.75">
      <c r="E53">
        <v>48</v>
      </c>
      <c r="F53">
        <f t="shared" si="2"/>
        <v>100</v>
      </c>
      <c r="G53">
        <f t="shared" ca="1" si="3"/>
        <v>100.62138645745806</v>
      </c>
      <c r="H53">
        <f t="shared" ca="1" si="3"/>
        <v>97.999615668676412</v>
      </c>
      <c r="I53">
        <f t="shared" ca="1" si="3"/>
        <v>105.51615678633976</v>
      </c>
      <c r="J53">
        <f t="shared" ref="J53:P53" ca="1" si="44">I53*EXP(($C$6-0.5*$C$7^2)*$C$12+$C$7*SQRT($C$12)*NORMINV(RAND(),0,1))</f>
        <v>107.96973052542643</v>
      </c>
      <c r="K53">
        <f t="shared" ca="1" si="44"/>
        <v>108.08961190172468</v>
      </c>
      <c r="L53">
        <f t="shared" ca="1" si="44"/>
        <v>117.31289169227504</v>
      </c>
      <c r="M53">
        <f t="shared" ca="1" si="44"/>
        <v>120.67719781778611</v>
      </c>
      <c r="N53">
        <f t="shared" ca="1" si="44"/>
        <v>121.91144732852294</v>
      </c>
      <c r="O53">
        <f t="shared" ca="1" si="44"/>
        <v>121.50513817740556</v>
      </c>
      <c r="P53">
        <f t="shared" ca="1" si="44"/>
        <v>115.18267368532619</v>
      </c>
      <c r="Q53">
        <f t="shared" ca="1" si="4"/>
        <v>121.91144732852294</v>
      </c>
      <c r="R53">
        <f t="shared" ca="1" si="5"/>
        <v>0</v>
      </c>
      <c r="S53">
        <f t="shared" ca="1" si="6"/>
        <v>0</v>
      </c>
    </row>
    <row r="54" spans="5:19" x14ac:dyDescent="0.75">
      <c r="E54">
        <v>49</v>
      </c>
      <c r="F54">
        <f t="shared" si="2"/>
        <v>100</v>
      </c>
      <c r="G54">
        <f t="shared" ca="1" si="3"/>
        <v>101.71287574525689</v>
      </c>
      <c r="H54">
        <f t="shared" ca="1" si="3"/>
        <v>111.48034089880353</v>
      </c>
      <c r="I54">
        <f t="shared" ca="1" si="3"/>
        <v>117.94849019043984</v>
      </c>
      <c r="J54">
        <f t="shared" ref="J54:P54" ca="1" si="45">I54*EXP(($C$6-0.5*$C$7^2)*$C$12+$C$7*SQRT($C$12)*NORMINV(RAND(),0,1))</f>
        <v>109.38827502684528</v>
      </c>
      <c r="K54">
        <f t="shared" ca="1" si="45"/>
        <v>104.53626935058767</v>
      </c>
      <c r="L54">
        <f t="shared" ca="1" si="45"/>
        <v>110.96367068260588</v>
      </c>
      <c r="M54">
        <f t="shared" ca="1" si="45"/>
        <v>113.74290902501127</v>
      </c>
      <c r="N54">
        <f t="shared" ca="1" si="45"/>
        <v>115.0845441450691</v>
      </c>
      <c r="O54">
        <f t="shared" ca="1" si="45"/>
        <v>118.46875042774082</v>
      </c>
      <c r="P54">
        <f t="shared" ca="1" si="45"/>
        <v>117.6972124795668</v>
      </c>
      <c r="Q54">
        <f t="shared" ca="1" si="4"/>
        <v>118.46875042774082</v>
      </c>
      <c r="R54">
        <f t="shared" ca="1" si="5"/>
        <v>0</v>
      </c>
      <c r="S54">
        <f t="shared" ca="1" si="6"/>
        <v>0</v>
      </c>
    </row>
    <row r="55" spans="5:19" x14ac:dyDescent="0.75">
      <c r="E55">
        <v>50</v>
      </c>
      <c r="F55">
        <f t="shared" si="2"/>
        <v>100</v>
      </c>
      <c r="G55">
        <f t="shared" ca="1" si="3"/>
        <v>97.712073933764913</v>
      </c>
      <c r="H55">
        <f t="shared" ca="1" si="3"/>
        <v>93.693466752184833</v>
      </c>
      <c r="I55">
        <f t="shared" ca="1" si="3"/>
        <v>92.151764969294064</v>
      </c>
      <c r="J55">
        <f t="shared" ref="J55:P55" ca="1" si="46">I55*EXP(($C$6-0.5*$C$7^2)*$C$12+$C$7*SQRT($C$12)*NORMINV(RAND(),0,1))</f>
        <v>94.649127778781221</v>
      </c>
      <c r="K55">
        <f t="shared" ca="1" si="46"/>
        <v>98.122136103089161</v>
      </c>
      <c r="L55">
        <f t="shared" ca="1" si="46"/>
        <v>103.05554498046006</v>
      </c>
      <c r="M55">
        <f t="shared" ca="1" si="46"/>
        <v>100.54943614403692</v>
      </c>
      <c r="N55">
        <f t="shared" ca="1" si="46"/>
        <v>103.17462117916293</v>
      </c>
      <c r="O55">
        <f t="shared" ca="1" si="46"/>
        <v>104.43570150826211</v>
      </c>
      <c r="P55">
        <f t="shared" ca="1" si="46"/>
        <v>102.38884321585456</v>
      </c>
      <c r="Q55">
        <f t="shared" ca="1" si="4"/>
        <v>104.43570150826211</v>
      </c>
      <c r="R55">
        <f t="shared" ca="1" si="5"/>
        <v>0.38884321585456405</v>
      </c>
      <c r="S55">
        <f t="shared" ca="1" si="6"/>
        <v>0.37924264264792884</v>
      </c>
    </row>
    <row r="56" spans="5:19" x14ac:dyDescent="0.75">
      <c r="E56">
        <v>51</v>
      </c>
      <c r="F56">
        <f t="shared" si="2"/>
        <v>100</v>
      </c>
      <c r="G56">
        <f t="shared" ca="1" si="3"/>
        <v>96.370983172162028</v>
      </c>
      <c r="H56">
        <f t="shared" ca="1" si="3"/>
        <v>96.555851709825092</v>
      </c>
      <c r="I56">
        <f t="shared" ca="1" si="3"/>
        <v>97.007027496555764</v>
      </c>
      <c r="J56">
        <f t="shared" ref="J56:P56" ca="1" si="47">I56*EXP(($C$6-0.5*$C$7^2)*$C$12+$C$7*SQRT($C$12)*NORMINV(RAND(),0,1))</f>
        <v>97.883960920199428</v>
      </c>
      <c r="K56">
        <f t="shared" ca="1" si="47"/>
        <v>91.675230854980995</v>
      </c>
      <c r="L56">
        <f t="shared" ca="1" si="47"/>
        <v>95.495555028789923</v>
      </c>
      <c r="M56">
        <f t="shared" ca="1" si="47"/>
        <v>101.57695728330168</v>
      </c>
      <c r="N56">
        <f t="shared" ca="1" si="47"/>
        <v>100.66780964820778</v>
      </c>
      <c r="O56">
        <f t="shared" ca="1" si="47"/>
        <v>96.416680332866306</v>
      </c>
      <c r="P56">
        <f t="shared" ca="1" si="47"/>
        <v>98.489744637040346</v>
      </c>
      <c r="Q56">
        <f t="shared" ca="1" si="4"/>
        <v>101.57695728330168</v>
      </c>
      <c r="R56">
        <f t="shared" ca="1" si="5"/>
        <v>0</v>
      </c>
      <c r="S56">
        <f t="shared" ca="1" si="6"/>
        <v>0</v>
      </c>
    </row>
    <row r="57" spans="5:19" x14ac:dyDescent="0.75">
      <c r="E57">
        <v>52</v>
      </c>
      <c r="F57">
        <f t="shared" si="2"/>
        <v>100</v>
      </c>
      <c r="G57">
        <f t="shared" ca="1" si="3"/>
        <v>102.07956795182839</v>
      </c>
      <c r="H57">
        <f t="shared" ca="1" si="3"/>
        <v>101.83936006932616</v>
      </c>
      <c r="I57">
        <f t="shared" ca="1" si="3"/>
        <v>107.76721479316913</v>
      </c>
      <c r="J57">
        <f t="shared" ref="J57:P57" ca="1" si="48">I57*EXP(($C$6-0.5*$C$7^2)*$C$12+$C$7*SQRT($C$12)*NORMINV(RAND(),0,1))</f>
        <v>106.87467938389618</v>
      </c>
      <c r="K57">
        <f t="shared" ca="1" si="48"/>
        <v>108.12330300335387</v>
      </c>
      <c r="L57">
        <f t="shared" ca="1" si="48"/>
        <v>110.63177888348739</v>
      </c>
      <c r="M57">
        <f t="shared" ca="1" si="48"/>
        <v>108.10931265573734</v>
      </c>
      <c r="N57">
        <f t="shared" ca="1" si="48"/>
        <v>116.24616283092521</v>
      </c>
      <c r="O57">
        <f t="shared" ca="1" si="48"/>
        <v>120.66809093709506</v>
      </c>
      <c r="P57">
        <f t="shared" ca="1" si="48"/>
        <v>126.56865595042832</v>
      </c>
      <c r="Q57">
        <f t="shared" ca="1" si="4"/>
        <v>126.56865595042832</v>
      </c>
      <c r="R57">
        <f t="shared" ca="1" si="5"/>
        <v>0</v>
      </c>
      <c r="S57">
        <f t="shared" ca="1" si="6"/>
        <v>0</v>
      </c>
    </row>
    <row r="58" spans="5:19" x14ac:dyDescent="0.75">
      <c r="E58">
        <v>53</v>
      </c>
      <c r="F58">
        <f t="shared" si="2"/>
        <v>100</v>
      </c>
      <c r="G58">
        <f t="shared" ca="1" si="3"/>
        <v>102.39675297384545</v>
      </c>
      <c r="H58">
        <f t="shared" ca="1" si="3"/>
        <v>98.099244696195854</v>
      </c>
      <c r="I58">
        <f t="shared" ca="1" si="3"/>
        <v>101.88192944549857</v>
      </c>
      <c r="J58">
        <f t="shared" ref="J58:P58" ca="1" si="49">I58*EXP(($C$6-0.5*$C$7^2)*$C$12+$C$7*SQRT($C$12)*NORMINV(RAND(),0,1))</f>
        <v>103.30814763009815</v>
      </c>
      <c r="K58">
        <f t="shared" ca="1" si="49"/>
        <v>100.21375379522385</v>
      </c>
      <c r="L58">
        <f t="shared" ca="1" si="49"/>
        <v>104.84498225369995</v>
      </c>
      <c r="M58">
        <f t="shared" ca="1" si="49"/>
        <v>108.27891734422069</v>
      </c>
      <c r="N58">
        <f t="shared" ca="1" si="49"/>
        <v>112.81009033462936</v>
      </c>
      <c r="O58">
        <f t="shared" ca="1" si="49"/>
        <v>117.56668617815022</v>
      </c>
      <c r="P58">
        <f t="shared" ca="1" si="49"/>
        <v>115.22501631700689</v>
      </c>
      <c r="Q58">
        <f t="shared" ca="1" si="4"/>
        <v>117.56668617815022</v>
      </c>
      <c r="R58">
        <f t="shared" ca="1" si="5"/>
        <v>0</v>
      </c>
      <c r="S58">
        <f t="shared" ca="1" si="6"/>
        <v>0</v>
      </c>
    </row>
    <row r="59" spans="5:19" x14ac:dyDescent="0.75">
      <c r="E59">
        <v>54</v>
      </c>
      <c r="F59">
        <f t="shared" si="2"/>
        <v>100</v>
      </c>
      <c r="G59">
        <f t="shared" ca="1" si="3"/>
        <v>100.6962879881723</v>
      </c>
      <c r="H59">
        <f t="shared" ca="1" si="3"/>
        <v>97.103511573695144</v>
      </c>
      <c r="I59">
        <f t="shared" ca="1" si="3"/>
        <v>101.24859589939311</v>
      </c>
      <c r="J59">
        <f t="shared" ref="J59:P59" ca="1" si="50">I59*EXP(($C$6-0.5*$C$7^2)*$C$12+$C$7*SQRT($C$12)*NORMINV(RAND(),0,1))</f>
        <v>100.07850568314032</v>
      </c>
      <c r="K59">
        <f t="shared" ca="1" si="50"/>
        <v>101.92286057658831</v>
      </c>
      <c r="L59">
        <f t="shared" ca="1" si="50"/>
        <v>96.003490130703895</v>
      </c>
      <c r="M59">
        <f t="shared" ca="1" si="50"/>
        <v>100.70293039342893</v>
      </c>
      <c r="N59">
        <f t="shared" ca="1" si="50"/>
        <v>105.44851827790855</v>
      </c>
      <c r="O59">
        <f t="shared" ca="1" si="50"/>
        <v>109.26930716502378</v>
      </c>
      <c r="P59">
        <f t="shared" ca="1" si="50"/>
        <v>106.73768071713714</v>
      </c>
      <c r="Q59">
        <f t="shared" ca="1" si="4"/>
        <v>109.26930716502378</v>
      </c>
      <c r="R59">
        <f t="shared" ca="1" si="5"/>
        <v>4.7376807171371382</v>
      </c>
      <c r="S59">
        <f t="shared" ca="1" si="6"/>
        <v>4.6207069634493498</v>
      </c>
    </row>
    <row r="60" spans="5:19" x14ac:dyDescent="0.75">
      <c r="E60">
        <v>55</v>
      </c>
      <c r="F60">
        <f t="shared" si="2"/>
        <v>100</v>
      </c>
      <c r="G60">
        <f t="shared" ca="1" si="3"/>
        <v>96.683008485919842</v>
      </c>
      <c r="H60">
        <f t="shared" ca="1" si="3"/>
        <v>98.228217486848862</v>
      </c>
      <c r="I60">
        <f t="shared" ca="1" si="3"/>
        <v>90.501103588729961</v>
      </c>
      <c r="J60">
        <f t="shared" ref="J60:P60" ca="1" si="51">I60*EXP(($C$6-0.5*$C$7^2)*$C$12+$C$7*SQRT($C$12)*NORMINV(RAND(),0,1))</f>
        <v>89.458411641100625</v>
      </c>
      <c r="K60">
        <f t="shared" ca="1" si="51"/>
        <v>84.504145838316433</v>
      </c>
      <c r="L60">
        <f t="shared" ca="1" si="51"/>
        <v>88.289306775093607</v>
      </c>
      <c r="M60">
        <f t="shared" ca="1" si="51"/>
        <v>84.905189357909421</v>
      </c>
      <c r="N60">
        <f t="shared" ca="1" si="51"/>
        <v>81.538814731734732</v>
      </c>
      <c r="O60">
        <f t="shared" ca="1" si="51"/>
        <v>83.836425825829778</v>
      </c>
      <c r="P60">
        <f t="shared" ca="1" si="51"/>
        <v>85.824410611701012</v>
      </c>
      <c r="Q60">
        <f t="shared" ca="1" si="4"/>
        <v>98.228217486848862</v>
      </c>
      <c r="R60">
        <f t="shared" ca="1" si="5"/>
        <v>0</v>
      </c>
      <c r="S60">
        <f t="shared" ca="1" si="6"/>
        <v>0</v>
      </c>
    </row>
    <row r="61" spans="5:19" x14ac:dyDescent="0.75">
      <c r="E61">
        <v>56</v>
      </c>
      <c r="F61">
        <f t="shared" si="2"/>
        <v>100</v>
      </c>
      <c r="G61">
        <f t="shared" ca="1" si="3"/>
        <v>98.222179714939514</v>
      </c>
      <c r="H61">
        <f t="shared" ca="1" si="3"/>
        <v>93.960074949106712</v>
      </c>
      <c r="I61">
        <f t="shared" ca="1" si="3"/>
        <v>94.982052478200643</v>
      </c>
      <c r="J61">
        <f t="shared" ref="J61:P61" ca="1" si="52">I61*EXP(($C$6-0.5*$C$7^2)*$C$12+$C$7*SQRT($C$12)*NORMINV(RAND(),0,1))</f>
        <v>88.899877027243292</v>
      </c>
      <c r="K61">
        <f t="shared" ca="1" si="52"/>
        <v>96.988944963429191</v>
      </c>
      <c r="L61">
        <f t="shared" ca="1" si="52"/>
        <v>92.636164994172887</v>
      </c>
      <c r="M61">
        <f t="shared" ca="1" si="52"/>
        <v>94.203467869542919</v>
      </c>
      <c r="N61">
        <f t="shared" ca="1" si="52"/>
        <v>100.15508651739901</v>
      </c>
      <c r="O61">
        <f t="shared" ca="1" si="52"/>
        <v>94.511973070444952</v>
      </c>
      <c r="P61">
        <f t="shared" ca="1" si="52"/>
        <v>94.73467459337553</v>
      </c>
      <c r="Q61">
        <f t="shared" ca="1" si="4"/>
        <v>100.15508651739901</v>
      </c>
      <c r="R61">
        <f t="shared" ca="1" si="5"/>
        <v>0</v>
      </c>
      <c r="S61">
        <f t="shared" ca="1" si="6"/>
        <v>0</v>
      </c>
    </row>
    <row r="62" spans="5:19" x14ac:dyDescent="0.75">
      <c r="E62">
        <v>57</v>
      </c>
      <c r="F62">
        <f t="shared" si="2"/>
        <v>100</v>
      </c>
      <c r="G62">
        <f t="shared" ca="1" si="3"/>
        <v>100.1808102567001</v>
      </c>
      <c r="H62">
        <f t="shared" ca="1" si="3"/>
        <v>113.47453257964533</v>
      </c>
      <c r="I62">
        <f t="shared" ca="1" si="3"/>
        <v>109.8232827886016</v>
      </c>
      <c r="J62">
        <f t="shared" ref="J62:P62" ca="1" si="53">I62*EXP(($C$6-0.5*$C$7^2)*$C$12+$C$7*SQRT($C$12)*NORMINV(RAND(),0,1))</f>
        <v>116.95082263427723</v>
      </c>
      <c r="K62">
        <f t="shared" ca="1" si="53"/>
        <v>121.50964896768048</v>
      </c>
      <c r="L62">
        <f t="shared" ca="1" si="53"/>
        <v>122.60468236533744</v>
      </c>
      <c r="M62">
        <f t="shared" ca="1" si="53"/>
        <v>131.16284381893087</v>
      </c>
      <c r="N62">
        <f t="shared" ca="1" si="53"/>
        <v>130.08142578650015</v>
      </c>
      <c r="O62">
        <f t="shared" ca="1" si="53"/>
        <v>127.5533307059351</v>
      </c>
      <c r="P62">
        <f t="shared" ca="1" si="53"/>
        <v>122.0941131510189</v>
      </c>
      <c r="Q62">
        <f t="shared" ca="1" si="4"/>
        <v>131.16284381893087</v>
      </c>
      <c r="R62">
        <f t="shared" ca="1" si="5"/>
        <v>0</v>
      </c>
      <c r="S62">
        <f t="shared" ca="1" si="6"/>
        <v>0</v>
      </c>
    </row>
    <row r="63" spans="5:19" x14ac:dyDescent="0.75">
      <c r="E63">
        <v>58</v>
      </c>
      <c r="F63">
        <f t="shared" si="2"/>
        <v>100</v>
      </c>
      <c r="G63">
        <f t="shared" ca="1" si="3"/>
        <v>101.17380609608797</v>
      </c>
      <c r="H63">
        <f t="shared" ca="1" si="3"/>
        <v>94.507188971439774</v>
      </c>
      <c r="I63">
        <f t="shared" ca="1" si="3"/>
        <v>99.054549319790937</v>
      </c>
      <c r="J63">
        <f t="shared" ref="J63:P63" ca="1" si="54">I63*EXP(($C$6-0.5*$C$7^2)*$C$12+$C$7*SQRT($C$12)*NORMINV(RAND(),0,1))</f>
        <v>101.13816729492345</v>
      </c>
      <c r="K63">
        <f t="shared" ca="1" si="54"/>
        <v>104.59465150283577</v>
      </c>
      <c r="L63">
        <f t="shared" ca="1" si="54"/>
        <v>98.360796493255961</v>
      </c>
      <c r="M63">
        <f t="shared" ca="1" si="54"/>
        <v>95.236721948508176</v>
      </c>
      <c r="N63">
        <f t="shared" ca="1" si="54"/>
        <v>93.123775201105516</v>
      </c>
      <c r="O63">
        <f t="shared" ca="1" si="54"/>
        <v>95.737425137539489</v>
      </c>
      <c r="P63">
        <f t="shared" ca="1" si="54"/>
        <v>102.2633795829386</v>
      </c>
      <c r="Q63">
        <f t="shared" ca="1" si="4"/>
        <v>104.59465150283577</v>
      </c>
      <c r="R63">
        <f t="shared" ca="1" si="5"/>
        <v>0.26337958293859742</v>
      </c>
      <c r="S63">
        <f t="shared" ca="1" si="6"/>
        <v>0.25687671786590238</v>
      </c>
    </row>
    <row r="64" spans="5:19" x14ac:dyDescent="0.75">
      <c r="E64">
        <v>59</v>
      </c>
      <c r="F64">
        <f t="shared" si="2"/>
        <v>100</v>
      </c>
      <c r="G64">
        <f t="shared" ca="1" si="3"/>
        <v>98.673220473454421</v>
      </c>
      <c r="H64">
        <f t="shared" ca="1" si="3"/>
        <v>104.87701097985833</v>
      </c>
      <c r="I64">
        <f t="shared" ca="1" si="3"/>
        <v>101.43128001492323</v>
      </c>
      <c r="J64">
        <f t="shared" ref="J64:P64" ca="1" si="55">I64*EXP(($C$6-0.5*$C$7^2)*$C$12+$C$7*SQRT($C$12)*NORMINV(RAND(),0,1))</f>
        <v>106.6294588556421</v>
      </c>
      <c r="K64">
        <f t="shared" ca="1" si="55"/>
        <v>100.95558350082409</v>
      </c>
      <c r="L64">
        <f t="shared" ca="1" si="55"/>
        <v>91.816255309433103</v>
      </c>
      <c r="M64">
        <f t="shared" ca="1" si="55"/>
        <v>97.196333111255996</v>
      </c>
      <c r="N64">
        <f t="shared" ca="1" si="55"/>
        <v>91.158799682682201</v>
      </c>
      <c r="O64">
        <f t="shared" ca="1" si="55"/>
        <v>84.574632855909215</v>
      </c>
      <c r="P64">
        <f t="shared" ca="1" si="55"/>
        <v>84.388638887322386</v>
      </c>
      <c r="Q64">
        <f t="shared" ca="1" si="4"/>
        <v>106.6294588556421</v>
      </c>
      <c r="R64">
        <f t="shared" ca="1" si="5"/>
        <v>0</v>
      </c>
      <c r="S64">
        <f t="shared" ca="1" si="6"/>
        <v>0</v>
      </c>
    </row>
    <row r="65" spans="5:19" x14ac:dyDescent="0.75">
      <c r="E65">
        <v>60</v>
      </c>
      <c r="F65">
        <f t="shared" si="2"/>
        <v>100</v>
      </c>
      <c r="G65">
        <f t="shared" ca="1" si="3"/>
        <v>94.335514656450499</v>
      </c>
      <c r="H65">
        <f t="shared" ca="1" si="3"/>
        <v>97.276330030444399</v>
      </c>
      <c r="I65">
        <f t="shared" ca="1" si="3"/>
        <v>97.625762327467939</v>
      </c>
      <c r="J65">
        <f t="shared" ref="J65:P65" ca="1" si="56">I65*EXP(($C$6-0.5*$C$7^2)*$C$12+$C$7*SQRT($C$12)*NORMINV(RAND(),0,1))</f>
        <v>100.17830315432823</v>
      </c>
      <c r="K65">
        <f t="shared" ca="1" si="56"/>
        <v>102.46349547929709</v>
      </c>
      <c r="L65">
        <f t="shared" ca="1" si="56"/>
        <v>107.08491314230584</v>
      </c>
      <c r="M65">
        <f t="shared" ca="1" si="56"/>
        <v>118.40168494396833</v>
      </c>
      <c r="N65">
        <f t="shared" ca="1" si="56"/>
        <v>121.32778087800554</v>
      </c>
      <c r="O65">
        <f t="shared" ca="1" si="56"/>
        <v>119.40209849681384</v>
      </c>
      <c r="P65">
        <f t="shared" ca="1" si="56"/>
        <v>115.76539042494986</v>
      </c>
      <c r="Q65">
        <f t="shared" ca="1" si="4"/>
        <v>121.32778087800554</v>
      </c>
      <c r="R65">
        <f t="shared" ca="1" si="5"/>
        <v>0</v>
      </c>
      <c r="S65">
        <f t="shared" ca="1" si="6"/>
        <v>0</v>
      </c>
    </row>
    <row r="66" spans="5:19" x14ac:dyDescent="0.75">
      <c r="E66">
        <v>61</v>
      </c>
      <c r="F66">
        <f t="shared" si="2"/>
        <v>100</v>
      </c>
      <c r="G66">
        <f t="shared" ca="1" si="3"/>
        <v>108.99336009226337</v>
      </c>
      <c r="H66">
        <f t="shared" ca="1" si="3"/>
        <v>114.31483175166149</v>
      </c>
      <c r="I66">
        <f t="shared" ca="1" si="3"/>
        <v>114.16954544067335</v>
      </c>
      <c r="J66">
        <f t="shared" ref="J66:P66" ca="1" si="57">I66*EXP(($C$6-0.5*$C$7^2)*$C$12+$C$7*SQRT($C$12)*NORMINV(RAND(),0,1))</f>
        <v>112.05152152861157</v>
      </c>
      <c r="K66">
        <f t="shared" ca="1" si="57"/>
        <v>104.97194148412903</v>
      </c>
      <c r="L66">
        <f t="shared" ca="1" si="57"/>
        <v>111.36633400242981</v>
      </c>
      <c r="M66">
        <f t="shared" ca="1" si="57"/>
        <v>118.20041787915454</v>
      </c>
      <c r="N66">
        <f t="shared" ca="1" si="57"/>
        <v>119.37282748086848</v>
      </c>
      <c r="O66">
        <f t="shared" ca="1" si="57"/>
        <v>117.22066809866837</v>
      </c>
      <c r="P66">
        <f t="shared" ca="1" si="57"/>
        <v>114.0255734171339</v>
      </c>
      <c r="Q66">
        <f t="shared" ca="1" si="4"/>
        <v>119.37282748086848</v>
      </c>
      <c r="R66">
        <f t="shared" ca="1" si="5"/>
        <v>0</v>
      </c>
      <c r="S66">
        <f t="shared" ca="1" si="6"/>
        <v>0</v>
      </c>
    </row>
    <row r="67" spans="5:19" x14ac:dyDescent="0.75">
      <c r="E67">
        <v>62</v>
      </c>
      <c r="F67">
        <f t="shared" si="2"/>
        <v>100</v>
      </c>
      <c r="G67">
        <f t="shared" ca="1" si="3"/>
        <v>102.31405254489125</v>
      </c>
      <c r="H67">
        <f t="shared" ca="1" si="3"/>
        <v>105.31113411777386</v>
      </c>
      <c r="I67">
        <f t="shared" ca="1" si="3"/>
        <v>100.85077393916859</v>
      </c>
      <c r="J67">
        <f t="shared" ref="J67:P67" ca="1" si="58">I67*EXP(($C$6-0.5*$C$7^2)*$C$12+$C$7*SQRT($C$12)*NORMINV(RAND(),0,1))</f>
        <v>103.6119141413748</v>
      </c>
      <c r="K67">
        <f t="shared" ca="1" si="58"/>
        <v>97.432613465027003</v>
      </c>
      <c r="L67">
        <f t="shared" ca="1" si="58"/>
        <v>99.116952845689099</v>
      </c>
      <c r="M67">
        <f t="shared" ca="1" si="58"/>
        <v>99.085189490027915</v>
      </c>
      <c r="N67">
        <f t="shared" ca="1" si="58"/>
        <v>114.87403035372439</v>
      </c>
      <c r="O67">
        <f t="shared" ca="1" si="58"/>
        <v>113.99252779984549</v>
      </c>
      <c r="P67">
        <f t="shared" ca="1" si="58"/>
        <v>105.5966962640415</v>
      </c>
      <c r="Q67">
        <f t="shared" ca="1" si="4"/>
        <v>114.87403035372439</v>
      </c>
      <c r="R67">
        <f t="shared" ca="1" si="5"/>
        <v>0</v>
      </c>
      <c r="S67">
        <f t="shared" ca="1" si="6"/>
        <v>0</v>
      </c>
    </row>
    <row r="68" spans="5:19" x14ac:dyDescent="0.75">
      <c r="E68">
        <v>63</v>
      </c>
      <c r="F68">
        <f t="shared" si="2"/>
        <v>100</v>
      </c>
      <c r="G68">
        <f t="shared" ca="1" si="3"/>
        <v>99.565389561004181</v>
      </c>
      <c r="H68">
        <f t="shared" ca="1" si="3"/>
        <v>90.379093304361618</v>
      </c>
      <c r="I68">
        <f t="shared" ca="1" si="3"/>
        <v>90.611698892778037</v>
      </c>
      <c r="J68">
        <f t="shared" ref="J68:P68" ca="1" si="59">I68*EXP(($C$6-0.5*$C$7^2)*$C$12+$C$7*SQRT($C$12)*NORMINV(RAND(),0,1))</f>
        <v>90.47342040704396</v>
      </c>
      <c r="K68">
        <f t="shared" ca="1" si="59"/>
        <v>97.494565682501914</v>
      </c>
      <c r="L68">
        <f t="shared" ca="1" si="59"/>
        <v>94.85771956056017</v>
      </c>
      <c r="M68">
        <f t="shared" ca="1" si="59"/>
        <v>97.449843242685404</v>
      </c>
      <c r="N68">
        <f t="shared" ca="1" si="59"/>
        <v>90.29165372483574</v>
      </c>
      <c r="O68">
        <f t="shared" ca="1" si="59"/>
        <v>88.256199193093977</v>
      </c>
      <c r="P68">
        <f t="shared" ca="1" si="59"/>
        <v>91.545716211892525</v>
      </c>
      <c r="Q68">
        <f t="shared" ca="1" si="4"/>
        <v>99.565389561004181</v>
      </c>
      <c r="R68">
        <f t="shared" ca="1" si="5"/>
        <v>0</v>
      </c>
      <c r="S68">
        <f t="shared" ca="1" si="6"/>
        <v>0</v>
      </c>
    </row>
    <row r="69" spans="5:19" x14ac:dyDescent="0.75">
      <c r="E69">
        <v>64</v>
      </c>
      <c r="F69">
        <f t="shared" si="2"/>
        <v>100</v>
      </c>
      <c r="G69">
        <f t="shared" ca="1" si="3"/>
        <v>98.053030504584882</v>
      </c>
      <c r="H69">
        <f t="shared" ca="1" si="3"/>
        <v>98.524699771765697</v>
      </c>
      <c r="I69">
        <f t="shared" ca="1" si="3"/>
        <v>101.11904546608662</v>
      </c>
      <c r="J69">
        <f t="shared" ref="J69:P69" ca="1" si="60">I69*EXP(($C$6-0.5*$C$7^2)*$C$12+$C$7*SQRT($C$12)*NORMINV(RAND(),0,1))</f>
        <v>109.08241903713134</v>
      </c>
      <c r="K69">
        <f t="shared" ca="1" si="60"/>
        <v>100.39856747939356</v>
      </c>
      <c r="L69">
        <f t="shared" ca="1" si="60"/>
        <v>94.602810941741936</v>
      </c>
      <c r="M69">
        <f t="shared" ca="1" si="60"/>
        <v>101.40493606275766</v>
      </c>
      <c r="N69">
        <f t="shared" ca="1" si="60"/>
        <v>102.82516428901644</v>
      </c>
      <c r="O69">
        <f t="shared" ca="1" si="60"/>
        <v>105.09935418785453</v>
      </c>
      <c r="P69">
        <f t="shared" ca="1" si="60"/>
        <v>109.444435481524</v>
      </c>
      <c r="Q69">
        <f t="shared" ca="1" si="4"/>
        <v>109.444435481524</v>
      </c>
      <c r="R69">
        <f t="shared" ca="1" si="5"/>
        <v>7.4444354815239961</v>
      </c>
      <c r="S69">
        <f t="shared" ca="1" si="6"/>
        <v>7.2606317145857666</v>
      </c>
    </row>
    <row r="70" spans="5:19" x14ac:dyDescent="0.75">
      <c r="E70">
        <v>65</v>
      </c>
      <c r="F70">
        <f t="shared" si="2"/>
        <v>100</v>
      </c>
      <c r="G70">
        <f t="shared" ca="1" si="3"/>
        <v>97.504269901834761</v>
      </c>
      <c r="H70">
        <f t="shared" ca="1" si="3"/>
        <v>101.2390929443623</v>
      </c>
      <c r="I70">
        <f t="shared" ca="1" si="3"/>
        <v>103.73229093242119</v>
      </c>
      <c r="J70">
        <f t="shared" ref="J70:P70" ca="1" si="61">I70*EXP(($C$6-0.5*$C$7^2)*$C$12+$C$7*SQRT($C$12)*NORMINV(RAND(),0,1))</f>
        <v>101.08121803552345</v>
      </c>
      <c r="K70">
        <f t="shared" ca="1" si="61"/>
        <v>105.44564391332234</v>
      </c>
      <c r="L70">
        <f t="shared" ca="1" si="61"/>
        <v>108.78128428048488</v>
      </c>
      <c r="M70">
        <f t="shared" ca="1" si="61"/>
        <v>106.08055964598047</v>
      </c>
      <c r="N70">
        <f t="shared" ca="1" si="61"/>
        <v>109.49385024655744</v>
      </c>
      <c r="O70">
        <f t="shared" ca="1" si="61"/>
        <v>116.5019610861971</v>
      </c>
      <c r="P70">
        <f t="shared" ca="1" si="61"/>
        <v>111.20759143113403</v>
      </c>
      <c r="Q70">
        <f t="shared" ca="1" si="4"/>
        <v>116.5019610861971</v>
      </c>
      <c r="R70">
        <f t="shared" ca="1" si="5"/>
        <v>0</v>
      </c>
      <c r="S70">
        <f t="shared" ca="1" si="6"/>
        <v>0</v>
      </c>
    </row>
    <row r="71" spans="5:19" x14ac:dyDescent="0.75">
      <c r="E71">
        <v>66</v>
      </c>
      <c r="F71">
        <f t="shared" ref="F71:F134" si="62">$C$5</f>
        <v>100</v>
      </c>
      <c r="G71">
        <f t="shared" ref="G71:P134" ca="1" si="63">F71*EXP(($C$6-0.5*$C$7^2)*$C$12+$C$7*SQRT($C$12)*NORMINV(RAND(),0,1))</f>
        <v>104.34694002243168</v>
      </c>
      <c r="H71">
        <f t="shared" ca="1" si="63"/>
        <v>103.57389227096051</v>
      </c>
      <c r="I71">
        <f t="shared" ca="1" si="63"/>
        <v>102.63076573070671</v>
      </c>
      <c r="J71">
        <f t="shared" ca="1" si="63"/>
        <v>100.93039628010818</v>
      </c>
      <c r="K71">
        <f t="shared" ca="1" si="63"/>
        <v>109.2633648292998</v>
      </c>
      <c r="L71">
        <f t="shared" ca="1" si="63"/>
        <v>110.6385384804224</v>
      </c>
      <c r="M71">
        <f t="shared" ca="1" si="63"/>
        <v>105.42563515908556</v>
      </c>
      <c r="N71">
        <f t="shared" ca="1" si="63"/>
        <v>104.23315014554049</v>
      </c>
      <c r="O71">
        <f t="shared" ca="1" si="63"/>
        <v>114.03113849570943</v>
      </c>
      <c r="P71">
        <f t="shared" ca="1" si="63"/>
        <v>116.28691326659984</v>
      </c>
      <c r="Q71">
        <f t="shared" ref="Q71:Q134" ca="1" si="64">MAX(G71:P71)</f>
        <v>116.28691326659984</v>
      </c>
      <c r="R71">
        <f t="shared" ref="R71:R134" ca="1" si="65">IF(Q71&gt;=$C$13,0, MAX(P71-$C$9,0))</f>
        <v>0</v>
      </c>
      <c r="S71">
        <f t="shared" ref="S71:S134" ca="1" si="66">EXP(-$C$6*$C$8)*R71</f>
        <v>0</v>
      </c>
    </row>
    <row r="72" spans="5:19" x14ac:dyDescent="0.75">
      <c r="E72">
        <v>67</v>
      </c>
      <c r="F72">
        <f t="shared" si="62"/>
        <v>100</v>
      </c>
      <c r="G72">
        <f t="shared" ca="1" si="63"/>
        <v>96.969413775439079</v>
      </c>
      <c r="H72">
        <f t="shared" ca="1" si="63"/>
        <v>98.420389321356495</v>
      </c>
      <c r="I72">
        <f t="shared" ca="1" si="63"/>
        <v>91.710000141094937</v>
      </c>
      <c r="J72">
        <f t="shared" ca="1" si="63"/>
        <v>89.590881069809271</v>
      </c>
      <c r="K72">
        <f t="shared" ca="1" si="63"/>
        <v>92.450189915236791</v>
      </c>
      <c r="L72">
        <f t="shared" ca="1" si="63"/>
        <v>92.846014392999876</v>
      </c>
      <c r="M72">
        <f t="shared" ca="1" si="63"/>
        <v>92.629878362650572</v>
      </c>
      <c r="N72">
        <f t="shared" ca="1" si="63"/>
        <v>92.089349957031416</v>
      </c>
      <c r="O72">
        <f t="shared" ca="1" si="63"/>
        <v>94.634673660673641</v>
      </c>
      <c r="P72">
        <f t="shared" ca="1" si="63"/>
        <v>97.554679766637193</v>
      </c>
      <c r="Q72">
        <f t="shared" ca="1" si="64"/>
        <v>98.420389321356495</v>
      </c>
      <c r="R72">
        <f t="shared" ca="1" si="65"/>
        <v>0</v>
      </c>
      <c r="S72">
        <f t="shared" ca="1" si="66"/>
        <v>0</v>
      </c>
    </row>
    <row r="73" spans="5:19" x14ac:dyDescent="0.75">
      <c r="E73">
        <v>68</v>
      </c>
      <c r="F73">
        <f t="shared" si="62"/>
        <v>100</v>
      </c>
      <c r="G73">
        <f t="shared" ca="1" si="63"/>
        <v>99.709346945505501</v>
      </c>
      <c r="H73">
        <f t="shared" ca="1" si="63"/>
        <v>97.767871206488408</v>
      </c>
      <c r="I73">
        <f t="shared" ca="1" si="63"/>
        <v>100.54429922610437</v>
      </c>
      <c r="J73">
        <f t="shared" ca="1" si="63"/>
        <v>98.495709694336455</v>
      </c>
      <c r="K73">
        <f t="shared" ca="1" si="63"/>
        <v>96.752965060637607</v>
      </c>
      <c r="L73">
        <f t="shared" ca="1" si="63"/>
        <v>96.305765923129854</v>
      </c>
      <c r="M73">
        <f t="shared" ca="1" si="63"/>
        <v>94.537402350898674</v>
      </c>
      <c r="N73">
        <f t="shared" ca="1" si="63"/>
        <v>91.176002228314275</v>
      </c>
      <c r="O73">
        <f t="shared" ca="1" si="63"/>
        <v>83.010967807508962</v>
      </c>
      <c r="P73">
        <f t="shared" ca="1" si="63"/>
        <v>81.580652231654398</v>
      </c>
      <c r="Q73">
        <f t="shared" ca="1" si="64"/>
        <v>100.54429922610437</v>
      </c>
      <c r="R73">
        <f t="shared" ca="1" si="65"/>
        <v>0</v>
      </c>
      <c r="S73">
        <f t="shared" ca="1" si="66"/>
        <v>0</v>
      </c>
    </row>
    <row r="74" spans="5:19" x14ac:dyDescent="0.75">
      <c r="E74">
        <v>69</v>
      </c>
      <c r="F74">
        <f t="shared" si="62"/>
        <v>100</v>
      </c>
      <c r="G74">
        <f t="shared" ca="1" si="63"/>
        <v>102.48802727325244</v>
      </c>
      <c r="H74">
        <f t="shared" ca="1" si="63"/>
        <v>99.718493950576629</v>
      </c>
      <c r="I74">
        <f t="shared" ca="1" si="63"/>
        <v>107.37774854508159</v>
      </c>
      <c r="J74">
        <f t="shared" ca="1" si="63"/>
        <v>104.80451910445477</v>
      </c>
      <c r="K74">
        <f t="shared" ca="1" si="63"/>
        <v>104.25997188143531</v>
      </c>
      <c r="L74">
        <f t="shared" ca="1" si="63"/>
        <v>110.353465102676</v>
      </c>
      <c r="M74">
        <f t="shared" ca="1" si="63"/>
        <v>106.28886591851938</v>
      </c>
      <c r="N74">
        <f t="shared" ca="1" si="63"/>
        <v>105.64715577361969</v>
      </c>
      <c r="O74">
        <f t="shared" ca="1" si="63"/>
        <v>119.35995267741023</v>
      </c>
      <c r="P74">
        <f t="shared" ca="1" si="63"/>
        <v>119.41838513578109</v>
      </c>
      <c r="Q74">
        <f t="shared" ca="1" si="64"/>
        <v>119.41838513578109</v>
      </c>
      <c r="R74">
        <f t="shared" ca="1" si="65"/>
        <v>0</v>
      </c>
      <c r="S74">
        <f t="shared" ca="1" si="66"/>
        <v>0</v>
      </c>
    </row>
    <row r="75" spans="5:19" x14ac:dyDescent="0.75">
      <c r="E75">
        <v>70</v>
      </c>
      <c r="F75">
        <f t="shared" si="62"/>
        <v>100</v>
      </c>
      <c r="G75">
        <f t="shared" ca="1" si="63"/>
        <v>103.62227106572126</v>
      </c>
      <c r="H75">
        <f t="shared" ca="1" si="63"/>
        <v>102.64708212420618</v>
      </c>
      <c r="I75">
        <f t="shared" ca="1" si="63"/>
        <v>93.548199584751245</v>
      </c>
      <c r="J75">
        <f t="shared" ca="1" si="63"/>
        <v>92.202837301708385</v>
      </c>
      <c r="K75">
        <f t="shared" ca="1" si="63"/>
        <v>82.417425116454893</v>
      </c>
      <c r="L75">
        <f t="shared" ca="1" si="63"/>
        <v>84.863741394712932</v>
      </c>
      <c r="M75">
        <f t="shared" ca="1" si="63"/>
        <v>79.694784268123058</v>
      </c>
      <c r="N75">
        <f t="shared" ca="1" si="63"/>
        <v>79.413148676420917</v>
      </c>
      <c r="O75">
        <f t="shared" ca="1" si="63"/>
        <v>80.476342241662778</v>
      </c>
      <c r="P75">
        <f t="shared" ca="1" si="63"/>
        <v>75.550092333566809</v>
      </c>
      <c r="Q75">
        <f t="shared" ca="1" si="64"/>
        <v>103.62227106572126</v>
      </c>
      <c r="R75">
        <f t="shared" ca="1" si="65"/>
        <v>0</v>
      </c>
      <c r="S75">
        <f t="shared" ca="1" si="66"/>
        <v>0</v>
      </c>
    </row>
    <row r="76" spans="5:19" x14ac:dyDescent="0.75">
      <c r="E76">
        <v>71</v>
      </c>
      <c r="F76">
        <f t="shared" si="62"/>
        <v>100</v>
      </c>
      <c r="G76">
        <f t="shared" ca="1" si="63"/>
        <v>108.67634431328651</v>
      </c>
      <c r="H76">
        <f t="shared" ca="1" si="63"/>
        <v>115.65201915504427</v>
      </c>
      <c r="I76">
        <f t="shared" ca="1" si="63"/>
        <v>116.00996160348436</v>
      </c>
      <c r="J76">
        <f t="shared" ca="1" si="63"/>
        <v>107.43791820440076</v>
      </c>
      <c r="K76">
        <f t="shared" ca="1" si="63"/>
        <v>109.29773424859573</v>
      </c>
      <c r="L76">
        <f t="shared" ca="1" si="63"/>
        <v>111.40514779800196</v>
      </c>
      <c r="M76">
        <f t="shared" ca="1" si="63"/>
        <v>105.47063977943782</v>
      </c>
      <c r="N76">
        <f t="shared" ca="1" si="63"/>
        <v>105.29272665895992</v>
      </c>
      <c r="O76">
        <f t="shared" ca="1" si="63"/>
        <v>100.50127017313761</v>
      </c>
      <c r="P76">
        <f t="shared" ca="1" si="63"/>
        <v>101.54938633336174</v>
      </c>
      <c r="Q76">
        <f t="shared" ca="1" si="64"/>
        <v>116.00996160348436</v>
      </c>
      <c r="R76">
        <f t="shared" ca="1" si="65"/>
        <v>0</v>
      </c>
      <c r="S76">
        <f t="shared" ca="1" si="66"/>
        <v>0</v>
      </c>
    </row>
    <row r="77" spans="5:19" x14ac:dyDescent="0.75">
      <c r="E77">
        <v>72</v>
      </c>
      <c r="F77">
        <f t="shared" si="62"/>
        <v>100</v>
      </c>
      <c r="G77">
        <f t="shared" ca="1" si="63"/>
        <v>98.006590738848828</v>
      </c>
      <c r="H77">
        <f t="shared" ca="1" si="63"/>
        <v>97.131914373222202</v>
      </c>
      <c r="I77">
        <f t="shared" ca="1" si="63"/>
        <v>94.747617560015541</v>
      </c>
      <c r="J77">
        <f t="shared" ca="1" si="63"/>
        <v>95.492604384206345</v>
      </c>
      <c r="K77">
        <f t="shared" ca="1" si="63"/>
        <v>92.693941869569557</v>
      </c>
      <c r="L77">
        <f t="shared" ca="1" si="63"/>
        <v>96.634214264554174</v>
      </c>
      <c r="M77">
        <f t="shared" ca="1" si="63"/>
        <v>98.761727984506734</v>
      </c>
      <c r="N77">
        <f t="shared" ca="1" si="63"/>
        <v>97.636629080072751</v>
      </c>
      <c r="O77">
        <f t="shared" ca="1" si="63"/>
        <v>100.73755245060143</v>
      </c>
      <c r="P77">
        <f t="shared" ca="1" si="63"/>
        <v>101.83710727310569</v>
      </c>
      <c r="Q77">
        <f t="shared" ca="1" si="64"/>
        <v>101.83710727310569</v>
      </c>
      <c r="R77">
        <f t="shared" ca="1" si="65"/>
        <v>0</v>
      </c>
      <c r="S77">
        <f t="shared" ca="1" si="66"/>
        <v>0</v>
      </c>
    </row>
    <row r="78" spans="5:19" x14ac:dyDescent="0.75">
      <c r="E78">
        <v>73</v>
      </c>
      <c r="F78">
        <f t="shared" si="62"/>
        <v>100</v>
      </c>
      <c r="G78">
        <f t="shared" ca="1" si="63"/>
        <v>103.99917877613218</v>
      </c>
      <c r="H78">
        <f t="shared" ca="1" si="63"/>
        <v>105.3118731498984</v>
      </c>
      <c r="I78">
        <f t="shared" ca="1" si="63"/>
        <v>103.94095068964033</v>
      </c>
      <c r="J78">
        <f t="shared" ca="1" si="63"/>
        <v>106.42194979349979</v>
      </c>
      <c r="K78">
        <f t="shared" ca="1" si="63"/>
        <v>105.19603292789643</v>
      </c>
      <c r="L78">
        <f t="shared" ca="1" si="63"/>
        <v>103.95724470007977</v>
      </c>
      <c r="M78">
        <f t="shared" ca="1" si="63"/>
        <v>108.05790000222738</v>
      </c>
      <c r="N78">
        <f t="shared" ca="1" si="63"/>
        <v>99.345468982599186</v>
      </c>
      <c r="O78">
        <f t="shared" ca="1" si="63"/>
        <v>98.16314928509523</v>
      </c>
      <c r="P78">
        <f t="shared" ca="1" si="63"/>
        <v>105.12406719315941</v>
      </c>
      <c r="Q78">
        <f t="shared" ca="1" si="64"/>
        <v>108.05790000222738</v>
      </c>
      <c r="R78">
        <f t="shared" ca="1" si="65"/>
        <v>3.1240671931594051</v>
      </c>
      <c r="S78">
        <f t="shared" ca="1" si="66"/>
        <v>3.0469336993308995</v>
      </c>
    </row>
    <row r="79" spans="5:19" x14ac:dyDescent="0.75">
      <c r="E79">
        <v>74</v>
      </c>
      <c r="F79">
        <f t="shared" si="62"/>
        <v>100</v>
      </c>
      <c r="G79">
        <f t="shared" ca="1" si="63"/>
        <v>102.37064418920869</v>
      </c>
      <c r="H79">
        <f t="shared" ca="1" si="63"/>
        <v>104.01574297064408</v>
      </c>
      <c r="I79">
        <f t="shared" ca="1" si="63"/>
        <v>103.85406525603111</v>
      </c>
      <c r="J79">
        <f t="shared" ca="1" si="63"/>
        <v>97.170587624641612</v>
      </c>
      <c r="K79">
        <f t="shared" ca="1" si="63"/>
        <v>96.829415683180613</v>
      </c>
      <c r="L79">
        <f t="shared" ca="1" si="63"/>
        <v>101.55832165894932</v>
      </c>
      <c r="M79">
        <f t="shared" ca="1" si="63"/>
        <v>103.54535096913619</v>
      </c>
      <c r="N79">
        <f t="shared" ca="1" si="63"/>
        <v>105.70817801862111</v>
      </c>
      <c r="O79">
        <f t="shared" ca="1" si="63"/>
        <v>112.07044336623186</v>
      </c>
      <c r="P79">
        <f t="shared" ca="1" si="63"/>
        <v>114.71269241996825</v>
      </c>
      <c r="Q79">
        <f t="shared" ca="1" si="64"/>
        <v>114.71269241996825</v>
      </c>
      <c r="R79">
        <f t="shared" ca="1" si="65"/>
        <v>0</v>
      </c>
      <c r="S79">
        <f t="shared" ca="1" si="66"/>
        <v>0</v>
      </c>
    </row>
    <row r="80" spans="5:19" x14ac:dyDescent="0.75">
      <c r="E80">
        <v>75</v>
      </c>
      <c r="F80">
        <f t="shared" si="62"/>
        <v>100</v>
      </c>
      <c r="G80">
        <f t="shared" ca="1" si="63"/>
        <v>101.73760858810988</v>
      </c>
      <c r="H80">
        <f t="shared" ca="1" si="63"/>
        <v>100.40494626046167</v>
      </c>
      <c r="I80">
        <f t="shared" ca="1" si="63"/>
        <v>100.87584066873281</v>
      </c>
      <c r="J80">
        <f t="shared" ref="J80:P80" ca="1" si="67">I80*EXP(($C$6-0.5*$C$7^2)*$C$12+$C$7*SQRT($C$12)*NORMINV(RAND(),0,1))</f>
        <v>106.30465695914015</v>
      </c>
      <c r="K80">
        <f t="shared" ca="1" si="67"/>
        <v>119.74626146440905</v>
      </c>
      <c r="L80">
        <f t="shared" ca="1" si="67"/>
        <v>116.8701737121057</v>
      </c>
      <c r="M80">
        <f t="shared" ca="1" si="67"/>
        <v>111.68494709977315</v>
      </c>
      <c r="N80">
        <f t="shared" ca="1" si="67"/>
        <v>111.99382767147529</v>
      </c>
      <c r="O80">
        <f t="shared" ca="1" si="67"/>
        <v>123.01141534593756</v>
      </c>
      <c r="P80">
        <f t="shared" ca="1" si="67"/>
        <v>133.1719874017239</v>
      </c>
      <c r="Q80">
        <f t="shared" ca="1" si="64"/>
        <v>133.1719874017239</v>
      </c>
      <c r="R80">
        <f t="shared" ca="1" si="65"/>
        <v>0</v>
      </c>
      <c r="S80">
        <f t="shared" ca="1" si="66"/>
        <v>0</v>
      </c>
    </row>
    <row r="81" spans="5:19" x14ac:dyDescent="0.75">
      <c r="E81">
        <v>76</v>
      </c>
      <c r="F81">
        <f t="shared" si="62"/>
        <v>100</v>
      </c>
      <c r="G81">
        <f t="shared" ca="1" si="63"/>
        <v>105.58041343990556</v>
      </c>
      <c r="H81">
        <f t="shared" ca="1" si="63"/>
        <v>106.60918144838429</v>
      </c>
      <c r="I81">
        <f t="shared" ca="1" si="63"/>
        <v>101.29328513380219</v>
      </c>
      <c r="J81">
        <f t="shared" ref="J81:P81" ca="1" si="68">I81*EXP(($C$6-0.5*$C$7^2)*$C$12+$C$7*SQRT($C$12)*NORMINV(RAND(),0,1))</f>
        <v>93.616534557079106</v>
      </c>
      <c r="K81">
        <f t="shared" ca="1" si="68"/>
        <v>99.441312403404666</v>
      </c>
      <c r="L81">
        <f t="shared" ca="1" si="68"/>
        <v>93.453984876558906</v>
      </c>
      <c r="M81">
        <f t="shared" ca="1" si="68"/>
        <v>95.155789305472751</v>
      </c>
      <c r="N81">
        <f t="shared" ca="1" si="68"/>
        <v>96.972717648530647</v>
      </c>
      <c r="O81">
        <f t="shared" ca="1" si="68"/>
        <v>95.134469445619445</v>
      </c>
      <c r="P81">
        <f t="shared" ca="1" si="68"/>
        <v>88.727640705107603</v>
      </c>
      <c r="Q81">
        <f t="shared" ca="1" si="64"/>
        <v>106.60918144838429</v>
      </c>
      <c r="R81">
        <f t="shared" ca="1" si="65"/>
        <v>0</v>
      </c>
      <c r="S81">
        <f t="shared" ca="1" si="66"/>
        <v>0</v>
      </c>
    </row>
    <row r="82" spans="5:19" x14ac:dyDescent="0.75">
      <c r="E82">
        <v>77</v>
      </c>
      <c r="F82">
        <f t="shared" si="62"/>
        <v>100</v>
      </c>
      <c r="G82">
        <f t="shared" ca="1" si="63"/>
        <v>95.69493687101685</v>
      </c>
      <c r="H82">
        <f t="shared" ca="1" si="63"/>
        <v>92.122729554609279</v>
      </c>
      <c r="I82">
        <f t="shared" ca="1" si="63"/>
        <v>85.263310703664757</v>
      </c>
      <c r="J82">
        <f t="shared" ref="J82:P82" ca="1" si="69">I82*EXP(($C$6-0.5*$C$7^2)*$C$12+$C$7*SQRT($C$12)*NORMINV(RAND(),0,1))</f>
        <v>83.407680683184878</v>
      </c>
      <c r="K82">
        <f t="shared" ca="1" si="69"/>
        <v>89.594533151885059</v>
      </c>
      <c r="L82">
        <f t="shared" ca="1" si="69"/>
        <v>87.985398529211253</v>
      </c>
      <c r="M82">
        <f t="shared" ca="1" si="69"/>
        <v>89.665130428760847</v>
      </c>
      <c r="N82">
        <f t="shared" ca="1" si="69"/>
        <v>93.950447971153991</v>
      </c>
      <c r="O82">
        <f t="shared" ca="1" si="69"/>
        <v>95.610184189592943</v>
      </c>
      <c r="P82">
        <f t="shared" ca="1" si="69"/>
        <v>91.935449141686462</v>
      </c>
      <c r="Q82">
        <f t="shared" ca="1" si="64"/>
        <v>95.69493687101685</v>
      </c>
      <c r="R82">
        <f t="shared" ca="1" si="65"/>
        <v>0</v>
      </c>
      <c r="S82">
        <f t="shared" ca="1" si="66"/>
        <v>0</v>
      </c>
    </row>
    <row r="83" spans="5:19" x14ac:dyDescent="0.75">
      <c r="E83">
        <v>78</v>
      </c>
      <c r="F83">
        <f t="shared" si="62"/>
        <v>100</v>
      </c>
      <c r="G83">
        <f t="shared" ca="1" si="63"/>
        <v>98.009823651702106</v>
      </c>
      <c r="H83">
        <f t="shared" ca="1" si="63"/>
        <v>100.06185097177011</v>
      </c>
      <c r="I83">
        <f t="shared" ca="1" si="63"/>
        <v>102.91434065014182</v>
      </c>
      <c r="J83">
        <f t="shared" ref="J83:P83" ca="1" si="70">I83*EXP(($C$6-0.5*$C$7^2)*$C$12+$C$7*SQRT($C$12)*NORMINV(RAND(),0,1))</f>
        <v>100.50062408808468</v>
      </c>
      <c r="K83">
        <f t="shared" ca="1" si="70"/>
        <v>98.647529347779823</v>
      </c>
      <c r="L83">
        <f t="shared" ca="1" si="70"/>
        <v>92.269026640947828</v>
      </c>
      <c r="M83">
        <f t="shared" ca="1" si="70"/>
        <v>87.013278977935812</v>
      </c>
      <c r="N83">
        <f t="shared" ca="1" si="70"/>
        <v>87.72158979958445</v>
      </c>
      <c r="O83">
        <f t="shared" ca="1" si="70"/>
        <v>91.75283815216541</v>
      </c>
      <c r="P83">
        <f t="shared" ca="1" si="70"/>
        <v>93.19764089426782</v>
      </c>
      <c r="Q83">
        <f t="shared" ca="1" si="64"/>
        <v>102.91434065014182</v>
      </c>
      <c r="R83">
        <f t="shared" ca="1" si="65"/>
        <v>0</v>
      </c>
      <c r="S83">
        <f t="shared" ca="1" si="66"/>
        <v>0</v>
      </c>
    </row>
    <row r="84" spans="5:19" x14ac:dyDescent="0.75">
      <c r="E84">
        <v>79</v>
      </c>
      <c r="F84">
        <f t="shared" si="62"/>
        <v>100</v>
      </c>
      <c r="G84">
        <f t="shared" ca="1" si="63"/>
        <v>105.34458557018698</v>
      </c>
      <c r="H84">
        <f t="shared" ca="1" si="63"/>
        <v>106.61279199686824</v>
      </c>
      <c r="I84">
        <f t="shared" ca="1" si="63"/>
        <v>113.55054100892514</v>
      </c>
      <c r="J84">
        <f t="shared" ref="J84:P84" ca="1" si="71">I84*EXP(($C$6-0.5*$C$7^2)*$C$12+$C$7*SQRT($C$12)*NORMINV(RAND(),0,1))</f>
        <v>106.80856673268559</v>
      </c>
      <c r="K84">
        <f t="shared" ca="1" si="71"/>
        <v>105.27792371762699</v>
      </c>
      <c r="L84">
        <f t="shared" ca="1" si="71"/>
        <v>98.770850124991782</v>
      </c>
      <c r="M84">
        <f t="shared" ca="1" si="71"/>
        <v>99.278736726059563</v>
      </c>
      <c r="N84">
        <f t="shared" ca="1" si="71"/>
        <v>98.804833872862332</v>
      </c>
      <c r="O84">
        <f t="shared" ca="1" si="71"/>
        <v>102.008567755607</v>
      </c>
      <c r="P84">
        <f t="shared" ca="1" si="71"/>
        <v>108.59973006773629</v>
      </c>
      <c r="Q84">
        <f t="shared" ca="1" si="64"/>
        <v>113.55054100892514</v>
      </c>
      <c r="R84">
        <f t="shared" ca="1" si="65"/>
        <v>0</v>
      </c>
      <c r="S84">
        <f t="shared" ca="1" si="66"/>
        <v>0</v>
      </c>
    </row>
    <row r="85" spans="5:19" x14ac:dyDescent="0.75">
      <c r="E85">
        <v>80</v>
      </c>
      <c r="F85">
        <f t="shared" si="62"/>
        <v>100</v>
      </c>
      <c r="G85">
        <f t="shared" ca="1" si="63"/>
        <v>99.719712881773816</v>
      </c>
      <c r="H85">
        <f t="shared" ca="1" si="63"/>
        <v>105.76765063844563</v>
      </c>
      <c r="I85">
        <f t="shared" ca="1" si="63"/>
        <v>107.41008897719354</v>
      </c>
      <c r="J85">
        <f t="shared" ref="J85:P85" ca="1" si="72">I85*EXP(($C$6-0.5*$C$7^2)*$C$12+$C$7*SQRT($C$12)*NORMINV(RAND(),0,1))</f>
        <v>103.73588418064229</v>
      </c>
      <c r="K85">
        <f t="shared" ca="1" si="72"/>
        <v>111.52335654162894</v>
      </c>
      <c r="L85">
        <f t="shared" ca="1" si="72"/>
        <v>106.14927686517017</v>
      </c>
      <c r="M85">
        <f t="shared" ca="1" si="72"/>
        <v>100.43573039684426</v>
      </c>
      <c r="N85">
        <f t="shared" ca="1" si="72"/>
        <v>96.828221302740744</v>
      </c>
      <c r="O85">
        <f t="shared" ca="1" si="72"/>
        <v>95.337154269454203</v>
      </c>
      <c r="P85">
        <f t="shared" ca="1" si="72"/>
        <v>90.540830256249606</v>
      </c>
      <c r="Q85">
        <f t="shared" ca="1" si="64"/>
        <v>111.52335654162894</v>
      </c>
      <c r="R85">
        <f t="shared" ca="1" si="65"/>
        <v>0</v>
      </c>
      <c r="S85">
        <f t="shared" ca="1" si="66"/>
        <v>0</v>
      </c>
    </row>
    <row r="86" spans="5:19" x14ac:dyDescent="0.75">
      <c r="E86">
        <v>81</v>
      </c>
      <c r="F86">
        <f t="shared" si="62"/>
        <v>100</v>
      </c>
      <c r="G86">
        <f t="shared" ca="1" si="63"/>
        <v>96.387383286236869</v>
      </c>
      <c r="H86">
        <f t="shared" ca="1" si="63"/>
        <v>100.07819900480393</v>
      </c>
      <c r="I86">
        <f t="shared" ca="1" si="63"/>
        <v>101.11575437588708</v>
      </c>
      <c r="J86">
        <f t="shared" ref="J86:P86" ca="1" si="73">I86*EXP(($C$6-0.5*$C$7^2)*$C$12+$C$7*SQRT($C$12)*NORMINV(RAND(),0,1))</f>
        <v>96.955106491226928</v>
      </c>
      <c r="K86">
        <f t="shared" ca="1" si="73"/>
        <v>96.199695071795333</v>
      </c>
      <c r="L86">
        <f t="shared" ca="1" si="73"/>
        <v>101.39718047537291</v>
      </c>
      <c r="M86">
        <f t="shared" ca="1" si="73"/>
        <v>99.029192826858548</v>
      </c>
      <c r="N86">
        <f t="shared" ca="1" si="73"/>
        <v>95.397088816086281</v>
      </c>
      <c r="O86">
        <f t="shared" ca="1" si="73"/>
        <v>90.063255246172432</v>
      </c>
      <c r="P86">
        <f t="shared" ca="1" si="73"/>
        <v>90.144273757652869</v>
      </c>
      <c r="Q86">
        <f t="shared" ca="1" si="64"/>
        <v>101.39718047537291</v>
      </c>
      <c r="R86">
        <f t="shared" ca="1" si="65"/>
        <v>0</v>
      </c>
      <c r="S86">
        <f t="shared" ca="1" si="66"/>
        <v>0</v>
      </c>
    </row>
    <row r="87" spans="5:19" x14ac:dyDescent="0.75">
      <c r="E87">
        <v>82</v>
      </c>
      <c r="F87">
        <f t="shared" si="62"/>
        <v>100</v>
      </c>
      <c r="G87">
        <f t="shared" ca="1" si="63"/>
        <v>98.966461510451182</v>
      </c>
      <c r="H87">
        <f t="shared" ca="1" si="63"/>
        <v>101.36766486295578</v>
      </c>
      <c r="I87">
        <f t="shared" ca="1" si="63"/>
        <v>102.44498918872075</v>
      </c>
      <c r="J87">
        <f t="shared" ref="J87:P87" ca="1" si="74">I87*EXP(($C$6-0.5*$C$7^2)*$C$12+$C$7*SQRT($C$12)*NORMINV(RAND(),0,1))</f>
        <v>96.347322440697681</v>
      </c>
      <c r="K87">
        <f t="shared" ca="1" si="74"/>
        <v>100.33758598054159</v>
      </c>
      <c r="L87">
        <f t="shared" ca="1" si="74"/>
        <v>104.50789805416582</v>
      </c>
      <c r="M87">
        <f t="shared" ca="1" si="74"/>
        <v>105.55686207022003</v>
      </c>
      <c r="N87">
        <f t="shared" ca="1" si="74"/>
        <v>107.82790067019221</v>
      </c>
      <c r="O87">
        <f t="shared" ca="1" si="74"/>
        <v>109.1683693839725</v>
      </c>
      <c r="P87">
        <f t="shared" ca="1" si="74"/>
        <v>119.44214798269549</v>
      </c>
      <c r="Q87">
        <f t="shared" ca="1" si="64"/>
        <v>119.44214798269549</v>
      </c>
      <c r="R87">
        <f t="shared" ca="1" si="65"/>
        <v>0</v>
      </c>
      <c r="S87">
        <f t="shared" ca="1" si="66"/>
        <v>0</v>
      </c>
    </row>
    <row r="88" spans="5:19" x14ac:dyDescent="0.75">
      <c r="E88">
        <v>83</v>
      </c>
      <c r="F88">
        <f t="shared" si="62"/>
        <v>100</v>
      </c>
      <c r="G88">
        <f t="shared" ca="1" si="63"/>
        <v>100.16879093596212</v>
      </c>
      <c r="H88">
        <f t="shared" ca="1" si="63"/>
        <v>98.996483671962608</v>
      </c>
      <c r="I88">
        <f t="shared" ca="1" si="63"/>
        <v>95.386295701890532</v>
      </c>
      <c r="J88">
        <f t="shared" ref="J88:P88" ca="1" si="75">I88*EXP(($C$6-0.5*$C$7^2)*$C$12+$C$7*SQRT($C$12)*NORMINV(RAND(),0,1))</f>
        <v>100.11454105731157</v>
      </c>
      <c r="K88">
        <f t="shared" ca="1" si="75"/>
        <v>105.24324149772573</v>
      </c>
      <c r="L88">
        <f t="shared" ca="1" si="75"/>
        <v>103.97871638669335</v>
      </c>
      <c r="M88">
        <f t="shared" ca="1" si="75"/>
        <v>109.67994974519883</v>
      </c>
      <c r="N88">
        <f t="shared" ca="1" si="75"/>
        <v>104.18121314892157</v>
      </c>
      <c r="O88">
        <f t="shared" ca="1" si="75"/>
        <v>105.22128291628968</v>
      </c>
      <c r="P88">
        <f t="shared" ca="1" si="75"/>
        <v>96.337657194169523</v>
      </c>
      <c r="Q88">
        <f t="shared" ca="1" si="64"/>
        <v>109.67994974519883</v>
      </c>
      <c r="R88">
        <f t="shared" ca="1" si="65"/>
        <v>0</v>
      </c>
      <c r="S88">
        <f t="shared" ca="1" si="66"/>
        <v>0</v>
      </c>
    </row>
    <row r="89" spans="5:19" x14ac:dyDescent="0.75">
      <c r="E89">
        <v>84</v>
      </c>
      <c r="F89">
        <f t="shared" si="62"/>
        <v>100</v>
      </c>
      <c r="G89">
        <f t="shared" ca="1" si="63"/>
        <v>95.972099445192725</v>
      </c>
      <c r="H89">
        <f t="shared" ca="1" si="63"/>
        <v>95.357725008215411</v>
      </c>
      <c r="I89">
        <f t="shared" ca="1" si="63"/>
        <v>104.17815699023222</v>
      </c>
      <c r="J89">
        <f t="shared" ref="J89:P89" ca="1" si="76">I89*EXP(($C$6-0.5*$C$7^2)*$C$12+$C$7*SQRT($C$12)*NORMINV(RAND(),0,1))</f>
        <v>105.54138501694671</v>
      </c>
      <c r="K89">
        <f t="shared" ca="1" si="76"/>
        <v>97.318529880472326</v>
      </c>
      <c r="L89">
        <f t="shared" ca="1" si="76"/>
        <v>96.5230097158408</v>
      </c>
      <c r="M89">
        <f t="shared" ca="1" si="76"/>
        <v>109.93892434383943</v>
      </c>
      <c r="N89">
        <f t="shared" ca="1" si="76"/>
        <v>110.24198711062003</v>
      </c>
      <c r="O89">
        <f t="shared" ca="1" si="76"/>
        <v>106.20470289994478</v>
      </c>
      <c r="P89">
        <f t="shared" ca="1" si="76"/>
        <v>105.72801204140166</v>
      </c>
      <c r="Q89">
        <f t="shared" ca="1" si="64"/>
        <v>110.24198711062003</v>
      </c>
      <c r="R89">
        <f t="shared" ca="1" si="65"/>
        <v>0</v>
      </c>
      <c r="S89">
        <f t="shared" ca="1" si="66"/>
        <v>0</v>
      </c>
    </row>
    <row r="90" spans="5:19" x14ac:dyDescent="0.75">
      <c r="E90">
        <v>85</v>
      </c>
      <c r="F90">
        <f t="shared" si="62"/>
        <v>100</v>
      </c>
      <c r="G90">
        <f t="shared" ca="1" si="63"/>
        <v>97.955910001090828</v>
      </c>
      <c r="H90">
        <f t="shared" ca="1" si="63"/>
        <v>88.84582763050733</v>
      </c>
      <c r="I90">
        <f t="shared" ca="1" si="63"/>
        <v>87.17627132209175</v>
      </c>
      <c r="J90">
        <f t="shared" ref="J90:P90" ca="1" si="77">I90*EXP(($C$6-0.5*$C$7^2)*$C$12+$C$7*SQRT($C$12)*NORMINV(RAND(),0,1))</f>
        <v>84.449113155637676</v>
      </c>
      <c r="K90">
        <f t="shared" ca="1" si="77"/>
        <v>83.672036305405769</v>
      </c>
      <c r="L90">
        <f t="shared" ca="1" si="77"/>
        <v>81.651644192787245</v>
      </c>
      <c r="M90">
        <f t="shared" ca="1" si="77"/>
        <v>76.322445292603234</v>
      </c>
      <c r="N90">
        <f t="shared" ca="1" si="77"/>
        <v>72.160678056605661</v>
      </c>
      <c r="O90">
        <f t="shared" ca="1" si="77"/>
        <v>69.607929246708295</v>
      </c>
      <c r="P90">
        <f t="shared" ca="1" si="77"/>
        <v>68.510664287183005</v>
      </c>
      <c r="Q90">
        <f t="shared" ca="1" si="64"/>
        <v>97.955910001090828</v>
      </c>
      <c r="R90">
        <f t="shared" ca="1" si="65"/>
        <v>0</v>
      </c>
      <c r="S90">
        <f t="shared" ca="1" si="66"/>
        <v>0</v>
      </c>
    </row>
    <row r="91" spans="5:19" x14ac:dyDescent="0.75">
      <c r="E91">
        <v>86</v>
      </c>
      <c r="F91">
        <f t="shared" si="62"/>
        <v>100</v>
      </c>
      <c r="G91">
        <f t="shared" ca="1" si="63"/>
        <v>99.03985098457953</v>
      </c>
      <c r="H91">
        <f t="shared" ca="1" si="63"/>
        <v>102.91106390490329</v>
      </c>
      <c r="I91">
        <f t="shared" ca="1" si="63"/>
        <v>99.061652837478746</v>
      </c>
      <c r="J91">
        <f t="shared" ref="J91:P91" ca="1" si="78">I91*EXP(($C$6-0.5*$C$7^2)*$C$12+$C$7*SQRT($C$12)*NORMINV(RAND(),0,1))</f>
        <v>109.07484767225017</v>
      </c>
      <c r="K91">
        <f t="shared" ca="1" si="78"/>
        <v>110.27934901404539</v>
      </c>
      <c r="L91">
        <f t="shared" ca="1" si="78"/>
        <v>115.86973876262348</v>
      </c>
      <c r="M91">
        <f t="shared" ca="1" si="78"/>
        <v>117.08876705204075</v>
      </c>
      <c r="N91">
        <f t="shared" ca="1" si="78"/>
        <v>117.5564507082039</v>
      </c>
      <c r="O91">
        <f t="shared" ca="1" si="78"/>
        <v>116.68560939229251</v>
      </c>
      <c r="P91">
        <f t="shared" ca="1" si="78"/>
        <v>118.57221973324799</v>
      </c>
      <c r="Q91">
        <f t="shared" ca="1" si="64"/>
        <v>118.57221973324799</v>
      </c>
      <c r="R91">
        <f t="shared" ca="1" si="65"/>
        <v>0</v>
      </c>
      <c r="S91">
        <f t="shared" ca="1" si="66"/>
        <v>0</v>
      </c>
    </row>
    <row r="92" spans="5:19" x14ac:dyDescent="0.75">
      <c r="E92">
        <v>87</v>
      </c>
      <c r="F92">
        <f t="shared" si="62"/>
        <v>100</v>
      </c>
      <c r="G92">
        <f t="shared" ca="1" si="63"/>
        <v>106.9676230941601</v>
      </c>
      <c r="H92">
        <f t="shared" ca="1" si="63"/>
        <v>102.13484949090899</v>
      </c>
      <c r="I92">
        <f t="shared" ca="1" si="63"/>
        <v>111.78306442691219</v>
      </c>
      <c r="J92">
        <f t="shared" ref="J92:P92" ca="1" si="79">I92*EXP(($C$6-0.5*$C$7^2)*$C$12+$C$7*SQRT($C$12)*NORMINV(RAND(),0,1))</f>
        <v>113.05458769268334</v>
      </c>
      <c r="K92">
        <f t="shared" ca="1" si="79"/>
        <v>115.05610073417792</v>
      </c>
      <c r="L92">
        <f t="shared" ca="1" si="79"/>
        <v>119.19596453244259</v>
      </c>
      <c r="M92">
        <f t="shared" ca="1" si="79"/>
        <v>119.55604477466251</v>
      </c>
      <c r="N92">
        <f t="shared" ca="1" si="79"/>
        <v>114.69713997022579</v>
      </c>
      <c r="O92">
        <f t="shared" ca="1" si="79"/>
        <v>130.20168909625355</v>
      </c>
      <c r="P92">
        <f t="shared" ca="1" si="79"/>
        <v>141.51023270857615</v>
      </c>
      <c r="Q92">
        <f t="shared" ca="1" si="64"/>
        <v>141.51023270857615</v>
      </c>
      <c r="R92">
        <f t="shared" ca="1" si="65"/>
        <v>0</v>
      </c>
      <c r="S92">
        <f t="shared" ca="1" si="66"/>
        <v>0</v>
      </c>
    </row>
    <row r="93" spans="5:19" x14ac:dyDescent="0.75">
      <c r="E93">
        <v>88</v>
      </c>
      <c r="F93">
        <f t="shared" si="62"/>
        <v>100</v>
      </c>
      <c r="G93">
        <f t="shared" ca="1" si="63"/>
        <v>99.142780453599542</v>
      </c>
      <c r="H93">
        <f t="shared" ca="1" si="63"/>
        <v>89.486902732383811</v>
      </c>
      <c r="I93">
        <f t="shared" ca="1" si="63"/>
        <v>87.959845907870843</v>
      </c>
      <c r="J93">
        <f t="shared" ref="J93:P93" ca="1" si="80">I93*EXP(($C$6-0.5*$C$7^2)*$C$12+$C$7*SQRT($C$12)*NORMINV(RAND(),0,1))</f>
        <v>87.38661991568901</v>
      </c>
      <c r="K93">
        <f t="shared" ca="1" si="80"/>
        <v>86.903298856908137</v>
      </c>
      <c r="L93">
        <f t="shared" ca="1" si="80"/>
        <v>81.217640755389141</v>
      </c>
      <c r="M93">
        <f t="shared" ca="1" si="80"/>
        <v>82.423690900393566</v>
      </c>
      <c r="N93">
        <f t="shared" ca="1" si="80"/>
        <v>80.230731411680637</v>
      </c>
      <c r="O93">
        <f t="shared" ca="1" si="80"/>
        <v>76.750948564999021</v>
      </c>
      <c r="P93">
        <f t="shared" ca="1" si="80"/>
        <v>81.513542704918621</v>
      </c>
      <c r="Q93">
        <f t="shared" ca="1" si="64"/>
        <v>99.142780453599542</v>
      </c>
      <c r="R93">
        <f t="shared" ca="1" si="65"/>
        <v>0</v>
      </c>
      <c r="S93">
        <f t="shared" ca="1" si="66"/>
        <v>0</v>
      </c>
    </row>
    <row r="94" spans="5:19" x14ac:dyDescent="0.75">
      <c r="E94">
        <v>89</v>
      </c>
      <c r="F94">
        <f t="shared" si="62"/>
        <v>100</v>
      </c>
      <c r="G94">
        <f t="shared" ca="1" si="63"/>
        <v>99.060281191055893</v>
      </c>
      <c r="H94">
        <f t="shared" ca="1" si="63"/>
        <v>99.1685019326858</v>
      </c>
      <c r="I94">
        <f t="shared" ca="1" si="63"/>
        <v>104.6724516502937</v>
      </c>
      <c r="J94">
        <f t="shared" ref="J94:P94" ca="1" si="81">I94*EXP(($C$6-0.5*$C$7^2)*$C$12+$C$7*SQRT($C$12)*NORMINV(RAND(),0,1))</f>
        <v>112.97371951776431</v>
      </c>
      <c r="K94">
        <f t="shared" ca="1" si="81"/>
        <v>113.72731193343196</v>
      </c>
      <c r="L94">
        <f t="shared" ca="1" si="81"/>
        <v>112.9030104114514</v>
      </c>
      <c r="M94">
        <f t="shared" ca="1" si="81"/>
        <v>107.94941245037832</v>
      </c>
      <c r="N94">
        <f t="shared" ca="1" si="81"/>
        <v>110.30221074763212</v>
      </c>
      <c r="O94">
        <f t="shared" ca="1" si="81"/>
        <v>115.13613296649562</v>
      </c>
      <c r="P94">
        <f t="shared" ca="1" si="81"/>
        <v>118.7187350325125</v>
      </c>
      <c r="Q94">
        <f t="shared" ca="1" si="64"/>
        <v>118.7187350325125</v>
      </c>
      <c r="R94">
        <f t="shared" ca="1" si="65"/>
        <v>0</v>
      </c>
      <c r="S94">
        <f t="shared" ca="1" si="66"/>
        <v>0</v>
      </c>
    </row>
    <row r="95" spans="5:19" x14ac:dyDescent="0.75">
      <c r="E95">
        <v>90</v>
      </c>
      <c r="F95">
        <f t="shared" si="62"/>
        <v>100</v>
      </c>
      <c r="G95">
        <f t="shared" ca="1" si="63"/>
        <v>101.31147502299966</v>
      </c>
      <c r="H95">
        <f t="shared" ca="1" si="63"/>
        <v>107.26864474719675</v>
      </c>
      <c r="I95">
        <f t="shared" ca="1" si="63"/>
        <v>110.73479742432683</v>
      </c>
      <c r="J95">
        <f t="shared" ref="J95:P95" ca="1" si="82">I95*EXP(($C$6-0.5*$C$7^2)*$C$12+$C$7*SQRT($C$12)*NORMINV(RAND(),0,1))</f>
        <v>107.47493234431798</v>
      </c>
      <c r="K95">
        <f t="shared" ca="1" si="82"/>
        <v>111.37955057078693</v>
      </c>
      <c r="L95">
        <f t="shared" ca="1" si="82"/>
        <v>112.50570197722627</v>
      </c>
      <c r="M95">
        <f t="shared" ca="1" si="82"/>
        <v>112.56986570182639</v>
      </c>
      <c r="N95">
        <f t="shared" ca="1" si="82"/>
        <v>101.6925339680306</v>
      </c>
      <c r="O95">
        <f t="shared" ca="1" si="82"/>
        <v>93.673921942661536</v>
      </c>
      <c r="P95">
        <f t="shared" ca="1" si="82"/>
        <v>95.553223466416796</v>
      </c>
      <c r="Q95">
        <f t="shared" ca="1" si="64"/>
        <v>112.56986570182639</v>
      </c>
      <c r="R95">
        <f t="shared" ca="1" si="65"/>
        <v>0</v>
      </c>
      <c r="S95">
        <f t="shared" ca="1" si="66"/>
        <v>0</v>
      </c>
    </row>
    <row r="96" spans="5:19" x14ac:dyDescent="0.75">
      <c r="E96">
        <v>91</v>
      </c>
      <c r="F96">
        <f t="shared" si="62"/>
        <v>100</v>
      </c>
      <c r="G96">
        <f t="shared" ca="1" si="63"/>
        <v>111.65734443016211</v>
      </c>
      <c r="H96">
        <f t="shared" ca="1" si="63"/>
        <v>108.09157163639824</v>
      </c>
      <c r="I96">
        <f t="shared" ca="1" si="63"/>
        <v>109.48853118568206</v>
      </c>
      <c r="J96">
        <f t="shared" ref="J96:P96" ca="1" si="83">I96*EXP(($C$6-0.5*$C$7^2)*$C$12+$C$7*SQRT($C$12)*NORMINV(RAND(),0,1))</f>
        <v>106.51512520652388</v>
      </c>
      <c r="K96">
        <f t="shared" ca="1" si="83"/>
        <v>105.76503924445656</v>
      </c>
      <c r="L96">
        <f t="shared" ca="1" si="83"/>
        <v>108.79798636747815</v>
      </c>
      <c r="M96">
        <f t="shared" ca="1" si="83"/>
        <v>96.93055872658087</v>
      </c>
      <c r="N96">
        <f t="shared" ca="1" si="83"/>
        <v>104.9607124001958</v>
      </c>
      <c r="O96">
        <f t="shared" ca="1" si="83"/>
        <v>108.34836980245116</v>
      </c>
      <c r="P96">
        <f t="shared" ca="1" si="83"/>
        <v>110.03792311120374</v>
      </c>
      <c r="Q96">
        <f t="shared" ca="1" si="64"/>
        <v>111.65734443016211</v>
      </c>
      <c r="R96">
        <f t="shared" ca="1" si="65"/>
        <v>0</v>
      </c>
      <c r="S96">
        <f t="shared" ca="1" si="66"/>
        <v>0</v>
      </c>
    </row>
    <row r="97" spans="5:19" x14ac:dyDescent="0.75">
      <c r="E97">
        <v>92</v>
      </c>
      <c r="F97">
        <f t="shared" si="62"/>
        <v>100</v>
      </c>
      <c r="G97">
        <f t="shared" ca="1" si="63"/>
        <v>110.08414748976172</v>
      </c>
      <c r="H97">
        <f t="shared" ca="1" si="63"/>
        <v>107.48824908900109</v>
      </c>
      <c r="I97">
        <f t="shared" ca="1" si="63"/>
        <v>110.78159488143636</v>
      </c>
      <c r="J97">
        <f t="shared" ref="J97:P97" ca="1" si="84">I97*EXP(($C$6-0.5*$C$7^2)*$C$12+$C$7*SQRT($C$12)*NORMINV(RAND(),0,1))</f>
        <v>115.89127024325622</v>
      </c>
      <c r="K97">
        <f t="shared" ca="1" si="84"/>
        <v>108.36603549378979</v>
      </c>
      <c r="L97">
        <f t="shared" ca="1" si="84"/>
        <v>110.68881076980871</v>
      </c>
      <c r="M97">
        <f t="shared" ca="1" si="84"/>
        <v>101.51998831053417</v>
      </c>
      <c r="N97">
        <f t="shared" ca="1" si="84"/>
        <v>101.56872802244352</v>
      </c>
      <c r="O97">
        <f t="shared" ca="1" si="84"/>
        <v>98.72646256018038</v>
      </c>
      <c r="P97">
        <f t="shared" ca="1" si="84"/>
        <v>95.730641110275315</v>
      </c>
      <c r="Q97">
        <f t="shared" ca="1" si="64"/>
        <v>115.89127024325622</v>
      </c>
      <c r="R97">
        <f t="shared" ca="1" si="65"/>
        <v>0</v>
      </c>
      <c r="S97">
        <f t="shared" ca="1" si="66"/>
        <v>0</v>
      </c>
    </row>
    <row r="98" spans="5:19" x14ac:dyDescent="0.75">
      <c r="E98">
        <v>93</v>
      </c>
      <c r="F98">
        <f t="shared" si="62"/>
        <v>100</v>
      </c>
      <c r="G98">
        <f t="shared" ca="1" si="63"/>
        <v>105.57885911968874</v>
      </c>
      <c r="H98">
        <f t="shared" ca="1" si="63"/>
        <v>106.09038233502078</v>
      </c>
      <c r="I98">
        <f t="shared" ca="1" si="63"/>
        <v>101.75716300276976</v>
      </c>
      <c r="J98">
        <f t="shared" ref="J98:P98" ca="1" si="85">I98*EXP(($C$6-0.5*$C$7^2)*$C$12+$C$7*SQRT($C$12)*NORMINV(RAND(),0,1))</f>
        <v>104.98503671910132</v>
      </c>
      <c r="K98">
        <f t="shared" ca="1" si="85"/>
        <v>110.25093770765399</v>
      </c>
      <c r="L98">
        <f t="shared" ca="1" si="85"/>
        <v>110.5015724026243</v>
      </c>
      <c r="M98">
        <f t="shared" ca="1" si="85"/>
        <v>118.19266092055291</v>
      </c>
      <c r="N98">
        <f t="shared" ca="1" si="85"/>
        <v>105.78092090714934</v>
      </c>
      <c r="O98">
        <f t="shared" ca="1" si="85"/>
        <v>108.18817745381222</v>
      </c>
      <c r="P98">
        <f t="shared" ca="1" si="85"/>
        <v>110.7208332808828</v>
      </c>
      <c r="Q98">
        <f t="shared" ca="1" si="64"/>
        <v>118.19266092055291</v>
      </c>
      <c r="R98">
        <f t="shared" ca="1" si="65"/>
        <v>0</v>
      </c>
      <c r="S98">
        <f t="shared" ca="1" si="66"/>
        <v>0</v>
      </c>
    </row>
    <row r="99" spans="5:19" x14ac:dyDescent="0.75">
      <c r="E99">
        <v>94</v>
      </c>
      <c r="F99">
        <f t="shared" si="62"/>
        <v>100</v>
      </c>
      <c r="G99">
        <f t="shared" ca="1" si="63"/>
        <v>100.22575789889727</v>
      </c>
      <c r="H99">
        <f t="shared" ca="1" si="63"/>
        <v>111.1579030334391</v>
      </c>
      <c r="I99">
        <f t="shared" ca="1" si="63"/>
        <v>113.1649983019196</v>
      </c>
      <c r="J99">
        <f t="shared" ref="J99:P99" ca="1" si="86">I99*EXP(($C$6-0.5*$C$7^2)*$C$12+$C$7*SQRT($C$12)*NORMINV(RAND(),0,1))</f>
        <v>104.32334015110092</v>
      </c>
      <c r="K99">
        <f t="shared" ca="1" si="86"/>
        <v>103.80066318787671</v>
      </c>
      <c r="L99">
        <f t="shared" ca="1" si="86"/>
        <v>102.88489852719361</v>
      </c>
      <c r="M99">
        <f t="shared" ca="1" si="86"/>
        <v>100.54733778369958</v>
      </c>
      <c r="N99">
        <f t="shared" ca="1" si="86"/>
        <v>96.793748547364757</v>
      </c>
      <c r="O99">
        <f t="shared" ca="1" si="86"/>
        <v>98.370455511412231</v>
      </c>
      <c r="P99">
        <f t="shared" ca="1" si="86"/>
        <v>105.64131727038645</v>
      </c>
      <c r="Q99">
        <f t="shared" ca="1" si="64"/>
        <v>113.1649983019196</v>
      </c>
      <c r="R99">
        <f t="shared" ca="1" si="65"/>
        <v>0</v>
      </c>
      <c r="S99">
        <f t="shared" ca="1" si="66"/>
        <v>0</v>
      </c>
    </row>
    <row r="100" spans="5:19" x14ac:dyDescent="0.75">
      <c r="E100">
        <v>95</v>
      </c>
      <c r="F100">
        <f t="shared" si="62"/>
        <v>100</v>
      </c>
      <c r="G100">
        <f t="shared" ca="1" si="63"/>
        <v>101.71739217060897</v>
      </c>
      <c r="H100">
        <f t="shared" ca="1" si="63"/>
        <v>101.10259985314488</v>
      </c>
      <c r="I100">
        <f t="shared" ca="1" si="63"/>
        <v>95.178955752097011</v>
      </c>
      <c r="J100">
        <f t="shared" ref="J100:P100" ca="1" si="87">I100*EXP(($C$6-0.5*$C$7^2)*$C$12+$C$7*SQRT($C$12)*NORMINV(RAND(),0,1))</f>
        <v>95.923739927693717</v>
      </c>
      <c r="K100">
        <f t="shared" ca="1" si="87"/>
        <v>101.13067579916324</v>
      </c>
      <c r="L100">
        <f t="shared" ca="1" si="87"/>
        <v>106.47830229367439</v>
      </c>
      <c r="M100">
        <f t="shared" ca="1" si="87"/>
        <v>104.67434900731719</v>
      </c>
      <c r="N100">
        <f t="shared" ca="1" si="87"/>
        <v>110.32740626452976</v>
      </c>
      <c r="O100">
        <f t="shared" ca="1" si="87"/>
        <v>111.9787436624492</v>
      </c>
      <c r="P100">
        <f t="shared" ca="1" si="87"/>
        <v>105.65376810568017</v>
      </c>
      <c r="Q100">
        <f t="shared" ca="1" si="64"/>
        <v>111.9787436624492</v>
      </c>
      <c r="R100">
        <f t="shared" ca="1" si="65"/>
        <v>0</v>
      </c>
      <c r="S100">
        <f t="shared" ca="1" si="66"/>
        <v>0</v>
      </c>
    </row>
    <row r="101" spans="5:19" x14ac:dyDescent="0.75">
      <c r="E101">
        <v>96</v>
      </c>
      <c r="F101">
        <f t="shared" si="62"/>
        <v>100</v>
      </c>
      <c r="G101">
        <f t="shared" ca="1" si="63"/>
        <v>100.21178887552553</v>
      </c>
      <c r="H101">
        <f t="shared" ca="1" si="63"/>
        <v>100.21195646651543</v>
      </c>
      <c r="I101">
        <f t="shared" ca="1" si="63"/>
        <v>95.140597771985298</v>
      </c>
      <c r="J101">
        <f t="shared" ref="J101:P101" ca="1" si="88">I101*EXP(($C$6-0.5*$C$7^2)*$C$12+$C$7*SQRT($C$12)*NORMINV(RAND(),0,1))</f>
        <v>96.380621284367393</v>
      </c>
      <c r="K101">
        <f t="shared" ca="1" si="88"/>
        <v>96.651599618178196</v>
      </c>
      <c r="L101">
        <f t="shared" ca="1" si="88"/>
        <v>101.04726569121047</v>
      </c>
      <c r="M101">
        <f t="shared" ca="1" si="88"/>
        <v>96.510261683159158</v>
      </c>
      <c r="N101">
        <f t="shared" ca="1" si="88"/>
        <v>98.434815826578088</v>
      </c>
      <c r="O101">
        <f t="shared" ca="1" si="88"/>
        <v>98.162458417361719</v>
      </c>
      <c r="P101">
        <f t="shared" ca="1" si="88"/>
        <v>103.82129690512505</v>
      </c>
      <c r="Q101">
        <f t="shared" ca="1" si="64"/>
        <v>103.82129690512505</v>
      </c>
      <c r="R101">
        <f t="shared" ca="1" si="65"/>
        <v>1.8212969051250525</v>
      </c>
      <c r="S101">
        <f t="shared" ca="1" si="66"/>
        <v>1.7763289243149893</v>
      </c>
    </row>
    <row r="102" spans="5:19" x14ac:dyDescent="0.75">
      <c r="E102">
        <v>97</v>
      </c>
      <c r="F102">
        <f t="shared" si="62"/>
        <v>100</v>
      </c>
      <c r="G102">
        <f t="shared" ca="1" si="63"/>
        <v>95.782408569298781</v>
      </c>
      <c r="H102">
        <f t="shared" ca="1" si="63"/>
        <v>90.757773376703156</v>
      </c>
      <c r="I102">
        <f t="shared" ca="1" si="63"/>
        <v>83.272646601158527</v>
      </c>
      <c r="J102">
        <f t="shared" ref="J102:P102" ca="1" si="89">I102*EXP(($C$6-0.5*$C$7^2)*$C$12+$C$7*SQRT($C$12)*NORMINV(RAND(),0,1))</f>
        <v>90.307167603099145</v>
      </c>
      <c r="K102">
        <f t="shared" ca="1" si="89"/>
        <v>89.941063022011747</v>
      </c>
      <c r="L102">
        <f t="shared" ca="1" si="89"/>
        <v>93.809594759729421</v>
      </c>
      <c r="M102">
        <f t="shared" ca="1" si="89"/>
        <v>87.353725446724255</v>
      </c>
      <c r="N102">
        <f t="shared" ca="1" si="89"/>
        <v>92.942090391187861</v>
      </c>
      <c r="O102">
        <f t="shared" ca="1" si="89"/>
        <v>90.460679778679008</v>
      </c>
      <c r="P102">
        <f t="shared" ca="1" si="89"/>
        <v>91.68722949698936</v>
      </c>
      <c r="Q102">
        <f t="shared" ca="1" si="64"/>
        <v>95.782408569298781</v>
      </c>
      <c r="R102">
        <f t="shared" ca="1" si="65"/>
        <v>0</v>
      </c>
      <c r="S102">
        <f t="shared" ca="1" si="66"/>
        <v>0</v>
      </c>
    </row>
    <row r="103" spans="5:19" x14ac:dyDescent="0.75">
      <c r="E103">
        <v>98</v>
      </c>
      <c r="F103">
        <f t="shared" si="62"/>
        <v>100</v>
      </c>
      <c r="G103">
        <f t="shared" ca="1" si="63"/>
        <v>94.888186743247232</v>
      </c>
      <c r="H103">
        <f t="shared" ca="1" si="63"/>
        <v>97.950758634812047</v>
      </c>
      <c r="I103">
        <f t="shared" ca="1" si="63"/>
        <v>93.066308882477244</v>
      </c>
      <c r="J103">
        <f t="shared" ref="J103:P103" ca="1" si="90">I103*EXP(($C$6-0.5*$C$7^2)*$C$12+$C$7*SQRT($C$12)*NORMINV(RAND(),0,1))</f>
        <v>90.43798713679692</v>
      </c>
      <c r="K103">
        <f t="shared" ca="1" si="90"/>
        <v>84.421936136004646</v>
      </c>
      <c r="L103">
        <f t="shared" ca="1" si="90"/>
        <v>89.941667453267385</v>
      </c>
      <c r="M103">
        <f t="shared" ca="1" si="90"/>
        <v>87.90367299746714</v>
      </c>
      <c r="N103">
        <f t="shared" ca="1" si="90"/>
        <v>88.426639189811524</v>
      </c>
      <c r="O103">
        <f t="shared" ca="1" si="90"/>
        <v>93.070065146118608</v>
      </c>
      <c r="P103">
        <f t="shared" ca="1" si="90"/>
        <v>87.205304046233962</v>
      </c>
      <c r="Q103">
        <f t="shared" ca="1" si="64"/>
        <v>97.950758634812047</v>
      </c>
      <c r="R103">
        <f t="shared" ca="1" si="65"/>
        <v>0</v>
      </c>
      <c r="S103">
        <f t="shared" ca="1" si="66"/>
        <v>0</v>
      </c>
    </row>
    <row r="104" spans="5:19" x14ac:dyDescent="0.75">
      <c r="E104">
        <v>99</v>
      </c>
      <c r="F104">
        <f t="shared" si="62"/>
        <v>100</v>
      </c>
      <c r="G104">
        <f t="shared" ca="1" si="63"/>
        <v>100.20676857009067</v>
      </c>
      <c r="H104">
        <f t="shared" ca="1" si="63"/>
        <v>92.45174478864493</v>
      </c>
      <c r="I104">
        <f t="shared" ca="1" si="63"/>
        <v>95.320643140446919</v>
      </c>
      <c r="J104">
        <f t="shared" ref="J104:P104" ca="1" si="91">I104*EXP(($C$6-0.5*$C$7^2)*$C$12+$C$7*SQRT($C$12)*NORMINV(RAND(),0,1))</f>
        <v>95.90577309945192</v>
      </c>
      <c r="K104">
        <f t="shared" ca="1" si="91"/>
        <v>96.903843078612823</v>
      </c>
      <c r="L104">
        <f t="shared" ca="1" si="91"/>
        <v>92.837785800417848</v>
      </c>
      <c r="M104">
        <f t="shared" ca="1" si="91"/>
        <v>92.986907321418798</v>
      </c>
      <c r="N104">
        <f t="shared" ca="1" si="91"/>
        <v>89.507781806043084</v>
      </c>
      <c r="O104">
        <f t="shared" ca="1" si="91"/>
        <v>81.793366353633573</v>
      </c>
      <c r="P104">
        <f t="shared" ca="1" si="91"/>
        <v>80.404691515630006</v>
      </c>
      <c r="Q104">
        <f t="shared" ca="1" si="64"/>
        <v>100.20676857009067</v>
      </c>
      <c r="R104">
        <f t="shared" ca="1" si="65"/>
        <v>0</v>
      </c>
      <c r="S104">
        <f t="shared" ca="1" si="66"/>
        <v>0</v>
      </c>
    </row>
    <row r="105" spans="5:19" x14ac:dyDescent="0.75">
      <c r="E105">
        <v>100</v>
      </c>
      <c r="F105">
        <f t="shared" si="62"/>
        <v>100</v>
      </c>
      <c r="G105">
        <f t="shared" ca="1" si="63"/>
        <v>92.787643373629095</v>
      </c>
      <c r="H105">
        <f t="shared" ca="1" si="63"/>
        <v>91.324188322925778</v>
      </c>
      <c r="I105">
        <f t="shared" ca="1" si="63"/>
        <v>93.703354481443156</v>
      </c>
      <c r="J105">
        <f t="shared" ref="J105:P105" ca="1" si="92">I105*EXP(($C$6-0.5*$C$7^2)*$C$12+$C$7*SQRT($C$12)*NORMINV(RAND(),0,1))</f>
        <v>96.90290677445654</v>
      </c>
      <c r="K105">
        <f t="shared" ca="1" si="92"/>
        <v>88.64063519192544</v>
      </c>
      <c r="L105">
        <f t="shared" ca="1" si="92"/>
        <v>90.287587793783587</v>
      </c>
      <c r="M105">
        <f t="shared" ca="1" si="92"/>
        <v>88.689571842601353</v>
      </c>
      <c r="N105">
        <f t="shared" ca="1" si="92"/>
        <v>97.028438464442999</v>
      </c>
      <c r="O105">
        <f t="shared" ca="1" si="92"/>
        <v>95.51786778485814</v>
      </c>
      <c r="P105">
        <f t="shared" ca="1" si="92"/>
        <v>96.712883004559558</v>
      </c>
      <c r="Q105">
        <f t="shared" ca="1" si="64"/>
        <v>97.028438464442999</v>
      </c>
      <c r="R105">
        <f t="shared" ca="1" si="65"/>
        <v>0</v>
      </c>
      <c r="S105">
        <f t="shared" ca="1" si="66"/>
        <v>0</v>
      </c>
    </row>
    <row r="106" spans="5:19" x14ac:dyDescent="0.75">
      <c r="E106">
        <v>101</v>
      </c>
      <c r="F106">
        <f t="shared" si="62"/>
        <v>100</v>
      </c>
      <c r="G106">
        <f t="shared" ca="1" si="63"/>
        <v>95.186006303117225</v>
      </c>
      <c r="H106">
        <f t="shared" ca="1" si="63"/>
        <v>96.183305445392165</v>
      </c>
      <c r="I106">
        <f t="shared" ca="1" si="63"/>
        <v>98.810260964204886</v>
      </c>
      <c r="J106">
        <f t="shared" ref="J106:P106" ca="1" si="93">I106*EXP(($C$6-0.5*$C$7^2)*$C$12+$C$7*SQRT($C$12)*NORMINV(RAND(),0,1))</f>
        <v>94.454369614620404</v>
      </c>
      <c r="K106">
        <f t="shared" ca="1" si="93"/>
        <v>92.745088559269874</v>
      </c>
      <c r="L106">
        <f t="shared" ca="1" si="93"/>
        <v>95.174932499880441</v>
      </c>
      <c r="M106">
        <f t="shared" ca="1" si="93"/>
        <v>94.788390595378061</v>
      </c>
      <c r="N106">
        <f t="shared" ca="1" si="93"/>
        <v>99.520042038876113</v>
      </c>
      <c r="O106">
        <f t="shared" ca="1" si="93"/>
        <v>92.350435635391079</v>
      </c>
      <c r="P106">
        <f t="shared" ca="1" si="93"/>
        <v>90.418643338901902</v>
      </c>
      <c r="Q106">
        <f t="shared" ca="1" si="64"/>
        <v>99.520042038876113</v>
      </c>
      <c r="R106">
        <f t="shared" ca="1" si="65"/>
        <v>0</v>
      </c>
      <c r="S106">
        <f t="shared" ca="1" si="66"/>
        <v>0</v>
      </c>
    </row>
    <row r="107" spans="5:19" x14ac:dyDescent="0.75">
      <c r="E107">
        <v>102</v>
      </c>
      <c r="F107">
        <f t="shared" si="62"/>
        <v>100</v>
      </c>
      <c r="G107">
        <f t="shared" ca="1" si="63"/>
        <v>101.43528352830256</v>
      </c>
      <c r="H107">
        <f t="shared" ca="1" si="63"/>
        <v>102.94871619828727</v>
      </c>
      <c r="I107">
        <f t="shared" ca="1" si="63"/>
        <v>102.21095739639213</v>
      </c>
      <c r="J107">
        <f t="shared" ref="J107:P107" ca="1" si="94">I107*EXP(($C$6-0.5*$C$7^2)*$C$12+$C$7*SQRT($C$12)*NORMINV(RAND(),0,1))</f>
        <v>98.52870080180729</v>
      </c>
      <c r="K107">
        <f t="shared" ca="1" si="94"/>
        <v>95.452451718568526</v>
      </c>
      <c r="L107">
        <f t="shared" ca="1" si="94"/>
        <v>94.791441006615628</v>
      </c>
      <c r="M107">
        <f t="shared" ca="1" si="94"/>
        <v>85.562761165808226</v>
      </c>
      <c r="N107">
        <f t="shared" ca="1" si="94"/>
        <v>80.739678009831934</v>
      </c>
      <c r="O107">
        <f t="shared" ca="1" si="94"/>
        <v>80.962538992515661</v>
      </c>
      <c r="P107">
        <f t="shared" ca="1" si="94"/>
        <v>81.994382563128056</v>
      </c>
      <c r="Q107">
        <f t="shared" ca="1" si="64"/>
        <v>102.94871619828727</v>
      </c>
      <c r="R107">
        <f t="shared" ca="1" si="65"/>
        <v>0</v>
      </c>
      <c r="S107">
        <f t="shared" ca="1" si="66"/>
        <v>0</v>
      </c>
    </row>
    <row r="108" spans="5:19" x14ac:dyDescent="0.75">
      <c r="E108">
        <v>103</v>
      </c>
      <c r="F108">
        <f t="shared" si="62"/>
        <v>100</v>
      </c>
      <c r="G108">
        <f t="shared" ca="1" si="63"/>
        <v>95.310765538962031</v>
      </c>
      <c r="H108">
        <f t="shared" ca="1" si="63"/>
        <v>91.540959122356682</v>
      </c>
      <c r="I108">
        <f t="shared" ca="1" si="63"/>
        <v>93.874797564208635</v>
      </c>
      <c r="J108">
        <f t="shared" ref="J108:P108" ca="1" si="95">I108*EXP(($C$6-0.5*$C$7^2)*$C$12+$C$7*SQRT($C$12)*NORMINV(RAND(),0,1))</f>
        <v>91.052596248833765</v>
      </c>
      <c r="K108">
        <f t="shared" ca="1" si="95"/>
        <v>94.15484890504095</v>
      </c>
      <c r="L108">
        <f t="shared" ca="1" si="95"/>
        <v>97.215664517185729</v>
      </c>
      <c r="M108">
        <f t="shared" ca="1" si="95"/>
        <v>93.83051863827815</v>
      </c>
      <c r="N108">
        <f t="shared" ca="1" si="95"/>
        <v>95.920043210884899</v>
      </c>
      <c r="O108">
        <f t="shared" ca="1" si="95"/>
        <v>89.701284736131811</v>
      </c>
      <c r="P108">
        <f t="shared" ca="1" si="95"/>
        <v>87.895378876309806</v>
      </c>
      <c r="Q108">
        <f t="shared" ca="1" si="64"/>
        <v>97.215664517185729</v>
      </c>
      <c r="R108">
        <f t="shared" ca="1" si="65"/>
        <v>0</v>
      </c>
      <c r="S108">
        <f t="shared" ca="1" si="66"/>
        <v>0</v>
      </c>
    </row>
    <row r="109" spans="5:19" x14ac:dyDescent="0.75">
      <c r="E109">
        <v>104</v>
      </c>
      <c r="F109">
        <f t="shared" si="62"/>
        <v>100</v>
      </c>
      <c r="G109">
        <f t="shared" ca="1" si="63"/>
        <v>93.094592170652589</v>
      </c>
      <c r="H109">
        <f t="shared" ca="1" si="63"/>
        <v>100.10380969116839</v>
      </c>
      <c r="I109">
        <f t="shared" ca="1" si="63"/>
        <v>114.72999356284319</v>
      </c>
      <c r="J109">
        <f t="shared" ref="J109:P109" ca="1" si="96">I109*EXP(($C$6-0.5*$C$7^2)*$C$12+$C$7*SQRT($C$12)*NORMINV(RAND(),0,1))</f>
        <v>106.70882376793128</v>
      </c>
      <c r="K109">
        <f t="shared" ca="1" si="96"/>
        <v>108.89975038620358</v>
      </c>
      <c r="L109">
        <f t="shared" ca="1" si="96"/>
        <v>108.87176347717939</v>
      </c>
      <c r="M109">
        <f t="shared" ca="1" si="96"/>
        <v>105.20205639409953</v>
      </c>
      <c r="N109">
        <f t="shared" ca="1" si="96"/>
        <v>104.86314244716115</v>
      </c>
      <c r="O109">
        <f t="shared" ca="1" si="96"/>
        <v>101.06903979882912</v>
      </c>
      <c r="P109">
        <f t="shared" ca="1" si="96"/>
        <v>103.59433146355317</v>
      </c>
      <c r="Q109">
        <f t="shared" ca="1" si="64"/>
        <v>114.72999356284319</v>
      </c>
      <c r="R109">
        <f t="shared" ca="1" si="65"/>
        <v>0</v>
      </c>
      <c r="S109">
        <f t="shared" ca="1" si="66"/>
        <v>0</v>
      </c>
    </row>
    <row r="110" spans="5:19" x14ac:dyDescent="0.75">
      <c r="E110">
        <v>105</v>
      </c>
      <c r="F110">
        <f t="shared" si="62"/>
        <v>100</v>
      </c>
      <c r="G110">
        <f t="shared" ca="1" si="63"/>
        <v>93.190720409090105</v>
      </c>
      <c r="H110">
        <f t="shared" ca="1" si="63"/>
        <v>94.417617631898139</v>
      </c>
      <c r="I110">
        <f t="shared" ca="1" si="63"/>
        <v>99.681459710386136</v>
      </c>
      <c r="J110">
        <f t="shared" ref="J110:P110" ca="1" si="97">I110*EXP(($C$6-0.5*$C$7^2)*$C$12+$C$7*SQRT($C$12)*NORMINV(RAND(),0,1))</f>
        <v>98.544362740340802</v>
      </c>
      <c r="K110">
        <f t="shared" ca="1" si="97"/>
        <v>101.27130796814889</v>
      </c>
      <c r="L110">
        <f t="shared" ca="1" si="97"/>
        <v>112.82012400916277</v>
      </c>
      <c r="M110">
        <f t="shared" ca="1" si="97"/>
        <v>107.18122187589509</v>
      </c>
      <c r="N110">
        <f t="shared" ca="1" si="97"/>
        <v>110.32790840131075</v>
      </c>
      <c r="O110">
        <f t="shared" ca="1" si="97"/>
        <v>111.71134994248429</v>
      </c>
      <c r="P110">
        <f t="shared" ca="1" si="97"/>
        <v>112.03899604392683</v>
      </c>
      <c r="Q110">
        <f t="shared" ca="1" si="64"/>
        <v>112.82012400916277</v>
      </c>
      <c r="R110">
        <f t="shared" ca="1" si="65"/>
        <v>0</v>
      </c>
      <c r="S110">
        <f t="shared" ca="1" si="66"/>
        <v>0</v>
      </c>
    </row>
    <row r="111" spans="5:19" x14ac:dyDescent="0.75">
      <c r="E111">
        <v>106</v>
      </c>
      <c r="F111">
        <f t="shared" si="62"/>
        <v>100</v>
      </c>
      <c r="G111">
        <f t="shared" ca="1" si="63"/>
        <v>105.23027072103797</v>
      </c>
      <c r="H111">
        <f t="shared" ca="1" si="63"/>
        <v>110.86708116602948</v>
      </c>
      <c r="I111">
        <f t="shared" ca="1" si="63"/>
        <v>121.62957001665688</v>
      </c>
      <c r="J111">
        <f t="shared" ref="J111:P111" ca="1" si="98">I111*EXP(($C$6-0.5*$C$7^2)*$C$12+$C$7*SQRT($C$12)*NORMINV(RAND(),0,1))</f>
        <v>115.56173476488328</v>
      </c>
      <c r="K111">
        <f t="shared" ca="1" si="98"/>
        <v>118.01189116015389</v>
      </c>
      <c r="L111">
        <f t="shared" ca="1" si="98"/>
        <v>113.73473990545611</v>
      </c>
      <c r="M111">
        <f t="shared" ca="1" si="98"/>
        <v>112.72074349292375</v>
      </c>
      <c r="N111">
        <f t="shared" ca="1" si="98"/>
        <v>114.49653519462645</v>
      </c>
      <c r="O111">
        <f t="shared" ca="1" si="98"/>
        <v>120.20286441383469</v>
      </c>
      <c r="P111">
        <f t="shared" ca="1" si="98"/>
        <v>129.40554343452652</v>
      </c>
      <c r="Q111">
        <f t="shared" ca="1" si="64"/>
        <v>129.40554343452652</v>
      </c>
      <c r="R111">
        <f t="shared" ca="1" si="65"/>
        <v>0</v>
      </c>
      <c r="S111">
        <f t="shared" ca="1" si="66"/>
        <v>0</v>
      </c>
    </row>
    <row r="112" spans="5:19" x14ac:dyDescent="0.75">
      <c r="E112">
        <v>107</v>
      </c>
      <c r="F112">
        <f t="shared" si="62"/>
        <v>100</v>
      </c>
      <c r="G112">
        <f t="shared" ca="1" si="63"/>
        <v>95.247509300166783</v>
      </c>
      <c r="H112">
        <f t="shared" ca="1" si="63"/>
        <v>101.89227868920149</v>
      </c>
      <c r="I112">
        <f t="shared" ca="1" si="63"/>
        <v>98.143196015354661</v>
      </c>
      <c r="J112">
        <f t="shared" ref="J112:P112" ca="1" si="99">I112*EXP(($C$6-0.5*$C$7^2)*$C$12+$C$7*SQRT($C$12)*NORMINV(RAND(),0,1))</f>
        <v>104.40943775251029</v>
      </c>
      <c r="K112">
        <f t="shared" ca="1" si="99"/>
        <v>108.8637550141478</v>
      </c>
      <c r="L112">
        <f t="shared" ca="1" si="99"/>
        <v>109.71886732453949</v>
      </c>
      <c r="M112">
        <f t="shared" ca="1" si="99"/>
        <v>114.73453943147234</v>
      </c>
      <c r="N112">
        <f t="shared" ca="1" si="99"/>
        <v>114.65573045758387</v>
      </c>
      <c r="O112">
        <f t="shared" ca="1" si="99"/>
        <v>113.71491733110319</v>
      </c>
      <c r="P112">
        <f t="shared" ca="1" si="99"/>
        <v>109.95886605043887</v>
      </c>
      <c r="Q112">
        <f t="shared" ca="1" si="64"/>
        <v>114.73453943147234</v>
      </c>
      <c r="R112">
        <f t="shared" ca="1" si="65"/>
        <v>0</v>
      </c>
      <c r="S112">
        <f t="shared" ca="1" si="66"/>
        <v>0</v>
      </c>
    </row>
    <row r="113" spans="5:19" x14ac:dyDescent="0.75">
      <c r="E113">
        <v>108</v>
      </c>
      <c r="F113">
        <f t="shared" si="62"/>
        <v>100</v>
      </c>
      <c r="G113">
        <f t="shared" ca="1" si="63"/>
        <v>104.94525577871603</v>
      </c>
      <c r="H113">
        <f t="shared" ca="1" si="63"/>
        <v>106.14895827196258</v>
      </c>
      <c r="I113">
        <f t="shared" ca="1" si="63"/>
        <v>103.65759819082599</v>
      </c>
      <c r="J113">
        <f t="shared" ref="J113:P113" ca="1" si="100">I113*EXP(($C$6-0.5*$C$7^2)*$C$12+$C$7*SQRT($C$12)*NORMINV(RAND(),0,1))</f>
        <v>108.70478098474887</v>
      </c>
      <c r="K113">
        <f t="shared" ca="1" si="100"/>
        <v>111.82861577027583</v>
      </c>
      <c r="L113">
        <f t="shared" ca="1" si="100"/>
        <v>118.12719262668392</v>
      </c>
      <c r="M113">
        <f t="shared" ca="1" si="100"/>
        <v>123.37570662883603</v>
      </c>
      <c r="N113">
        <f t="shared" ca="1" si="100"/>
        <v>134.670391850925</v>
      </c>
      <c r="O113">
        <f t="shared" ca="1" si="100"/>
        <v>122.56070239101039</v>
      </c>
      <c r="P113">
        <f t="shared" ca="1" si="100"/>
        <v>121.76338727302789</v>
      </c>
      <c r="Q113">
        <f t="shared" ca="1" si="64"/>
        <v>134.670391850925</v>
      </c>
      <c r="R113">
        <f t="shared" ca="1" si="65"/>
        <v>0</v>
      </c>
      <c r="S113">
        <f t="shared" ca="1" si="66"/>
        <v>0</v>
      </c>
    </row>
    <row r="114" spans="5:19" x14ac:dyDescent="0.75">
      <c r="E114">
        <v>109</v>
      </c>
      <c r="F114">
        <f t="shared" si="62"/>
        <v>100</v>
      </c>
      <c r="G114">
        <f t="shared" ca="1" si="63"/>
        <v>98.972956946012431</v>
      </c>
      <c r="H114">
        <f t="shared" ca="1" si="63"/>
        <v>102.87103282367187</v>
      </c>
      <c r="I114">
        <f t="shared" ca="1" si="63"/>
        <v>109.96098475155621</v>
      </c>
      <c r="J114">
        <f t="shared" ref="J114:P114" ca="1" si="101">I114*EXP(($C$6-0.5*$C$7^2)*$C$12+$C$7*SQRT($C$12)*NORMINV(RAND(),0,1))</f>
        <v>109.88029449846169</v>
      </c>
      <c r="K114">
        <f t="shared" ca="1" si="101"/>
        <v>117.66780900168587</v>
      </c>
      <c r="L114">
        <f t="shared" ca="1" si="101"/>
        <v>116.97777876895653</v>
      </c>
      <c r="M114">
        <f t="shared" ca="1" si="101"/>
        <v>122.06703546702587</v>
      </c>
      <c r="N114">
        <f t="shared" ca="1" si="101"/>
        <v>116.26804612743655</v>
      </c>
      <c r="O114">
        <f t="shared" ca="1" si="101"/>
        <v>119.97599495714084</v>
      </c>
      <c r="P114">
        <f t="shared" ca="1" si="101"/>
        <v>113.19649394942265</v>
      </c>
      <c r="Q114">
        <f t="shared" ca="1" si="64"/>
        <v>122.06703546702587</v>
      </c>
      <c r="R114">
        <f t="shared" ca="1" si="65"/>
        <v>0</v>
      </c>
      <c r="S114">
        <f t="shared" ca="1" si="66"/>
        <v>0</v>
      </c>
    </row>
    <row r="115" spans="5:19" x14ac:dyDescent="0.75">
      <c r="E115">
        <v>110</v>
      </c>
      <c r="F115">
        <f t="shared" si="62"/>
        <v>100</v>
      </c>
      <c r="G115">
        <f t="shared" ca="1" si="63"/>
        <v>97.984318804546859</v>
      </c>
      <c r="H115">
        <f t="shared" ca="1" si="63"/>
        <v>108.55834424981225</v>
      </c>
      <c r="I115">
        <f t="shared" ca="1" si="63"/>
        <v>108.67404799515171</v>
      </c>
      <c r="J115">
        <f t="shared" ref="J115:P115" ca="1" si="102">I115*EXP(($C$6-0.5*$C$7^2)*$C$12+$C$7*SQRT($C$12)*NORMINV(RAND(),0,1))</f>
        <v>102.36449003733912</v>
      </c>
      <c r="K115">
        <f t="shared" ca="1" si="102"/>
        <v>99.152202139302773</v>
      </c>
      <c r="L115">
        <f t="shared" ca="1" si="102"/>
        <v>99.43055318829127</v>
      </c>
      <c r="M115">
        <f t="shared" ca="1" si="102"/>
        <v>98.597103530642457</v>
      </c>
      <c r="N115">
        <f t="shared" ca="1" si="102"/>
        <v>92.77140348034817</v>
      </c>
      <c r="O115">
        <f t="shared" ca="1" si="102"/>
        <v>92.152401488845868</v>
      </c>
      <c r="P115">
        <f t="shared" ca="1" si="102"/>
        <v>97.363342279164598</v>
      </c>
      <c r="Q115">
        <f t="shared" ca="1" si="64"/>
        <v>108.67404799515171</v>
      </c>
      <c r="R115">
        <f t="shared" ca="1" si="65"/>
        <v>0</v>
      </c>
      <c r="S115">
        <f t="shared" ca="1" si="66"/>
        <v>0</v>
      </c>
    </row>
    <row r="116" spans="5:19" x14ac:dyDescent="0.75">
      <c r="E116">
        <v>111</v>
      </c>
      <c r="F116">
        <f t="shared" si="62"/>
        <v>100</v>
      </c>
      <c r="G116">
        <f t="shared" ca="1" si="63"/>
        <v>97.911791768461867</v>
      </c>
      <c r="H116">
        <f t="shared" ca="1" si="63"/>
        <v>96.101621471117411</v>
      </c>
      <c r="I116">
        <f t="shared" ca="1" si="63"/>
        <v>106.50201546036617</v>
      </c>
      <c r="J116">
        <f t="shared" ref="J116:P116" ca="1" si="103">I116*EXP(($C$6-0.5*$C$7^2)*$C$12+$C$7*SQRT($C$12)*NORMINV(RAND(),0,1))</f>
        <v>107.64822737791849</v>
      </c>
      <c r="K116">
        <f t="shared" ca="1" si="103"/>
        <v>117.42762020638736</v>
      </c>
      <c r="L116">
        <f t="shared" ca="1" si="103"/>
        <v>124.70999130989681</v>
      </c>
      <c r="M116">
        <f t="shared" ca="1" si="103"/>
        <v>121.08138520343198</v>
      </c>
      <c r="N116">
        <f t="shared" ca="1" si="103"/>
        <v>123.37983276894197</v>
      </c>
      <c r="O116">
        <f t="shared" ca="1" si="103"/>
        <v>124.17663532820333</v>
      </c>
      <c r="P116">
        <f t="shared" ca="1" si="103"/>
        <v>115.80069355700168</v>
      </c>
      <c r="Q116">
        <f t="shared" ca="1" si="64"/>
        <v>124.70999130989681</v>
      </c>
      <c r="R116">
        <f t="shared" ca="1" si="65"/>
        <v>0</v>
      </c>
      <c r="S116">
        <f t="shared" ca="1" si="66"/>
        <v>0</v>
      </c>
    </row>
    <row r="117" spans="5:19" x14ac:dyDescent="0.75">
      <c r="E117">
        <v>112</v>
      </c>
      <c r="F117">
        <f t="shared" si="62"/>
        <v>100</v>
      </c>
      <c r="G117">
        <f t="shared" ca="1" si="63"/>
        <v>104.61063202079386</v>
      </c>
      <c r="H117">
        <f t="shared" ca="1" si="63"/>
        <v>105.56852392918846</v>
      </c>
      <c r="I117">
        <f t="shared" ca="1" si="63"/>
        <v>104.40109856508487</v>
      </c>
      <c r="J117">
        <f t="shared" ref="J117:P117" ca="1" si="104">I117*EXP(($C$6-0.5*$C$7^2)*$C$12+$C$7*SQRT($C$12)*NORMINV(RAND(),0,1))</f>
        <v>105.39325593318458</v>
      </c>
      <c r="K117">
        <f t="shared" ca="1" si="104"/>
        <v>99.988489789249599</v>
      </c>
      <c r="L117">
        <f t="shared" ca="1" si="104"/>
        <v>95.966890925239213</v>
      </c>
      <c r="M117">
        <f t="shared" ca="1" si="104"/>
        <v>97.553559399883625</v>
      </c>
      <c r="N117">
        <f t="shared" ca="1" si="104"/>
        <v>94.927172211131193</v>
      </c>
      <c r="O117">
        <f t="shared" ca="1" si="104"/>
        <v>87.128708499712971</v>
      </c>
      <c r="P117">
        <f t="shared" ca="1" si="104"/>
        <v>84.652080720876441</v>
      </c>
      <c r="Q117">
        <f t="shared" ca="1" si="64"/>
        <v>105.56852392918846</v>
      </c>
      <c r="R117">
        <f t="shared" ca="1" si="65"/>
        <v>0</v>
      </c>
      <c r="S117">
        <f t="shared" ca="1" si="66"/>
        <v>0</v>
      </c>
    </row>
    <row r="118" spans="5:19" x14ac:dyDescent="0.75">
      <c r="E118">
        <v>113</v>
      </c>
      <c r="F118">
        <f t="shared" si="62"/>
        <v>100</v>
      </c>
      <c r="G118">
        <f t="shared" ca="1" si="63"/>
        <v>96.973912958406686</v>
      </c>
      <c r="H118">
        <f t="shared" ca="1" si="63"/>
        <v>99.563530717272016</v>
      </c>
      <c r="I118">
        <f t="shared" ca="1" si="63"/>
        <v>95.854881368479951</v>
      </c>
      <c r="J118">
        <f t="shared" ref="J118:P118" ca="1" si="105">I118*EXP(($C$6-0.5*$C$7^2)*$C$12+$C$7*SQRT($C$12)*NORMINV(RAND(),0,1))</f>
        <v>97.815190401227085</v>
      </c>
      <c r="K118">
        <f t="shared" ca="1" si="105"/>
        <v>100.83319357735866</v>
      </c>
      <c r="L118">
        <f t="shared" ca="1" si="105"/>
        <v>104.82346559844888</v>
      </c>
      <c r="M118">
        <f t="shared" ca="1" si="105"/>
        <v>112.38606434031537</v>
      </c>
      <c r="N118">
        <f t="shared" ca="1" si="105"/>
        <v>119.66045220207032</v>
      </c>
      <c r="O118">
        <f t="shared" ca="1" si="105"/>
        <v>118.2342034733815</v>
      </c>
      <c r="P118">
        <f t="shared" ca="1" si="105"/>
        <v>127.99139435600057</v>
      </c>
      <c r="Q118">
        <f t="shared" ca="1" si="64"/>
        <v>127.99139435600057</v>
      </c>
      <c r="R118">
        <f t="shared" ca="1" si="65"/>
        <v>0</v>
      </c>
      <c r="S118">
        <f t="shared" ca="1" si="66"/>
        <v>0</v>
      </c>
    </row>
    <row r="119" spans="5:19" x14ac:dyDescent="0.75">
      <c r="E119">
        <v>114</v>
      </c>
      <c r="F119">
        <f t="shared" si="62"/>
        <v>100</v>
      </c>
      <c r="G119">
        <f t="shared" ca="1" si="63"/>
        <v>105.51741649726401</v>
      </c>
      <c r="H119">
        <f t="shared" ca="1" si="63"/>
        <v>104.32449260315217</v>
      </c>
      <c r="I119">
        <f t="shared" ca="1" si="63"/>
        <v>110.16193555749176</v>
      </c>
      <c r="J119">
        <f t="shared" ref="J119:P119" ca="1" si="106">I119*EXP(($C$6-0.5*$C$7^2)*$C$12+$C$7*SQRT($C$12)*NORMINV(RAND(),0,1))</f>
        <v>107.8016632996642</v>
      </c>
      <c r="K119">
        <f t="shared" ca="1" si="106"/>
        <v>106.13266492410897</v>
      </c>
      <c r="L119">
        <f t="shared" ca="1" si="106"/>
        <v>103.95580889142539</v>
      </c>
      <c r="M119">
        <f t="shared" ca="1" si="106"/>
        <v>108.14381792853901</v>
      </c>
      <c r="N119">
        <f t="shared" ca="1" si="106"/>
        <v>108.99106814584849</v>
      </c>
      <c r="O119">
        <f t="shared" ca="1" si="106"/>
        <v>103.96115051308675</v>
      </c>
      <c r="P119">
        <f t="shared" ca="1" si="106"/>
        <v>110.54006635944316</v>
      </c>
      <c r="Q119">
        <f t="shared" ca="1" si="64"/>
        <v>110.54006635944316</v>
      </c>
      <c r="R119">
        <f t="shared" ca="1" si="65"/>
        <v>0</v>
      </c>
      <c r="S119">
        <f t="shared" ca="1" si="66"/>
        <v>0</v>
      </c>
    </row>
    <row r="120" spans="5:19" x14ac:dyDescent="0.75">
      <c r="E120">
        <v>115</v>
      </c>
      <c r="F120">
        <f t="shared" si="62"/>
        <v>100</v>
      </c>
      <c r="G120">
        <f t="shared" ca="1" si="63"/>
        <v>94.91632141691683</v>
      </c>
      <c r="H120">
        <f t="shared" ca="1" si="63"/>
        <v>88.681833286471232</v>
      </c>
      <c r="I120">
        <f t="shared" ca="1" si="63"/>
        <v>90.762851651224537</v>
      </c>
      <c r="J120">
        <f t="shared" ref="J120:P120" ca="1" si="107">I120*EXP(($C$6-0.5*$C$7^2)*$C$12+$C$7*SQRT($C$12)*NORMINV(RAND(),0,1))</f>
        <v>93.328494788195357</v>
      </c>
      <c r="K120">
        <f t="shared" ca="1" si="107"/>
        <v>90.852053789593825</v>
      </c>
      <c r="L120">
        <f t="shared" ca="1" si="107"/>
        <v>91.604098804530707</v>
      </c>
      <c r="M120">
        <f t="shared" ca="1" si="107"/>
        <v>90.37857895375052</v>
      </c>
      <c r="N120">
        <f t="shared" ca="1" si="107"/>
        <v>86.189557215256045</v>
      </c>
      <c r="O120">
        <f t="shared" ca="1" si="107"/>
        <v>84.225494028018147</v>
      </c>
      <c r="P120">
        <f t="shared" ca="1" si="107"/>
        <v>86.391569525961017</v>
      </c>
      <c r="Q120">
        <f t="shared" ca="1" si="64"/>
        <v>94.91632141691683</v>
      </c>
      <c r="R120">
        <f t="shared" ca="1" si="65"/>
        <v>0</v>
      </c>
      <c r="S120">
        <f t="shared" ca="1" si="66"/>
        <v>0</v>
      </c>
    </row>
    <row r="121" spans="5:19" x14ac:dyDescent="0.75">
      <c r="E121">
        <v>116</v>
      </c>
      <c r="F121">
        <f t="shared" si="62"/>
        <v>100</v>
      </c>
      <c r="G121">
        <f t="shared" ca="1" si="63"/>
        <v>91.179705393769709</v>
      </c>
      <c r="H121">
        <f t="shared" ca="1" si="63"/>
        <v>98.392085794770438</v>
      </c>
      <c r="I121">
        <f t="shared" ca="1" si="63"/>
        <v>97.92820137483055</v>
      </c>
      <c r="J121">
        <f t="shared" ref="J121:P121" ca="1" si="108">I121*EXP(($C$6-0.5*$C$7^2)*$C$12+$C$7*SQRT($C$12)*NORMINV(RAND(),0,1))</f>
        <v>103.91150138741108</v>
      </c>
      <c r="K121">
        <f t="shared" ca="1" si="108"/>
        <v>119.23101402738881</v>
      </c>
      <c r="L121">
        <f t="shared" ca="1" si="108"/>
        <v>120.23381317075101</v>
      </c>
      <c r="M121">
        <f t="shared" ca="1" si="108"/>
        <v>121.98252418129594</v>
      </c>
      <c r="N121">
        <f t="shared" ca="1" si="108"/>
        <v>123.40580680330856</v>
      </c>
      <c r="O121">
        <f t="shared" ca="1" si="108"/>
        <v>117.64087717410855</v>
      </c>
      <c r="P121">
        <f t="shared" ca="1" si="108"/>
        <v>115.29309525033536</v>
      </c>
      <c r="Q121">
        <f t="shared" ca="1" si="64"/>
        <v>123.40580680330856</v>
      </c>
      <c r="R121">
        <f t="shared" ca="1" si="65"/>
        <v>0</v>
      </c>
      <c r="S121">
        <f t="shared" ca="1" si="66"/>
        <v>0</v>
      </c>
    </row>
    <row r="122" spans="5:19" x14ac:dyDescent="0.75">
      <c r="E122">
        <v>117</v>
      </c>
      <c r="F122">
        <f t="shared" si="62"/>
        <v>100</v>
      </c>
      <c r="G122">
        <f t="shared" ca="1" si="63"/>
        <v>97.012852425234925</v>
      </c>
      <c r="H122">
        <f t="shared" ca="1" si="63"/>
        <v>97.30478202433234</v>
      </c>
      <c r="I122">
        <f t="shared" ca="1" si="63"/>
        <v>97.275068223482606</v>
      </c>
      <c r="J122">
        <f t="shared" ref="J122:P122" ca="1" si="109">I122*EXP(($C$6-0.5*$C$7^2)*$C$12+$C$7*SQRT($C$12)*NORMINV(RAND(),0,1))</f>
        <v>96.512698447986892</v>
      </c>
      <c r="K122">
        <f t="shared" ca="1" si="109"/>
        <v>103.86604409392875</v>
      </c>
      <c r="L122">
        <f t="shared" ca="1" si="109"/>
        <v>103.29872790830814</v>
      </c>
      <c r="M122">
        <f t="shared" ca="1" si="109"/>
        <v>105.59143659053311</v>
      </c>
      <c r="N122">
        <f t="shared" ca="1" si="109"/>
        <v>112.36366474083528</v>
      </c>
      <c r="O122">
        <f t="shared" ca="1" si="109"/>
        <v>120.75361573598387</v>
      </c>
      <c r="P122">
        <f t="shared" ca="1" si="109"/>
        <v>131.45887956102095</v>
      </c>
      <c r="Q122">
        <f t="shared" ca="1" si="64"/>
        <v>131.45887956102095</v>
      </c>
      <c r="R122">
        <f t="shared" ca="1" si="65"/>
        <v>0</v>
      </c>
      <c r="S122">
        <f t="shared" ca="1" si="66"/>
        <v>0</v>
      </c>
    </row>
    <row r="123" spans="5:19" x14ac:dyDescent="0.75">
      <c r="E123">
        <v>118</v>
      </c>
      <c r="F123">
        <f t="shared" si="62"/>
        <v>100</v>
      </c>
      <c r="G123">
        <f t="shared" ca="1" si="63"/>
        <v>98.67814544852655</v>
      </c>
      <c r="H123">
        <f t="shared" ca="1" si="63"/>
        <v>100.13743138285258</v>
      </c>
      <c r="I123">
        <f t="shared" ca="1" si="63"/>
        <v>98.236699560620096</v>
      </c>
      <c r="J123">
        <f t="shared" ref="J123:P123" ca="1" si="110">I123*EXP(($C$6-0.5*$C$7^2)*$C$12+$C$7*SQRT($C$12)*NORMINV(RAND(),0,1))</f>
        <v>99.420804554219984</v>
      </c>
      <c r="K123">
        <f t="shared" ca="1" si="110"/>
        <v>97.1675720970307</v>
      </c>
      <c r="L123">
        <f t="shared" ca="1" si="110"/>
        <v>99.117014163970566</v>
      </c>
      <c r="M123">
        <f t="shared" ca="1" si="110"/>
        <v>97.296954440713506</v>
      </c>
      <c r="N123">
        <f t="shared" ca="1" si="110"/>
        <v>97.216047283058714</v>
      </c>
      <c r="O123">
        <f t="shared" ca="1" si="110"/>
        <v>100.97248269747645</v>
      </c>
      <c r="P123">
        <f t="shared" ca="1" si="110"/>
        <v>101.27348984858082</v>
      </c>
      <c r="Q123">
        <f t="shared" ca="1" si="64"/>
        <v>101.27348984858082</v>
      </c>
      <c r="R123">
        <f t="shared" ca="1" si="65"/>
        <v>0</v>
      </c>
      <c r="S123">
        <f t="shared" ca="1" si="66"/>
        <v>0</v>
      </c>
    </row>
    <row r="124" spans="5:19" x14ac:dyDescent="0.75">
      <c r="E124">
        <v>119</v>
      </c>
      <c r="F124">
        <f t="shared" si="62"/>
        <v>100</v>
      </c>
      <c r="G124">
        <f t="shared" ca="1" si="63"/>
        <v>95.90324052456306</v>
      </c>
      <c r="H124">
        <f t="shared" ca="1" si="63"/>
        <v>90.917778032739648</v>
      </c>
      <c r="I124">
        <f t="shared" ca="1" si="63"/>
        <v>85.1288169907873</v>
      </c>
      <c r="J124">
        <f t="shared" ref="J124:P124" ca="1" si="111">I124*EXP(($C$6-0.5*$C$7^2)*$C$12+$C$7*SQRT($C$12)*NORMINV(RAND(),0,1))</f>
        <v>78.702316964463051</v>
      </c>
      <c r="K124">
        <f t="shared" ca="1" si="111"/>
        <v>77.922394278000965</v>
      </c>
      <c r="L124">
        <f t="shared" ca="1" si="111"/>
        <v>75.327288051618481</v>
      </c>
      <c r="M124">
        <f t="shared" ca="1" si="111"/>
        <v>75.036319202754001</v>
      </c>
      <c r="N124">
        <f t="shared" ca="1" si="111"/>
        <v>71.957043625847547</v>
      </c>
      <c r="O124">
        <f t="shared" ca="1" si="111"/>
        <v>72.022693720010807</v>
      </c>
      <c r="P124">
        <f t="shared" ca="1" si="111"/>
        <v>71.489970024210123</v>
      </c>
      <c r="Q124">
        <f t="shared" ca="1" si="64"/>
        <v>95.90324052456306</v>
      </c>
      <c r="R124">
        <f t="shared" ca="1" si="65"/>
        <v>0</v>
      </c>
      <c r="S124">
        <f t="shared" ca="1" si="66"/>
        <v>0</v>
      </c>
    </row>
    <row r="125" spans="5:19" x14ac:dyDescent="0.75">
      <c r="E125">
        <v>120</v>
      </c>
      <c r="F125">
        <f t="shared" si="62"/>
        <v>100</v>
      </c>
      <c r="G125">
        <f t="shared" ca="1" si="63"/>
        <v>100.2846063038769</v>
      </c>
      <c r="H125">
        <f t="shared" ca="1" si="63"/>
        <v>104.56615499176309</v>
      </c>
      <c r="I125">
        <f t="shared" ca="1" si="63"/>
        <v>100.65519328644638</v>
      </c>
      <c r="J125">
        <f t="shared" ref="J125:P125" ca="1" si="112">I125*EXP(($C$6-0.5*$C$7^2)*$C$12+$C$7*SQRT($C$12)*NORMINV(RAND(),0,1))</f>
        <v>96.639888110220596</v>
      </c>
      <c r="K125">
        <f t="shared" ca="1" si="112"/>
        <v>96.694756504025136</v>
      </c>
      <c r="L125">
        <f t="shared" ca="1" si="112"/>
        <v>97.578607143568618</v>
      </c>
      <c r="M125">
        <f t="shared" ca="1" si="112"/>
        <v>100.91478435226782</v>
      </c>
      <c r="N125">
        <f t="shared" ca="1" si="112"/>
        <v>97.628784869560477</v>
      </c>
      <c r="O125">
        <f t="shared" ca="1" si="112"/>
        <v>90.66565512871847</v>
      </c>
      <c r="P125">
        <f t="shared" ca="1" si="112"/>
        <v>88.660239390842293</v>
      </c>
      <c r="Q125">
        <f t="shared" ca="1" si="64"/>
        <v>104.56615499176309</v>
      </c>
      <c r="R125">
        <f t="shared" ca="1" si="65"/>
        <v>0</v>
      </c>
      <c r="S125">
        <f t="shared" ca="1" si="66"/>
        <v>0</v>
      </c>
    </row>
    <row r="126" spans="5:19" x14ac:dyDescent="0.75">
      <c r="E126">
        <v>121</v>
      </c>
      <c r="F126">
        <f t="shared" si="62"/>
        <v>100</v>
      </c>
      <c r="G126">
        <f t="shared" ca="1" si="63"/>
        <v>102.3689513601735</v>
      </c>
      <c r="H126">
        <f t="shared" ca="1" si="63"/>
        <v>105.2473324282461</v>
      </c>
      <c r="I126">
        <f t="shared" ca="1" si="63"/>
        <v>100.55246622758072</v>
      </c>
      <c r="J126">
        <f t="shared" ref="J126:P126" ca="1" si="113">I126*EXP(($C$6-0.5*$C$7^2)*$C$12+$C$7*SQRT($C$12)*NORMINV(RAND(),0,1))</f>
        <v>106.85650806839382</v>
      </c>
      <c r="K126">
        <f t="shared" ca="1" si="113"/>
        <v>114.11857525091591</v>
      </c>
      <c r="L126">
        <f t="shared" ca="1" si="113"/>
        <v>112.93135709880083</v>
      </c>
      <c r="M126">
        <f t="shared" ca="1" si="113"/>
        <v>107.58006844662582</v>
      </c>
      <c r="N126">
        <f t="shared" ca="1" si="113"/>
        <v>103.41646190349718</v>
      </c>
      <c r="O126">
        <f t="shared" ca="1" si="113"/>
        <v>97.02561295509777</v>
      </c>
      <c r="P126">
        <f t="shared" ca="1" si="113"/>
        <v>93.721293413661371</v>
      </c>
      <c r="Q126">
        <f t="shared" ca="1" si="64"/>
        <v>114.11857525091591</v>
      </c>
      <c r="R126">
        <f t="shared" ca="1" si="65"/>
        <v>0</v>
      </c>
      <c r="S126">
        <f t="shared" ca="1" si="66"/>
        <v>0</v>
      </c>
    </row>
    <row r="127" spans="5:19" x14ac:dyDescent="0.75">
      <c r="E127">
        <v>122</v>
      </c>
      <c r="F127">
        <f t="shared" si="62"/>
        <v>100</v>
      </c>
      <c r="G127">
        <f t="shared" ca="1" si="63"/>
        <v>97.346095251501978</v>
      </c>
      <c r="H127">
        <f t="shared" ca="1" si="63"/>
        <v>89.305440435618792</v>
      </c>
      <c r="I127">
        <f t="shared" ca="1" si="63"/>
        <v>88.492717734622246</v>
      </c>
      <c r="J127">
        <f t="shared" ref="J127:P127" ca="1" si="114">I127*EXP(($C$6-0.5*$C$7^2)*$C$12+$C$7*SQRT($C$12)*NORMINV(RAND(),0,1))</f>
        <v>84.624435557948857</v>
      </c>
      <c r="K127">
        <f t="shared" ca="1" si="114"/>
        <v>91.984729554831858</v>
      </c>
      <c r="L127">
        <f t="shared" ca="1" si="114"/>
        <v>94.908575178501422</v>
      </c>
      <c r="M127">
        <f t="shared" ca="1" si="114"/>
        <v>96.745355320528276</v>
      </c>
      <c r="N127">
        <f t="shared" ca="1" si="114"/>
        <v>100.74703423498426</v>
      </c>
      <c r="O127">
        <f t="shared" ca="1" si="114"/>
        <v>102.79211332622219</v>
      </c>
      <c r="P127">
        <f t="shared" ca="1" si="114"/>
        <v>96.487068137260039</v>
      </c>
      <c r="Q127">
        <f t="shared" ca="1" si="64"/>
        <v>102.79211332622219</v>
      </c>
      <c r="R127">
        <f t="shared" ca="1" si="65"/>
        <v>0</v>
      </c>
      <c r="S127">
        <f t="shared" ca="1" si="66"/>
        <v>0</v>
      </c>
    </row>
    <row r="128" spans="5:19" x14ac:dyDescent="0.75">
      <c r="E128">
        <v>123</v>
      </c>
      <c r="F128">
        <f t="shared" si="62"/>
        <v>100</v>
      </c>
      <c r="G128">
        <f t="shared" ca="1" si="63"/>
        <v>96.074202446229606</v>
      </c>
      <c r="H128">
        <f t="shared" ca="1" si="63"/>
        <v>95.954165429905444</v>
      </c>
      <c r="I128">
        <f t="shared" ca="1" si="63"/>
        <v>95.246578984089709</v>
      </c>
      <c r="J128">
        <f t="shared" ref="J128:P128" ca="1" si="115">I128*EXP(($C$6-0.5*$C$7^2)*$C$12+$C$7*SQRT($C$12)*NORMINV(RAND(),0,1))</f>
        <v>96.798604573722201</v>
      </c>
      <c r="K128">
        <f t="shared" ca="1" si="115"/>
        <v>90.683544560051743</v>
      </c>
      <c r="L128">
        <f t="shared" ca="1" si="115"/>
        <v>86.986146501392938</v>
      </c>
      <c r="M128">
        <f t="shared" ca="1" si="115"/>
        <v>86.971151477860687</v>
      </c>
      <c r="N128">
        <f t="shared" ca="1" si="115"/>
        <v>89.554191166651123</v>
      </c>
      <c r="O128">
        <f t="shared" ca="1" si="115"/>
        <v>95.53542166622502</v>
      </c>
      <c r="P128">
        <f t="shared" ca="1" si="115"/>
        <v>97.178045626704588</v>
      </c>
      <c r="Q128">
        <f t="shared" ca="1" si="64"/>
        <v>97.178045626704588</v>
      </c>
      <c r="R128">
        <f t="shared" ca="1" si="65"/>
        <v>0</v>
      </c>
      <c r="S128">
        <f t="shared" ca="1" si="66"/>
        <v>0</v>
      </c>
    </row>
    <row r="129" spans="5:19" x14ac:dyDescent="0.75">
      <c r="E129">
        <v>124</v>
      </c>
      <c r="F129">
        <f t="shared" si="62"/>
        <v>100</v>
      </c>
      <c r="G129">
        <f t="shared" ca="1" si="63"/>
        <v>95.217428095394212</v>
      </c>
      <c r="H129">
        <f t="shared" ca="1" si="63"/>
        <v>95.763647516321939</v>
      </c>
      <c r="I129">
        <f t="shared" ca="1" si="63"/>
        <v>95.940098911236163</v>
      </c>
      <c r="J129">
        <f t="shared" ref="J129:P129" ca="1" si="116">I129*EXP(($C$6-0.5*$C$7^2)*$C$12+$C$7*SQRT($C$12)*NORMINV(RAND(),0,1))</f>
        <v>96.726235224089223</v>
      </c>
      <c r="K129">
        <f t="shared" ca="1" si="116"/>
        <v>96.700830604302666</v>
      </c>
      <c r="L129">
        <f t="shared" ca="1" si="116"/>
        <v>101.23710117928304</v>
      </c>
      <c r="M129">
        <f t="shared" ca="1" si="116"/>
        <v>111.98667529694217</v>
      </c>
      <c r="N129">
        <f t="shared" ca="1" si="116"/>
        <v>112.6723313808351</v>
      </c>
      <c r="O129">
        <f t="shared" ca="1" si="116"/>
        <v>105.98734447047218</v>
      </c>
      <c r="P129">
        <f t="shared" ca="1" si="116"/>
        <v>103.77279207802754</v>
      </c>
      <c r="Q129">
        <f t="shared" ca="1" si="64"/>
        <v>112.6723313808351</v>
      </c>
      <c r="R129">
        <f t="shared" ca="1" si="65"/>
        <v>0</v>
      </c>
      <c r="S129">
        <f t="shared" ca="1" si="66"/>
        <v>0</v>
      </c>
    </row>
    <row r="130" spans="5:19" x14ac:dyDescent="0.75">
      <c r="E130">
        <v>125</v>
      </c>
      <c r="F130">
        <f t="shared" si="62"/>
        <v>100</v>
      </c>
      <c r="G130">
        <f t="shared" ca="1" si="63"/>
        <v>103.03478351365611</v>
      </c>
      <c r="H130">
        <f t="shared" ca="1" si="63"/>
        <v>103.76275778956742</v>
      </c>
      <c r="I130">
        <f t="shared" ca="1" si="63"/>
        <v>106.0913737477693</v>
      </c>
      <c r="J130">
        <f t="shared" ref="J130:P130" ca="1" si="117">I130*EXP(($C$6-0.5*$C$7^2)*$C$12+$C$7*SQRT($C$12)*NORMINV(RAND(),0,1))</f>
        <v>106.47891090136666</v>
      </c>
      <c r="K130">
        <f t="shared" ca="1" si="117"/>
        <v>116.43265532346328</v>
      </c>
      <c r="L130">
        <f t="shared" ca="1" si="117"/>
        <v>110.12965262493302</v>
      </c>
      <c r="M130">
        <f t="shared" ca="1" si="117"/>
        <v>110.18821367018506</v>
      </c>
      <c r="N130">
        <f t="shared" ca="1" si="117"/>
        <v>103.38679338725626</v>
      </c>
      <c r="O130">
        <f t="shared" ca="1" si="117"/>
        <v>104.9326510552478</v>
      </c>
      <c r="P130">
        <f t="shared" ca="1" si="117"/>
        <v>107.05095799628577</v>
      </c>
      <c r="Q130">
        <f t="shared" ca="1" si="64"/>
        <v>116.43265532346328</v>
      </c>
      <c r="R130">
        <f t="shared" ca="1" si="65"/>
        <v>0</v>
      </c>
      <c r="S130">
        <f t="shared" ca="1" si="66"/>
        <v>0</v>
      </c>
    </row>
    <row r="131" spans="5:19" x14ac:dyDescent="0.75">
      <c r="E131">
        <v>126</v>
      </c>
      <c r="F131">
        <f t="shared" si="62"/>
        <v>100</v>
      </c>
      <c r="G131">
        <f t="shared" ca="1" si="63"/>
        <v>100.36439630444254</v>
      </c>
      <c r="H131">
        <f t="shared" ca="1" si="63"/>
        <v>107.22803001451106</v>
      </c>
      <c r="I131">
        <f t="shared" ca="1" si="63"/>
        <v>113.60698287039527</v>
      </c>
      <c r="J131">
        <f t="shared" ref="J131:P131" ca="1" si="118">I131*EXP(($C$6-0.5*$C$7^2)*$C$12+$C$7*SQRT($C$12)*NORMINV(RAND(),0,1))</f>
        <v>109.01630038814763</v>
      </c>
      <c r="K131">
        <f t="shared" ca="1" si="118"/>
        <v>115.11993413673319</v>
      </c>
      <c r="L131">
        <f t="shared" ca="1" si="118"/>
        <v>117.06500845876542</v>
      </c>
      <c r="M131">
        <f t="shared" ca="1" si="118"/>
        <v>113.46908233073115</v>
      </c>
      <c r="N131">
        <f t="shared" ca="1" si="118"/>
        <v>116.4747299202938</v>
      </c>
      <c r="O131">
        <f t="shared" ca="1" si="118"/>
        <v>123.37604818010186</v>
      </c>
      <c r="P131">
        <f t="shared" ca="1" si="118"/>
        <v>119.70055296247409</v>
      </c>
      <c r="Q131">
        <f t="shared" ca="1" si="64"/>
        <v>123.37604818010186</v>
      </c>
      <c r="R131">
        <f t="shared" ca="1" si="65"/>
        <v>0</v>
      </c>
      <c r="S131">
        <f t="shared" ca="1" si="66"/>
        <v>0</v>
      </c>
    </row>
    <row r="132" spans="5:19" x14ac:dyDescent="0.75">
      <c r="E132">
        <v>127</v>
      </c>
      <c r="F132">
        <f t="shared" si="62"/>
        <v>100</v>
      </c>
      <c r="G132">
        <f t="shared" ca="1" si="63"/>
        <v>101.82561961611344</v>
      </c>
      <c r="H132">
        <f t="shared" ca="1" si="63"/>
        <v>101.11976362054592</v>
      </c>
      <c r="I132">
        <f t="shared" ca="1" si="63"/>
        <v>95.338472457562716</v>
      </c>
      <c r="J132">
        <f t="shared" ref="J132:P132" ca="1" si="119">I132*EXP(($C$6-0.5*$C$7^2)*$C$12+$C$7*SQRT($C$12)*NORMINV(RAND(),0,1))</f>
        <v>95.013473987019466</v>
      </c>
      <c r="K132">
        <f t="shared" ca="1" si="119"/>
        <v>94.716186131631005</v>
      </c>
      <c r="L132">
        <f t="shared" ca="1" si="119"/>
        <v>102.37420733380493</v>
      </c>
      <c r="M132">
        <f t="shared" ca="1" si="119"/>
        <v>100.87642219545012</v>
      </c>
      <c r="N132">
        <f t="shared" ca="1" si="119"/>
        <v>105.18319897652999</v>
      </c>
      <c r="O132">
        <f t="shared" ca="1" si="119"/>
        <v>103.39262732322693</v>
      </c>
      <c r="P132">
        <f t="shared" ca="1" si="119"/>
        <v>105.9431479318838</v>
      </c>
      <c r="Q132">
        <f t="shared" ca="1" si="64"/>
        <v>105.9431479318838</v>
      </c>
      <c r="R132">
        <f t="shared" ca="1" si="65"/>
        <v>3.9431479318838001</v>
      </c>
      <c r="S132">
        <f t="shared" ca="1" si="66"/>
        <v>3.8457912625602906</v>
      </c>
    </row>
    <row r="133" spans="5:19" x14ac:dyDescent="0.75">
      <c r="E133">
        <v>128</v>
      </c>
      <c r="F133">
        <f t="shared" si="62"/>
        <v>100</v>
      </c>
      <c r="G133">
        <f t="shared" ca="1" si="63"/>
        <v>110.37310120441876</v>
      </c>
      <c r="H133">
        <f t="shared" ca="1" si="63"/>
        <v>117.73600583430489</v>
      </c>
      <c r="I133">
        <f t="shared" ca="1" si="63"/>
        <v>121.15834317653511</v>
      </c>
      <c r="J133">
        <f t="shared" ref="J133:P133" ca="1" si="120">I133*EXP(($C$6-0.5*$C$7^2)*$C$12+$C$7*SQRT($C$12)*NORMINV(RAND(),0,1))</f>
        <v>131.96205761194076</v>
      </c>
      <c r="K133">
        <f t="shared" ca="1" si="120"/>
        <v>136.47473090228706</v>
      </c>
      <c r="L133">
        <f t="shared" ca="1" si="120"/>
        <v>135.20100180782836</v>
      </c>
      <c r="M133">
        <f t="shared" ca="1" si="120"/>
        <v>136.36454826102991</v>
      </c>
      <c r="N133">
        <f t="shared" ca="1" si="120"/>
        <v>135.13510957311686</v>
      </c>
      <c r="O133">
        <f t="shared" ca="1" si="120"/>
        <v>143.91442301393667</v>
      </c>
      <c r="P133">
        <f t="shared" ca="1" si="120"/>
        <v>152.84262087101376</v>
      </c>
      <c r="Q133">
        <f t="shared" ca="1" si="64"/>
        <v>152.84262087101376</v>
      </c>
      <c r="R133">
        <f t="shared" ca="1" si="65"/>
        <v>0</v>
      </c>
      <c r="S133">
        <f t="shared" ca="1" si="66"/>
        <v>0</v>
      </c>
    </row>
    <row r="134" spans="5:19" x14ac:dyDescent="0.75">
      <c r="E134">
        <v>129</v>
      </c>
      <c r="F134">
        <f t="shared" si="62"/>
        <v>100</v>
      </c>
      <c r="G134">
        <f t="shared" ca="1" si="63"/>
        <v>101.15877803687761</v>
      </c>
      <c r="H134">
        <f t="shared" ca="1" si="63"/>
        <v>93.093586136651567</v>
      </c>
      <c r="I134">
        <f t="shared" ca="1" si="63"/>
        <v>93.116903441979673</v>
      </c>
      <c r="J134">
        <f t="shared" ref="J134:P134" ca="1" si="121">I134*EXP(($C$6-0.5*$C$7^2)*$C$12+$C$7*SQRT($C$12)*NORMINV(RAND(),0,1))</f>
        <v>94.375964631738341</v>
      </c>
      <c r="K134">
        <f t="shared" ca="1" si="121"/>
        <v>92.435404691862374</v>
      </c>
      <c r="L134">
        <f t="shared" ca="1" si="121"/>
        <v>90.848630966461201</v>
      </c>
      <c r="M134">
        <f t="shared" ca="1" si="121"/>
        <v>82.190152857438733</v>
      </c>
      <c r="N134">
        <f t="shared" ca="1" si="121"/>
        <v>78.845340953689629</v>
      </c>
      <c r="O134">
        <f t="shared" ca="1" si="121"/>
        <v>74.896912717385021</v>
      </c>
      <c r="P134">
        <f t="shared" ca="1" si="121"/>
        <v>80.829509634332581</v>
      </c>
      <c r="Q134">
        <f t="shared" ca="1" si="64"/>
        <v>101.15877803687761</v>
      </c>
      <c r="R134">
        <f t="shared" ca="1" si="65"/>
        <v>0</v>
      </c>
      <c r="S134">
        <f t="shared" ca="1" si="66"/>
        <v>0</v>
      </c>
    </row>
    <row r="135" spans="5:19" x14ac:dyDescent="0.75">
      <c r="E135">
        <v>130</v>
      </c>
      <c r="F135">
        <f t="shared" ref="F135:F198" si="122">$C$5</f>
        <v>100</v>
      </c>
      <c r="G135">
        <f t="shared" ref="G135:P198" ca="1" si="123">F135*EXP(($C$6-0.5*$C$7^2)*$C$12+$C$7*SQRT($C$12)*NORMINV(RAND(),0,1))</f>
        <v>99.733924805990185</v>
      </c>
      <c r="H135">
        <f t="shared" ca="1" si="123"/>
        <v>100.33810679125241</v>
      </c>
      <c r="I135">
        <f t="shared" ca="1" si="123"/>
        <v>104.03598864952586</v>
      </c>
      <c r="J135">
        <f t="shared" ca="1" si="123"/>
        <v>107.45024834081423</v>
      </c>
      <c r="K135">
        <f t="shared" ca="1" si="123"/>
        <v>99.207192149265367</v>
      </c>
      <c r="L135">
        <f t="shared" ca="1" si="123"/>
        <v>96.796850775210757</v>
      </c>
      <c r="M135">
        <f t="shared" ca="1" si="123"/>
        <v>101.15852346634436</v>
      </c>
      <c r="N135">
        <f t="shared" ca="1" si="123"/>
        <v>90.3216352482698</v>
      </c>
      <c r="O135">
        <f t="shared" ca="1" si="123"/>
        <v>87.523888616366918</v>
      </c>
      <c r="P135">
        <f t="shared" ca="1" si="123"/>
        <v>90.442914475301649</v>
      </c>
      <c r="Q135">
        <f t="shared" ref="Q135:Q198" ca="1" si="124">MAX(G135:P135)</f>
        <v>107.45024834081423</v>
      </c>
      <c r="R135">
        <f t="shared" ref="R135:R198" ca="1" si="125">IF(Q135&gt;=$C$13,0, MAX(P135-$C$9,0))</f>
        <v>0</v>
      </c>
      <c r="S135">
        <f t="shared" ref="S135:S198" ca="1" si="126">EXP(-$C$6*$C$8)*R135</f>
        <v>0</v>
      </c>
    </row>
    <row r="136" spans="5:19" x14ac:dyDescent="0.75">
      <c r="E136">
        <v>131</v>
      </c>
      <c r="F136">
        <f t="shared" si="122"/>
        <v>100</v>
      </c>
      <c r="G136">
        <f t="shared" ca="1" si="123"/>
        <v>94.990208050779714</v>
      </c>
      <c r="H136">
        <f t="shared" ca="1" si="123"/>
        <v>86.548446678130603</v>
      </c>
      <c r="I136">
        <f t="shared" ca="1" si="123"/>
        <v>88.29474406890057</v>
      </c>
      <c r="J136">
        <f t="shared" ca="1" si="123"/>
        <v>89.293447300431652</v>
      </c>
      <c r="K136">
        <f t="shared" ca="1" si="123"/>
        <v>88.34360626935522</v>
      </c>
      <c r="L136">
        <f t="shared" ca="1" si="123"/>
        <v>89.261636718531889</v>
      </c>
      <c r="M136">
        <f t="shared" ca="1" si="123"/>
        <v>90.563195544112205</v>
      </c>
      <c r="N136">
        <f t="shared" ca="1" si="123"/>
        <v>89.56753178386505</v>
      </c>
      <c r="O136">
        <f t="shared" ca="1" si="123"/>
        <v>85.993097354421806</v>
      </c>
      <c r="P136">
        <f t="shared" ca="1" si="123"/>
        <v>80.094870528603579</v>
      </c>
      <c r="Q136">
        <f t="shared" ca="1" si="124"/>
        <v>94.990208050779714</v>
      </c>
      <c r="R136">
        <f t="shared" ca="1" si="125"/>
        <v>0</v>
      </c>
      <c r="S136">
        <f t="shared" ca="1" si="126"/>
        <v>0</v>
      </c>
    </row>
    <row r="137" spans="5:19" x14ac:dyDescent="0.75">
      <c r="E137">
        <v>132</v>
      </c>
      <c r="F137">
        <f t="shared" si="122"/>
        <v>100</v>
      </c>
      <c r="G137">
        <f t="shared" ca="1" si="123"/>
        <v>109.86424669283035</v>
      </c>
      <c r="H137">
        <f t="shared" ca="1" si="123"/>
        <v>101.96963550150868</v>
      </c>
      <c r="I137">
        <f t="shared" ca="1" si="123"/>
        <v>103.53202145392049</v>
      </c>
      <c r="J137">
        <f t="shared" ca="1" si="123"/>
        <v>109.56965544778829</v>
      </c>
      <c r="K137">
        <f t="shared" ca="1" si="123"/>
        <v>107.73320001651281</v>
      </c>
      <c r="L137">
        <f t="shared" ca="1" si="123"/>
        <v>109.16014772567013</v>
      </c>
      <c r="M137">
        <f t="shared" ca="1" si="123"/>
        <v>106.40669869362479</v>
      </c>
      <c r="N137">
        <f t="shared" ca="1" si="123"/>
        <v>105.81400121172109</v>
      </c>
      <c r="O137">
        <f t="shared" ca="1" si="123"/>
        <v>109.20386166717671</v>
      </c>
      <c r="P137">
        <f t="shared" ca="1" si="123"/>
        <v>116.80865399978778</v>
      </c>
      <c r="Q137">
        <f t="shared" ca="1" si="124"/>
        <v>116.80865399978778</v>
      </c>
      <c r="R137">
        <f t="shared" ca="1" si="125"/>
        <v>0</v>
      </c>
      <c r="S137">
        <f t="shared" ca="1" si="126"/>
        <v>0</v>
      </c>
    </row>
    <row r="138" spans="5:19" x14ac:dyDescent="0.75">
      <c r="E138">
        <v>133</v>
      </c>
      <c r="F138">
        <f t="shared" si="122"/>
        <v>100</v>
      </c>
      <c r="G138">
        <f t="shared" ca="1" si="123"/>
        <v>101.41220035811993</v>
      </c>
      <c r="H138">
        <f t="shared" ca="1" si="123"/>
        <v>103.29606104207618</v>
      </c>
      <c r="I138">
        <f t="shared" ca="1" si="123"/>
        <v>101.58573532064457</v>
      </c>
      <c r="J138">
        <f t="shared" ca="1" si="123"/>
        <v>104.06307206028089</v>
      </c>
      <c r="K138">
        <f t="shared" ca="1" si="123"/>
        <v>96.376640493441784</v>
      </c>
      <c r="L138">
        <f t="shared" ca="1" si="123"/>
        <v>104.5749612922063</v>
      </c>
      <c r="M138">
        <f t="shared" ca="1" si="123"/>
        <v>104.39731589693884</v>
      </c>
      <c r="N138">
        <f t="shared" ca="1" si="123"/>
        <v>108.12431831862449</v>
      </c>
      <c r="O138">
        <f t="shared" ca="1" si="123"/>
        <v>100.93475497619848</v>
      </c>
      <c r="P138">
        <f t="shared" ca="1" si="123"/>
        <v>100.72709751500248</v>
      </c>
      <c r="Q138">
        <f t="shared" ca="1" si="124"/>
        <v>108.12431831862449</v>
      </c>
      <c r="R138">
        <f t="shared" ca="1" si="125"/>
        <v>0</v>
      </c>
      <c r="S138">
        <f t="shared" ca="1" si="126"/>
        <v>0</v>
      </c>
    </row>
    <row r="139" spans="5:19" x14ac:dyDescent="0.75">
      <c r="E139">
        <v>134</v>
      </c>
      <c r="F139">
        <f t="shared" si="122"/>
        <v>100</v>
      </c>
      <c r="G139">
        <f t="shared" ca="1" si="123"/>
        <v>103.43230338918985</v>
      </c>
      <c r="H139">
        <f t="shared" ca="1" si="123"/>
        <v>103.12163761680691</v>
      </c>
      <c r="I139">
        <f t="shared" ca="1" si="123"/>
        <v>100.1724849092531</v>
      </c>
      <c r="J139">
        <f t="shared" ca="1" si="123"/>
        <v>96.132735837716936</v>
      </c>
      <c r="K139">
        <f t="shared" ca="1" si="123"/>
        <v>92.034347842716741</v>
      </c>
      <c r="L139">
        <f t="shared" ca="1" si="123"/>
        <v>93.454722172388628</v>
      </c>
      <c r="M139">
        <f t="shared" ca="1" si="123"/>
        <v>93.461344917802506</v>
      </c>
      <c r="N139">
        <f t="shared" ca="1" si="123"/>
        <v>100.56348733996661</v>
      </c>
      <c r="O139">
        <f t="shared" ca="1" si="123"/>
        <v>95.849670299161204</v>
      </c>
      <c r="P139">
        <f t="shared" ca="1" si="123"/>
        <v>103.25677736044439</v>
      </c>
      <c r="Q139">
        <f t="shared" ca="1" si="124"/>
        <v>103.43230338918985</v>
      </c>
      <c r="R139">
        <f t="shared" ca="1" si="125"/>
        <v>1.2567773604443886</v>
      </c>
      <c r="S139">
        <f t="shared" ca="1" si="126"/>
        <v>1.2257474168542166</v>
      </c>
    </row>
    <row r="140" spans="5:19" x14ac:dyDescent="0.75">
      <c r="E140">
        <v>135</v>
      </c>
      <c r="F140">
        <f t="shared" si="122"/>
        <v>100</v>
      </c>
      <c r="G140">
        <f t="shared" ca="1" si="123"/>
        <v>107.47493584113334</v>
      </c>
      <c r="H140">
        <f t="shared" ca="1" si="123"/>
        <v>105.81255029188368</v>
      </c>
      <c r="I140">
        <f t="shared" ca="1" si="123"/>
        <v>100.41306963264073</v>
      </c>
      <c r="J140">
        <f t="shared" ca="1" si="123"/>
        <v>99.935689271015406</v>
      </c>
      <c r="K140">
        <f t="shared" ca="1" si="123"/>
        <v>95.710189857382559</v>
      </c>
      <c r="L140">
        <f t="shared" ca="1" si="123"/>
        <v>93.87543997585216</v>
      </c>
      <c r="M140">
        <f t="shared" ca="1" si="123"/>
        <v>94.915545873328426</v>
      </c>
      <c r="N140">
        <f t="shared" ca="1" si="123"/>
        <v>91.198727406413681</v>
      </c>
      <c r="O140">
        <f t="shared" ca="1" si="123"/>
        <v>95.782021949810314</v>
      </c>
      <c r="P140">
        <f t="shared" ca="1" si="123"/>
        <v>98.429876363573896</v>
      </c>
      <c r="Q140">
        <f t="shared" ca="1" si="124"/>
        <v>107.47493584113334</v>
      </c>
      <c r="R140">
        <f t="shared" ca="1" si="125"/>
        <v>0</v>
      </c>
      <c r="S140">
        <f t="shared" ca="1" si="126"/>
        <v>0</v>
      </c>
    </row>
    <row r="141" spans="5:19" x14ac:dyDescent="0.75">
      <c r="E141">
        <v>136</v>
      </c>
      <c r="F141">
        <f t="shared" si="122"/>
        <v>100</v>
      </c>
      <c r="G141">
        <f t="shared" ca="1" si="123"/>
        <v>109.52551252877596</v>
      </c>
      <c r="H141">
        <f t="shared" ca="1" si="123"/>
        <v>114.96200205148621</v>
      </c>
      <c r="I141">
        <f t="shared" ca="1" si="123"/>
        <v>120.65446516598476</v>
      </c>
      <c r="J141">
        <f t="shared" ca="1" si="123"/>
        <v>127.12322635050522</v>
      </c>
      <c r="K141">
        <f t="shared" ca="1" si="123"/>
        <v>123.22064466451634</v>
      </c>
      <c r="L141">
        <f t="shared" ca="1" si="123"/>
        <v>128.8856932583839</v>
      </c>
      <c r="M141">
        <f t="shared" ca="1" si="123"/>
        <v>123.68698360388549</v>
      </c>
      <c r="N141">
        <f t="shared" ca="1" si="123"/>
        <v>127.75453250899633</v>
      </c>
      <c r="O141">
        <f t="shared" ca="1" si="123"/>
        <v>121.19157634710893</v>
      </c>
      <c r="P141">
        <f t="shared" ca="1" si="123"/>
        <v>127.37315919588397</v>
      </c>
      <c r="Q141">
        <f t="shared" ca="1" si="124"/>
        <v>128.8856932583839</v>
      </c>
      <c r="R141">
        <f t="shared" ca="1" si="125"/>
        <v>0</v>
      </c>
      <c r="S141">
        <f t="shared" ca="1" si="126"/>
        <v>0</v>
      </c>
    </row>
    <row r="142" spans="5:19" x14ac:dyDescent="0.75">
      <c r="E142">
        <v>137</v>
      </c>
      <c r="F142">
        <f t="shared" si="122"/>
        <v>100</v>
      </c>
      <c r="G142">
        <f t="shared" ca="1" si="123"/>
        <v>96.362308548776852</v>
      </c>
      <c r="H142">
        <f t="shared" ca="1" si="123"/>
        <v>99.944876728666515</v>
      </c>
      <c r="I142">
        <f t="shared" ca="1" si="123"/>
        <v>102.22706004827346</v>
      </c>
      <c r="J142">
        <f t="shared" ca="1" si="123"/>
        <v>97.449875166767228</v>
      </c>
      <c r="K142">
        <f t="shared" ca="1" si="123"/>
        <v>95.343257199065221</v>
      </c>
      <c r="L142">
        <f t="shared" ca="1" si="123"/>
        <v>94.19884268081465</v>
      </c>
      <c r="M142">
        <f t="shared" ca="1" si="123"/>
        <v>98.942509031445226</v>
      </c>
      <c r="N142">
        <f t="shared" ca="1" si="123"/>
        <v>97.877824485263019</v>
      </c>
      <c r="O142">
        <f t="shared" ca="1" si="123"/>
        <v>94.558879297718619</v>
      </c>
      <c r="P142">
        <f t="shared" ca="1" si="123"/>
        <v>94.842664494920029</v>
      </c>
      <c r="Q142">
        <f t="shared" ca="1" si="124"/>
        <v>102.22706004827346</v>
      </c>
      <c r="R142">
        <f t="shared" ca="1" si="125"/>
        <v>0</v>
      </c>
      <c r="S142">
        <f t="shared" ca="1" si="126"/>
        <v>0</v>
      </c>
    </row>
    <row r="143" spans="5:19" x14ac:dyDescent="0.75">
      <c r="E143">
        <v>138</v>
      </c>
      <c r="F143">
        <f t="shared" si="122"/>
        <v>100</v>
      </c>
      <c r="G143">
        <f t="shared" ca="1" si="123"/>
        <v>103.28082241211101</v>
      </c>
      <c r="H143">
        <f t="shared" ca="1" si="123"/>
        <v>100.82346019993304</v>
      </c>
      <c r="I143">
        <f t="shared" ca="1" si="123"/>
        <v>98.247391289343582</v>
      </c>
      <c r="J143">
        <f t="shared" ca="1" si="123"/>
        <v>101.21762149377503</v>
      </c>
      <c r="K143">
        <f t="shared" ca="1" si="123"/>
        <v>95.92222858724314</v>
      </c>
      <c r="L143">
        <f t="shared" ca="1" si="123"/>
        <v>90.056810241905708</v>
      </c>
      <c r="M143">
        <f t="shared" ca="1" si="123"/>
        <v>88.133398955511851</v>
      </c>
      <c r="N143">
        <f t="shared" ca="1" si="123"/>
        <v>83.370702396826616</v>
      </c>
      <c r="O143">
        <f t="shared" ca="1" si="123"/>
        <v>82.838125915030659</v>
      </c>
      <c r="P143">
        <f t="shared" ca="1" si="123"/>
        <v>79.892786836410096</v>
      </c>
      <c r="Q143">
        <f t="shared" ca="1" si="124"/>
        <v>103.28082241211101</v>
      </c>
      <c r="R143">
        <f t="shared" ca="1" si="125"/>
        <v>0</v>
      </c>
      <c r="S143">
        <f t="shared" ca="1" si="126"/>
        <v>0</v>
      </c>
    </row>
    <row r="144" spans="5:19" x14ac:dyDescent="0.75">
      <c r="E144">
        <v>139</v>
      </c>
      <c r="F144">
        <f t="shared" si="122"/>
        <v>100</v>
      </c>
      <c r="G144">
        <f t="shared" ca="1" si="123"/>
        <v>102.91379739768381</v>
      </c>
      <c r="H144">
        <f t="shared" ca="1" si="123"/>
        <v>104.18936555130026</v>
      </c>
      <c r="I144">
        <f t="shared" ca="1" si="123"/>
        <v>98.64926173397069</v>
      </c>
      <c r="J144">
        <f t="shared" ref="J144:P144" ca="1" si="127">I144*EXP(($C$6-0.5*$C$7^2)*$C$12+$C$7*SQRT($C$12)*NORMINV(RAND(),0,1))</f>
        <v>97.331201120317701</v>
      </c>
      <c r="K144">
        <f t="shared" ca="1" si="127"/>
        <v>89.663729196409619</v>
      </c>
      <c r="L144">
        <f t="shared" ca="1" si="127"/>
        <v>89.717634830399703</v>
      </c>
      <c r="M144">
        <f t="shared" ca="1" si="127"/>
        <v>93.364545160588207</v>
      </c>
      <c r="N144">
        <f t="shared" ca="1" si="127"/>
        <v>95.367520968633031</v>
      </c>
      <c r="O144">
        <f t="shared" ca="1" si="127"/>
        <v>95.451428291474897</v>
      </c>
      <c r="P144">
        <f t="shared" ca="1" si="127"/>
        <v>108.22888797855782</v>
      </c>
      <c r="Q144">
        <f t="shared" ca="1" si="124"/>
        <v>108.22888797855782</v>
      </c>
      <c r="R144">
        <f t="shared" ca="1" si="125"/>
        <v>6.2288879785578217</v>
      </c>
      <c r="S144">
        <f t="shared" ca="1" si="126"/>
        <v>6.0750961864015673</v>
      </c>
    </row>
    <row r="145" spans="5:19" x14ac:dyDescent="0.75">
      <c r="E145">
        <v>140</v>
      </c>
      <c r="F145">
        <f t="shared" si="122"/>
        <v>100</v>
      </c>
      <c r="G145">
        <f t="shared" ca="1" si="123"/>
        <v>95.976827385177401</v>
      </c>
      <c r="H145">
        <f t="shared" ca="1" si="123"/>
        <v>98.060097020285426</v>
      </c>
      <c r="I145">
        <f t="shared" ca="1" si="123"/>
        <v>98.044205758962832</v>
      </c>
      <c r="J145">
        <f t="shared" ref="J145:P145" ca="1" si="128">I145*EXP(($C$6-0.5*$C$7^2)*$C$12+$C$7*SQRT($C$12)*NORMINV(RAND(),0,1))</f>
        <v>95.44107469412937</v>
      </c>
      <c r="K145">
        <f t="shared" ca="1" si="128"/>
        <v>89.99502401437455</v>
      </c>
      <c r="L145">
        <f t="shared" ca="1" si="128"/>
        <v>91.351588009958078</v>
      </c>
      <c r="M145">
        <f t="shared" ca="1" si="128"/>
        <v>90.655525980939331</v>
      </c>
      <c r="N145">
        <f t="shared" ca="1" si="128"/>
        <v>87.148180127918678</v>
      </c>
      <c r="O145">
        <f t="shared" ca="1" si="128"/>
        <v>89.978106688717475</v>
      </c>
      <c r="P145">
        <f t="shared" ca="1" si="128"/>
        <v>83.959872458011816</v>
      </c>
      <c r="Q145">
        <f t="shared" ca="1" si="124"/>
        <v>98.060097020285426</v>
      </c>
      <c r="R145">
        <f t="shared" ca="1" si="125"/>
        <v>0</v>
      </c>
      <c r="S145">
        <f t="shared" ca="1" si="126"/>
        <v>0</v>
      </c>
    </row>
    <row r="146" spans="5:19" x14ac:dyDescent="0.75">
      <c r="E146">
        <v>141</v>
      </c>
      <c r="F146">
        <f t="shared" si="122"/>
        <v>100</v>
      </c>
      <c r="G146">
        <f t="shared" ca="1" si="123"/>
        <v>100.68031770115842</v>
      </c>
      <c r="H146">
        <f t="shared" ca="1" si="123"/>
        <v>94.446314055891747</v>
      </c>
      <c r="I146">
        <f t="shared" ca="1" si="123"/>
        <v>103.48531557702442</v>
      </c>
      <c r="J146">
        <f t="shared" ref="J146:P146" ca="1" si="129">I146*EXP(($C$6-0.5*$C$7^2)*$C$12+$C$7*SQRT($C$12)*NORMINV(RAND(),0,1))</f>
        <v>99.971996493998645</v>
      </c>
      <c r="K146">
        <f t="shared" ca="1" si="129"/>
        <v>95.76523964597277</v>
      </c>
      <c r="L146">
        <f t="shared" ca="1" si="129"/>
        <v>93.347304643082836</v>
      </c>
      <c r="M146">
        <f t="shared" ca="1" si="129"/>
        <v>84.883053294154649</v>
      </c>
      <c r="N146">
        <f t="shared" ca="1" si="129"/>
        <v>82.390274382396726</v>
      </c>
      <c r="O146">
        <f t="shared" ca="1" si="129"/>
        <v>80.070269643331613</v>
      </c>
      <c r="P146">
        <f t="shared" ca="1" si="129"/>
        <v>80.707013930190243</v>
      </c>
      <c r="Q146">
        <f t="shared" ca="1" si="124"/>
        <v>103.48531557702442</v>
      </c>
      <c r="R146">
        <f t="shared" ca="1" si="125"/>
        <v>0</v>
      </c>
      <c r="S146">
        <f t="shared" ca="1" si="126"/>
        <v>0</v>
      </c>
    </row>
    <row r="147" spans="5:19" x14ac:dyDescent="0.75">
      <c r="E147">
        <v>142</v>
      </c>
      <c r="F147">
        <f t="shared" si="122"/>
        <v>100</v>
      </c>
      <c r="G147">
        <f t="shared" ca="1" si="123"/>
        <v>100.13260222799887</v>
      </c>
      <c r="H147">
        <f t="shared" ca="1" si="123"/>
        <v>105.57304499247863</v>
      </c>
      <c r="I147">
        <f t="shared" ca="1" si="123"/>
        <v>105.34376268696266</v>
      </c>
      <c r="J147">
        <f t="shared" ref="J147:P147" ca="1" si="130">I147*EXP(($C$6-0.5*$C$7^2)*$C$12+$C$7*SQRT($C$12)*NORMINV(RAND(),0,1))</f>
        <v>110.26532931665599</v>
      </c>
      <c r="K147">
        <f t="shared" ca="1" si="130"/>
        <v>102.91692823406868</v>
      </c>
      <c r="L147">
        <f t="shared" ca="1" si="130"/>
        <v>97.401611656456154</v>
      </c>
      <c r="M147">
        <f t="shared" ca="1" si="130"/>
        <v>101.40529218854644</v>
      </c>
      <c r="N147">
        <f t="shared" ca="1" si="130"/>
        <v>97.505140806152482</v>
      </c>
      <c r="O147">
        <f t="shared" ca="1" si="130"/>
        <v>108.87129568235349</v>
      </c>
      <c r="P147">
        <f t="shared" ca="1" si="130"/>
        <v>112.60905054429493</v>
      </c>
      <c r="Q147">
        <f t="shared" ca="1" si="124"/>
        <v>112.60905054429493</v>
      </c>
      <c r="R147">
        <f t="shared" ca="1" si="125"/>
        <v>0</v>
      </c>
      <c r="S147">
        <f t="shared" ca="1" si="126"/>
        <v>0</v>
      </c>
    </row>
    <row r="148" spans="5:19" x14ac:dyDescent="0.75">
      <c r="E148">
        <v>143</v>
      </c>
      <c r="F148">
        <f t="shared" si="122"/>
        <v>100</v>
      </c>
      <c r="G148">
        <f t="shared" ca="1" si="123"/>
        <v>102.38918020334189</v>
      </c>
      <c r="H148">
        <f t="shared" ca="1" si="123"/>
        <v>105.686851467159</v>
      </c>
      <c r="I148">
        <f t="shared" ca="1" si="123"/>
        <v>109.51134667602102</v>
      </c>
      <c r="J148">
        <f t="shared" ref="J148:P148" ca="1" si="131">I148*EXP(($C$6-0.5*$C$7^2)*$C$12+$C$7*SQRT($C$12)*NORMINV(RAND(),0,1))</f>
        <v>107.63327139777869</v>
      </c>
      <c r="K148">
        <f t="shared" ca="1" si="131"/>
        <v>106.41050005421775</v>
      </c>
      <c r="L148">
        <f t="shared" ca="1" si="131"/>
        <v>109.57741054052535</v>
      </c>
      <c r="M148">
        <f t="shared" ca="1" si="131"/>
        <v>108.25319318947274</v>
      </c>
      <c r="N148">
        <f t="shared" ca="1" si="131"/>
        <v>113.97595527708043</v>
      </c>
      <c r="O148">
        <f t="shared" ca="1" si="131"/>
        <v>109.37649363846498</v>
      </c>
      <c r="P148">
        <f t="shared" ca="1" si="131"/>
        <v>110.36663400649783</v>
      </c>
      <c r="Q148">
        <f t="shared" ca="1" si="124"/>
        <v>113.97595527708043</v>
      </c>
      <c r="R148">
        <f t="shared" ca="1" si="125"/>
        <v>0</v>
      </c>
      <c r="S148">
        <f t="shared" ca="1" si="126"/>
        <v>0</v>
      </c>
    </row>
    <row r="149" spans="5:19" x14ac:dyDescent="0.75">
      <c r="E149">
        <v>144</v>
      </c>
      <c r="F149">
        <f t="shared" si="122"/>
        <v>100</v>
      </c>
      <c r="G149">
        <f t="shared" ca="1" si="123"/>
        <v>99.06116415899217</v>
      </c>
      <c r="H149">
        <f t="shared" ca="1" si="123"/>
        <v>97.871349239175714</v>
      </c>
      <c r="I149">
        <f t="shared" ca="1" si="123"/>
        <v>101.26447030333934</v>
      </c>
      <c r="J149">
        <f t="shared" ref="J149:P149" ca="1" si="132">I149*EXP(($C$6-0.5*$C$7^2)*$C$12+$C$7*SQRT($C$12)*NORMINV(RAND(),0,1))</f>
        <v>95.480307720568135</v>
      </c>
      <c r="K149">
        <f t="shared" ca="1" si="132"/>
        <v>91.693294731538131</v>
      </c>
      <c r="L149">
        <f t="shared" ca="1" si="132"/>
        <v>94.038781604078821</v>
      </c>
      <c r="M149">
        <f t="shared" ca="1" si="132"/>
        <v>90.911643389742508</v>
      </c>
      <c r="N149">
        <f t="shared" ca="1" si="132"/>
        <v>96.75385047537155</v>
      </c>
      <c r="O149">
        <f t="shared" ca="1" si="132"/>
        <v>96.69496882125155</v>
      </c>
      <c r="P149">
        <f t="shared" ca="1" si="132"/>
        <v>103.591465046775</v>
      </c>
      <c r="Q149">
        <f t="shared" ca="1" si="124"/>
        <v>103.591465046775</v>
      </c>
      <c r="R149">
        <f t="shared" ca="1" si="125"/>
        <v>1.5914650467749993</v>
      </c>
      <c r="S149">
        <f t="shared" ca="1" si="126"/>
        <v>1.5521716347662908</v>
      </c>
    </row>
    <row r="150" spans="5:19" x14ac:dyDescent="0.75">
      <c r="E150">
        <v>145</v>
      </c>
      <c r="F150">
        <f t="shared" si="122"/>
        <v>100</v>
      </c>
      <c r="G150">
        <f t="shared" ca="1" si="123"/>
        <v>95.262948715822077</v>
      </c>
      <c r="H150">
        <f t="shared" ca="1" si="123"/>
        <v>92.841513208887065</v>
      </c>
      <c r="I150">
        <f t="shared" ca="1" si="123"/>
        <v>97.31207716466136</v>
      </c>
      <c r="J150">
        <f t="shared" ref="J150:P150" ca="1" si="133">I150*EXP(($C$6-0.5*$C$7^2)*$C$12+$C$7*SQRT($C$12)*NORMINV(RAND(),0,1))</f>
        <v>86.844522275206813</v>
      </c>
      <c r="K150">
        <f t="shared" ca="1" si="133"/>
        <v>85.608400145517308</v>
      </c>
      <c r="L150">
        <f t="shared" ca="1" si="133"/>
        <v>83.950098154345639</v>
      </c>
      <c r="M150">
        <f t="shared" ca="1" si="133"/>
        <v>78.877396733501584</v>
      </c>
      <c r="N150">
        <f t="shared" ca="1" si="133"/>
        <v>77.779448339955863</v>
      </c>
      <c r="O150">
        <f t="shared" ca="1" si="133"/>
        <v>77.149399668166737</v>
      </c>
      <c r="P150">
        <f t="shared" ca="1" si="133"/>
        <v>75.193266525793106</v>
      </c>
      <c r="Q150">
        <f t="shared" ca="1" si="124"/>
        <v>97.31207716466136</v>
      </c>
      <c r="R150">
        <f t="shared" ca="1" si="125"/>
        <v>0</v>
      </c>
      <c r="S150">
        <f t="shared" ca="1" si="126"/>
        <v>0</v>
      </c>
    </row>
    <row r="151" spans="5:19" x14ac:dyDescent="0.75">
      <c r="E151">
        <v>146</v>
      </c>
      <c r="F151">
        <f t="shared" si="122"/>
        <v>100</v>
      </c>
      <c r="G151">
        <f t="shared" ca="1" si="123"/>
        <v>100.31271792331209</v>
      </c>
      <c r="H151">
        <f t="shared" ca="1" si="123"/>
        <v>109.66200110871479</v>
      </c>
      <c r="I151">
        <f t="shared" ca="1" si="123"/>
        <v>104.24473796559704</v>
      </c>
      <c r="J151">
        <f t="shared" ref="J151:P151" ca="1" si="134">I151*EXP(($C$6-0.5*$C$7^2)*$C$12+$C$7*SQRT($C$12)*NORMINV(RAND(),0,1))</f>
        <v>108.37826828519611</v>
      </c>
      <c r="K151">
        <f t="shared" ca="1" si="134"/>
        <v>103.59719073411061</v>
      </c>
      <c r="L151">
        <f t="shared" ca="1" si="134"/>
        <v>105.81388823871644</v>
      </c>
      <c r="M151">
        <f t="shared" ca="1" si="134"/>
        <v>107.01975062662495</v>
      </c>
      <c r="N151">
        <f t="shared" ca="1" si="134"/>
        <v>108.81299357327381</v>
      </c>
      <c r="O151">
        <f t="shared" ca="1" si="134"/>
        <v>109.52657279576562</v>
      </c>
      <c r="P151">
        <f t="shared" ca="1" si="134"/>
        <v>110.65184011647315</v>
      </c>
      <c r="Q151">
        <f t="shared" ca="1" si="124"/>
        <v>110.65184011647315</v>
      </c>
      <c r="R151">
        <f t="shared" ca="1" si="125"/>
        <v>0</v>
      </c>
      <c r="S151">
        <f t="shared" ca="1" si="126"/>
        <v>0</v>
      </c>
    </row>
    <row r="152" spans="5:19" x14ac:dyDescent="0.75">
      <c r="E152">
        <v>147</v>
      </c>
      <c r="F152">
        <f t="shared" si="122"/>
        <v>100</v>
      </c>
      <c r="G152">
        <f t="shared" ca="1" si="123"/>
        <v>98.846213112449249</v>
      </c>
      <c r="H152">
        <f t="shared" ca="1" si="123"/>
        <v>101.35295033481401</v>
      </c>
      <c r="I152">
        <f t="shared" ca="1" si="123"/>
        <v>101.81429833843762</v>
      </c>
      <c r="J152">
        <f t="shared" ref="J152:P152" ca="1" si="135">I152*EXP(($C$6-0.5*$C$7^2)*$C$12+$C$7*SQRT($C$12)*NORMINV(RAND(),0,1))</f>
        <v>105.43821611979889</v>
      </c>
      <c r="K152">
        <f t="shared" ca="1" si="135"/>
        <v>111.42195584154513</v>
      </c>
      <c r="L152">
        <f t="shared" ca="1" si="135"/>
        <v>98.472873646327898</v>
      </c>
      <c r="M152">
        <f t="shared" ca="1" si="135"/>
        <v>89.890671288098432</v>
      </c>
      <c r="N152">
        <f t="shared" ca="1" si="135"/>
        <v>91.218310145678302</v>
      </c>
      <c r="O152">
        <f t="shared" ca="1" si="135"/>
        <v>96.641213895323972</v>
      </c>
      <c r="P152">
        <f t="shared" ca="1" si="135"/>
        <v>104.29620667305967</v>
      </c>
      <c r="Q152">
        <f t="shared" ca="1" si="124"/>
        <v>111.42195584154513</v>
      </c>
      <c r="R152">
        <f t="shared" ca="1" si="125"/>
        <v>0</v>
      </c>
      <c r="S152">
        <f t="shared" ca="1" si="126"/>
        <v>0</v>
      </c>
    </row>
    <row r="153" spans="5:19" x14ac:dyDescent="0.75">
      <c r="E153">
        <v>148</v>
      </c>
      <c r="F153">
        <f t="shared" si="122"/>
        <v>100</v>
      </c>
      <c r="G153">
        <f t="shared" ca="1" si="123"/>
        <v>98.955230570292571</v>
      </c>
      <c r="H153">
        <f t="shared" ca="1" si="123"/>
        <v>92.072155887638061</v>
      </c>
      <c r="I153">
        <f t="shared" ca="1" si="123"/>
        <v>87.858203988457248</v>
      </c>
      <c r="J153">
        <f t="shared" ref="J153:P153" ca="1" si="136">I153*EXP(($C$6-0.5*$C$7^2)*$C$12+$C$7*SQRT($C$12)*NORMINV(RAND(),0,1))</f>
        <v>96.4197862623395</v>
      </c>
      <c r="K153">
        <f t="shared" ca="1" si="136"/>
        <v>103.15563932769275</v>
      </c>
      <c r="L153">
        <f t="shared" ca="1" si="136"/>
        <v>101.31506803856486</v>
      </c>
      <c r="M153">
        <f t="shared" ca="1" si="136"/>
        <v>108.76521090514055</v>
      </c>
      <c r="N153">
        <f t="shared" ca="1" si="136"/>
        <v>103.51632447844226</v>
      </c>
      <c r="O153">
        <f t="shared" ca="1" si="136"/>
        <v>100.97364203954987</v>
      </c>
      <c r="P153">
        <f t="shared" ca="1" si="136"/>
        <v>100.2033825416532</v>
      </c>
      <c r="Q153">
        <f t="shared" ca="1" si="124"/>
        <v>108.76521090514055</v>
      </c>
      <c r="R153">
        <f t="shared" ca="1" si="125"/>
        <v>0</v>
      </c>
      <c r="S153">
        <f t="shared" ca="1" si="126"/>
        <v>0</v>
      </c>
    </row>
    <row r="154" spans="5:19" x14ac:dyDescent="0.75">
      <c r="E154">
        <v>149</v>
      </c>
      <c r="F154">
        <f t="shared" si="122"/>
        <v>100</v>
      </c>
      <c r="G154">
        <f t="shared" ca="1" si="123"/>
        <v>100.98478477843705</v>
      </c>
      <c r="H154">
        <f t="shared" ca="1" si="123"/>
        <v>100.8096900939595</v>
      </c>
      <c r="I154">
        <f t="shared" ca="1" si="123"/>
        <v>104.62636178328019</v>
      </c>
      <c r="J154">
        <f t="shared" ref="J154:P154" ca="1" si="137">I154*EXP(($C$6-0.5*$C$7^2)*$C$12+$C$7*SQRT($C$12)*NORMINV(RAND(),0,1))</f>
        <v>105.02670417591804</v>
      </c>
      <c r="K154">
        <f t="shared" ca="1" si="137"/>
        <v>109.04864916344619</v>
      </c>
      <c r="L154">
        <f t="shared" ca="1" si="137"/>
        <v>109.24362848580445</v>
      </c>
      <c r="M154">
        <f t="shared" ca="1" si="137"/>
        <v>109.18186189979633</v>
      </c>
      <c r="N154">
        <f t="shared" ca="1" si="137"/>
        <v>104.57554426032716</v>
      </c>
      <c r="O154">
        <f t="shared" ca="1" si="137"/>
        <v>98.972508723232451</v>
      </c>
      <c r="P154">
        <f t="shared" ca="1" si="137"/>
        <v>97.137118571915124</v>
      </c>
      <c r="Q154">
        <f t="shared" ca="1" si="124"/>
        <v>109.24362848580445</v>
      </c>
      <c r="R154">
        <f t="shared" ca="1" si="125"/>
        <v>0</v>
      </c>
      <c r="S154">
        <f t="shared" ca="1" si="126"/>
        <v>0</v>
      </c>
    </row>
    <row r="155" spans="5:19" x14ac:dyDescent="0.75">
      <c r="E155">
        <v>150</v>
      </c>
      <c r="F155">
        <f t="shared" si="122"/>
        <v>100</v>
      </c>
      <c r="G155">
        <f t="shared" ca="1" si="123"/>
        <v>101.313680396715</v>
      </c>
      <c r="H155">
        <f t="shared" ca="1" si="123"/>
        <v>100.29402941485222</v>
      </c>
      <c r="I155">
        <f t="shared" ca="1" si="123"/>
        <v>101.52702077271145</v>
      </c>
      <c r="J155">
        <f t="shared" ref="J155:P155" ca="1" si="138">I155*EXP(($C$6-0.5*$C$7^2)*$C$12+$C$7*SQRT($C$12)*NORMINV(RAND(),0,1))</f>
        <v>104.97687708316693</v>
      </c>
      <c r="K155">
        <f t="shared" ca="1" si="138"/>
        <v>114.03320528043245</v>
      </c>
      <c r="L155">
        <f t="shared" ca="1" si="138"/>
        <v>114.44351954983573</v>
      </c>
      <c r="M155">
        <f t="shared" ca="1" si="138"/>
        <v>112.3085145316431</v>
      </c>
      <c r="N155">
        <f t="shared" ca="1" si="138"/>
        <v>119.24587875693933</v>
      </c>
      <c r="O155">
        <f t="shared" ca="1" si="138"/>
        <v>114.29447765504885</v>
      </c>
      <c r="P155">
        <f t="shared" ca="1" si="138"/>
        <v>116.62421926762475</v>
      </c>
      <c r="Q155">
        <f t="shared" ca="1" si="124"/>
        <v>119.24587875693933</v>
      </c>
      <c r="R155">
        <f t="shared" ca="1" si="125"/>
        <v>0</v>
      </c>
      <c r="S155">
        <f t="shared" ca="1" si="126"/>
        <v>0</v>
      </c>
    </row>
    <row r="156" spans="5:19" x14ac:dyDescent="0.75">
      <c r="E156">
        <v>151</v>
      </c>
      <c r="F156">
        <f t="shared" si="122"/>
        <v>100</v>
      </c>
      <c r="G156">
        <f t="shared" ca="1" si="123"/>
        <v>97.987902258271205</v>
      </c>
      <c r="H156">
        <f t="shared" ca="1" si="123"/>
        <v>93.597025242275677</v>
      </c>
      <c r="I156">
        <f t="shared" ca="1" si="123"/>
        <v>95.628509090115031</v>
      </c>
      <c r="J156">
        <f t="shared" ref="J156:P156" ca="1" si="139">I156*EXP(($C$6-0.5*$C$7^2)*$C$12+$C$7*SQRT($C$12)*NORMINV(RAND(),0,1))</f>
        <v>103.30865368701316</v>
      </c>
      <c r="K156">
        <f t="shared" ca="1" si="139"/>
        <v>98.695156763729301</v>
      </c>
      <c r="L156">
        <f t="shared" ca="1" si="139"/>
        <v>112.21234216891601</v>
      </c>
      <c r="M156">
        <f t="shared" ca="1" si="139"/>
        <v>109.7266664879636</v>
      </c>
      <c r="N156">
        <f t="shared" ca="1" si="139"/>
        <v>118.20796443033656</v>
      </c>
      <c r="O156">
        <f t="shared" ca="1" si="139"/>
        <v>118.91558443439037</v>
      </c>
      <c r="P156">
        <f t="shared" ca="1" si="139"/>
        <v>118.42186320900574</v>
      </c>
      <c r="Q156">
        <f t="shared" ca="1" si="124"/>
        <v>118.91558443439037</v>
      </c>
      <c r="R156">
        <f t="shared" ca="1" si="125"/>
        <v>0</v>
      </c>
      <c r="S156">
        <f t="shared" ca="1" si="126"/>
        <v>0</v>
      </c>
    </row>
    <row r="157" spans="5:19" x14ac:dyDescent="0.75">
      <c r="E157">
        <v>152</v>
      </c>
      <c r="F157">
        <f t="shared" si="122"/>
        <v>100</v>
      </c>
      <c r="G157">
        <f t="shared" ca="1" si="123"/>
        <v>99.530065949000729</v>
      </c>
      <c r="H157">
        <f t="shared" ca="1" si="123"/>
        <v>101.88921867193865</v>
      </c>
      <c r="I157">
        <f t="shared" ca="1" si="123"/>
        <v>103.32911549489624</v>
      </c>
      <c r="J157">
        <f t="shared" ref="J157:P157" ca="1" si="140">I157*EXP(($C$6-0.5*$C$7^2)*$C$12+$C$7*SQRT($C$12)*NORMINV(RAND(),0,1))</f>
        <v>95.369898608949981</v>
      </c>
      <c r="K157">
        <f t="shared" ca="1" si="140"/>
        <v>95.436262484324018</v>
      </c>
      <c r="L157">
        <f t="shared" ca="1" si="140"/>
        <v>91.565890023139929</v>
      </c>
      <c r="M157">
        <f t="shared" ca="1" si="140"/>
        <v>87.152675826645975</v>
      </c>
      <c r="N157">
        <f t="shared" ca="1" si="140"/>
        <v>87.991324409347484</v>
      </c>
      <c r="O157">
        <f t="shared" ca="1" si="140"/>
        <v>83.331051179567737</v>
      </c>
      <c r="P157">
        <f t="shared" ca="1" si="140"/>
        <v>83.302863612220989</v>
      </c>
      <c r="Q157">
        <f t="shared" ca="1" si="124"/>
        <v>103.32911549489624</v>
      </c>
      <c r="R157">
        <f t="shared" ca="1" si="125"/>
        <v>0</v>
      </c>
      <c r="S157">
        <f t="shared" ca="1" si="126"/>
        <v>0</v>
      </c>
    </row>
    <row r="158" spans="5:19" x14ac:dyDescent="0.75">
      <c r="E158">
        <v>153</v>
      </c>
      <c r="F158">
        <f t="shared" si="122"/>
        <v>100</v>
      </c>
      <c r="G158">
        <f t="shared" ca="1" si="123"/>
        <v>98.504643072325138</v>
      </c>
      <c r="H158">
        <f t="shared" ca="1" si="123"/>
        <v>94.889666201679645</v>
      </c>
      <c r="I158">
        <f t="shared" ca="1" si="123"/>
        <v>89.292695717843372</v>
      </c>
      <c r="J158">
        <f t="shared" ref="J158:P158" ca="1" si="141">I158*EXP(($C$6-0.5*$C$7^2)*$C$12+$C$7*SQRT($C$12)*NORMINV(RAND(),0,1))</f>
        <v>85.461075478778625</v>
      </c>
      <c r="K158">
        <f t="shared" ca="1" si="141"/>
        <v>86.872619693130517</v>
      </c>
      <c r="L158">
        <f t="shared" ca="1" si="141"/>
        <v>91.31087093480437</v>
      </c>
      <c r="M158">
        <f t="shared" ca="1" si="141"/>
        <v>94.706562738183109</v>
      </c>
      <c r="N158">
        <f t="shared" ca="1" si="141"/>
        <v>89.948372339443708</v>
      </c>
      <c r="O158">
        <f t="shared" ca="1" si="141"/>
        <v>90.424418103064085</v>
      </c>
      <c r="P158">
        <f t="shared" ca="1" si="141"/>
        <v>93.683508202855023</v>
      </c>
      <c r="Q158">
        <f t="shared" ca="1" si="124"/>
        <v>98.504643072325138</v>
      </c>
      <c r="R158">
        <f t="shared" ca="1" si="125"/>
        <v>0</v>
      </c>
      <c r="S158">
        <f t="shared" ca="1" si="126"/>
        <v>0</v>
      </c>
    </row>
    <row r="159" spans="5:19" x14ac:dyDescent="0.75">
      <c r="E159">
        <v>154</v>
      </c>
      <c r="F159">
        <f t="shared" si="122"/>
        <v>100</v>
      </c>
      <c r="G159">
        <f t="shared" ca="1" si="123"/>
        <v>102.22082704480822</v>
      </c>
      <c r="H159">
        <f t="shared" ca="1" si="123"/>
        <v>100.1239060051189</v>
      </c>
      <c r="I159">
        <f t="shared" ca="1" si="123"/>
        <v>101.35593861655894</v>
      </c>
      <c r="J159">
        <f t="shared" ref="J159:P159" ca="1" si="142">I159*EXP(($C$6-0.5*$C$7^2)*$C$12+$C$7*SQRT($C$12)*NORMINV(RAND(),0,1))</f>
        <v>109.4000444338854</v>
      </c>
      <c r="K159">
        <f t="shared" ca="1" si="142"/>
        <v>111.95532964999612</v>
      </c>
      <c r="L159">
        <f t="shared" ca="1" si="142"/>
        <v>122.19022032908197</v>
      </c>
      <c r="M159">
        <f t="shared" ca="1" si="142"/>
        <v>125.58379694770085</v>
      </c>
      <c r="N159">
        <f t="shared" ca="1" si="142"/>
        <v>123.54260487824753</v>
      </c>
      <c r="O159">
        <f t="shared" ca="1" si="142"/>
        <v>122.97612508939704</v>
      </c>
      <c r="P159">
        <f t="shared" ca="1" si="142"/>
        <v>121.80572164405999</v>
      </c>
      <c r="Q159">
        <f t="shared" ca="1" si="124"/>
        <v>125.58379694770085</v>
      </c>
      <c r="R159">
        <f t="shared" ca="1" si="125"/>
        <v>0</v>
      </c>
      <c r="S159">
        <f t="shared" ca="1" si="126"/>
        <v>0</v>
      </c>
    </row>
    <row r="160" spans="5:19" x14ac:dyDescent="0.75">
      <c r="E160">
        <v>155</v>
      </c>
      <c r="F160">
        <f t="shared" si="122"/>
        <v>100</v>
      </c>
      <c r="G160">
        <f t="shared" ca="1" si="123"/>
        <v>101.01334098222243</v>
      </c>
      <c r="H160">
        <f t="shared" ca="1" si="123"/>
        <v>97.569564933626253</v>
      </c>
      <c r="I160">
        <f t="shared" ca="1" si="123"/>
        <v>90.799542494733842</v>
      </c>
      <c r="J160">
        <f t="shared" ref="J160:P160" ca="1" si="143">I160*EXP(($C$6-0.5*$C$7^2)*$C$12+$C$7*SQRT($C$12)*NORMINV(RAND(),0,1))</f>
        <v>90.238982973534107</v>
      </c>
      <c r="K160">
        <f t="shared" ca="1" si="143"/>
        <v>92.395695289900146</v>
      </c>
      <c r="L160">
        <f t="shared" ca="1" si="143"/>
        <v>100.33020260563946</v>
      </c>
      <c r="M160">
        <f t="shared" ca="1" si="143"/>
        <v>105.30836343231628</v>
      </c>
      <c r="N160">
        <f t="shared" ca="1" si="143"/>
        <v>102.26104371799524</v>
      </c>
      <c r="O160">
        <f t="shared" ca="1" si="143"/>
        <v>99.435350026043878</v>
      </c>
      <c r="P160">
        <f t="shared" ca="1" si="143"/>
        <v>102.06672291541015</v>
      </c>
      <c r="Q160">
        <f t="shared" ca="1" si="124"/>
        <v>105.30836343231628</v>
      </c>
      <c r="R160">
        <f t="shared" ca="1" si="125"/>
        <v>6.6722915410153405E-2</v>
      </c>
      <c r="S160">
        <f t="shared" ca="1" si="126"/>
        <v>6.5075520758950595E-2</v>
      </c>
    </row>
    <row r="161" spans="5:19" x14ac:dyDescent="0.75">
      <c r="E161">
        <v>156</v>
      </c>
      <c r="F161">
        <f t="shared" si="122"/>
        <v>100</v>
      </c>
      <c r="G161">
        <f t="shared" ca="1" si="123"/>
        <v>99.105340904960869</v>
      </c>
      <c r="H161">
        <f t="shared" ca="1" si="123"/>
        <v>98.521441337018956</v>
      </c>
      <c r="I161">
        <f t="shared" ca="1" si="123"/>
        <v>97.686741257757475</v>
      </c>
      <c r="J161">
        <f t="shared" ref="J161:P161" ca="1" si="144">I161*EXP(($C$6-0.5*$C$7^2)*$C$12+$C$7*SQRT($C$12)*NORMINV(RAND(),0,1))</f>
        <v>91.245600265591804</v>
      </c>
      <c r="K161">
        <f t="shared" ca="1" si="144"/>
        <v>95.320582043950012</v>
      </c>
      <c r="L161">
        <f t="shared" ca="1" si="144"/>
        <v>91.781156590517938</v>
      </c>
      <c r="M161">
        <f t="shared" ca="1" si="144"/>
        <v>87.381650702145123</v>
      </c>
      <c r="N161">
        <f t="shared" ca="1" si="144"/>
        <v>82.633895614118387</v>
      </c>
      <c r="O161">
        <f t="shared" ca="1" si="144"/>
        <v>83.262604751288663</v>
      </c>
      <c r="P161">
        <f t="shared" ca="1" si="144"/>
        <v>82.249232949107196</v>
      </c>
      <c r="Q161">
        <f t="shared" ca="1" si="124"/>
        <v>99.105340904960869</v>
      </c>
      <c r="R161">
        <f t="shared" ca="1" si="125"/>
        <v>0</v>
      </c>
      <c r="S161">
        <f t="shared" ca="1" si="126"/>
        <v>0</v>
      </c>
    </row>
    <row r="162" spans="5:19" x14ac:dyDescent="0.75">
      <c r="E162">
        <v>157</v>
      </c>
      <c r="F162">
        <f t="shared" si="122"/>
        <v>100</v>
      </c>
      <c r="G162">
        <f t="shared" ca="1" si="123"/>
        <v>98.782383880460841</v>
      </c>
      <c r="H162">
        <f t="shared" ca="1" si="123"/>
        <v>107.06444349641821</v>
      </c>
      <c r="I162">
        <f t="shared" ca="1" si="123"/>
        <v>111.43595489340366</v>
      </c>
      <c r="J162">
        <f t="shared" ref="J162:P162" ca="1" si="145">I162*EXP(($C$6-0.5*$C$7^2)*$C$12+$C$7*SQRT($C$12)*NORMINV(RAND(),0,1))</f>
        <v>106.64108609536197</v>
      </c>
      <c r="K162">
        <f t="shared" ca="1" si="145"/>
        <v>98.852273049921862</v>
      </c>
      <c r="L162">
        <f t="shared" ca="1" si="145"/>
        <v>107.10839205631073</v>
      </c>
      <c r="M162">
        <f t="shared" ca="1" si="145"/>
        <v>98.391440204259609</v>
      </c>
      <c r="N162">
        <f t="shared" ca="1" si="145"/>
        <v>92.967446934884876</v>
      </c>
      <c r="O162">
        <f t="shared" ca="1" si="145"/>
        <v>96.35223483849181</v>
      </c>
      <c r="P162">
        <f t="shared" ca="1" si="145"/>
        <v>106.96213421839487</v>
      </c>
      <c r="Q162">
        <f t="shared" ca="1" si="124"/>
        <v>111.43595489340366</v>
      </c>
      <c r="R162">
        <f t="shared" ca="1" si="125"/>
        <v>0</v>
      </c>
      <c r="S162">
        <f t="shared" ca="1" si="126"/>
        <v>0</v>
      </c>
    </row>
    <row r="163" spans="5:19" x14ac:dyDescent="0.75">
      <c r="E163">
        <v>158</v>
      </c>
      <c r="F163">
        <f t="shared" si="122"/>
        <v>100</v>
      </c>
      <c r="G163">
        <f t="shared" ca="1" si="123"/>
        <v>103.81117615564277</v>
      </c>
      <c r="H163">
        <f t="shared" ca="1" si="123"/>
        <v>103.51305145149753</v>
      </c>
      <c r="I163">
        <f t="shared" ca="1" si="123"/>
        <v>102.66074318157438</v>
      </c>
      <c r="J163">
        <f t="shared" ref="J163:P163" ca="1" si="146">I163*EXP(($C$6-0.5*$C$7^2)*$C$12+$C$7*SQRT($C$12)*NORMINV(RAND(),0,1))</f>
        <v>103.39639361400293</v>
      </c>
      <c r="K163">
        <f t="shared" ca="1" si="146"/>
        <v>99.507800979089083</v>
      </c>
      <c r="L163">
        <f t="shared" ca="1" si="146"/>
        <v>102.40832314961096</v>
      </c>
      <c r="M163">
        <f t="shared" ca="1" si="146"/>
        <v>99.107857084502044</v>
      </c>
      <c r="N163">
        <f t="shared" ca="1" si="146"/>
        <v>104.73239069332364</v>
      </c>
      <c r="O163">
        <f t="shared" ca="1" si="146"/>
        <v>100.54247405427513</v>
      </c>
      <c r="P163">
        <f t="shared" ca="1" si="146"/>
        <v>102.54913846808378</v>
      </c>
      <c r="Q163">
        <f t="shared" ca="1" si="124"/>
        <v>104.73239069332364</v>
      </c>
      <c r="R163">
        <f t="shared" ca="1" si="125"/>
        <v>0.54913846808378253</v>
      </c>
      <c r="S163">
        <f t="shared" ca="1" si="126"/>
        <v>0.53558019099816723</v>
      </c>
    </row>
    <row r="164" spans="5:19" x14ac:dyDescent="0.75">
      <c r="E164">
        <v>159</v>
      </c>
      <c r="F164">
        <f t="shared" si="122"/>
        <v>100</v>
      </c>
      <c r="G164">
        <f t="shared" ca="1" si="123"/>
        <v>96.928752761551351</v>
      </c>
      <c r="H164">
        <f t="shared" ca="1" si="123"/>
        <v>95.103106382966004</v>
      </c>
      <c r="I164">
        <f t="shared" ca="1" si="123"/>
        <v>95.816388808590673</v>
      </c>
      <c r="J164">
        <f t="shared" ref="J164:P164" ca="1" si="147">I164*EXP(($C$6-0.5*$C$7^2)*$C$12+$C$7*SQRT($C$12)*NORMINV(RAND(),0,1))</f>
        <v>97.091655481930232</v>
      </c>
      <c r="K164">
        <f t="shared" ca="1" si="147"/>
        <v>103.87044751946765</v>
      </c>
      <c r="L164">
        <f t="shared" ca="1" si="147"/>
        <v>107.14817292185491</v>
      </c>
      <c r="M164">
        <f t="shared" ca="1" si="147"/>
        <v>102.06903040214112</v>
      </c>
      <c r="N164">
        <f t="shared" ca="1" si="147"/>
        <v>102.77516819561998</v>
      </c>
      <c r="O164">
        <f t="shared" ca="1" si="147"/>
        <v>95.317052646415505</v>
      </c>
      <c r="P164">
        <f t="shared" ca="1" si="147"/>
        <v>96.813038258972355</v>
      </c>
      <c r="Q164">
        <f t="shared" ca="1" si="124"/>
        <v>107.14817292185491</v>
      </c>
      <c r="R164">
        <f t="shared" ca="1" si="125"/>
        <v>0</v>
      </c>
      <c r="S164">
        <f t="shared" ca="1" si="126"/>
        <v>0</v>
      </c>
    </row>
    <row r="165" spans="5:19" x14ac:dyDescent="0.75">
      <c r="E165">
        <v>160</v>
      </c>
      <c r="F165">
        <f t="shared" si="122"/>
        <v>100</v>
      </c>
      <c r="G165">
        <f t="shared" ca="1" si="123"/>
        <v>91.871132560040991</v>
      </c>
      <c r="H165">
        <f t="shared" ca="1" si="123"/>
        <v>94.239305608885786</v>
      </c>
      <c r="I165">
        <f t="shared" ca="1" si="123"/>
        <v>91.798331312812138</v>
      </c>
      <c r="J165">
        <f t="shared" ref="J165:P165" ca="1" si="148">I165*EXP(($C$6-0.5*$C$7^2)*$C$12+$C$7*SQRT($C$12)*NORMINV(RAND(),0,1))</f>
        <v>91.724655751718558</v>
      </c>
      <c r="K165">
        <f t="shared" ca="1" si="148"/>
        <v>93.932129349783196</v>
      </c>
      <c r="L165">
        <f t="shared" ca="1" si="148"/>
        <v>90.29283877083526</v>
      </c>
      <c r="M165">
        <f t="shared" ca="1" si="148"/>
        <v>92.218569122016532</v>
      </c>
      <c r="N165">
        <f t="shared" ca="1" si="148"/>
        <v>88.899316670746458</v>
      </c>
      <c r="O165">
        <f t="shared" ca="1" si="148"/>
        <v>83.975092925619094</v>
      </c>
      <c r="P165">
        <f t="shared" ca="1" si="148"/>
        <v>81.219776881863268</v>
      </c>
      <c r="Q165">
        <f t="shared" ca="1" si="124"/>
        <v>94.239305608885786</v>
      </c>
      <c r="R165">
        <f t="shared" ca="1" si="125"/>
        <v>0</v>
      </c>
      <c r="S165">
        <f t="shared" ca="1" si="126"/>
        <v>0</v>
      </c>
    </row>
    <row r="166" spans="5:19" x14ac:dyDescent="0.75">
      <c r="E166">
        <v>161</v>
      </c>
      <c r="F166">
        <f t="shared" si="122"/>
        <v>100</v>
      </c>
      <c r="G166">
        <f t="shared" ca="1" si="123"/>
        <v>97.216450720019921</v>
      </c>
      <c r="H166">
        <f t="shared" ca="1" si="123"/>
        <v>94.720348113388468</v>
      </c>
      <c r="I166">
        <f t="shared" ca="1" si="123"/>
        <v>95.64022517201272</v>
      </c>
      <c r="J166">
        <f t="shared" ref="J166:P166" ca="1" si="149">I166*EXP(($C$6-0.5*$C$7^2)*$C$12+$C$7*SQRT($C$12)*NORMINV(RAND(),0,1))</f>
        <v>99.707382886098046</v>
      </c>
      <c r="K166">
        <f t="shared" ca="1" si="149"/>
        <v>97.597820449961532</v>
      </c>
      <c r="L166">
        <f t="shared" ca="1" si="149"/>
        <v>89.268114995761906</v>
      </c>
      <c r="M166">
        <f t="shared" ca="1" si="149"/>
        <v>93.063890632972416</v>
      </c>
      <c r="N166">
        <f t="shared" ca="1" si="149"/>
        <v>91.549048836097725</v>
      </c>
      <c r="O166">
        <f t="shared" ca="1" si="149"/>
        <v>91.864252123986262</v>
      </c>
      <c r="P166">
        <f t="shared" ca="1" si="149"/>
        <v>95.475490363437231</v>
      </c>
      <c r="Q166">
        <f t="shared" ca="1" si="124"/>
        <v>99.707382886098046</v>
      </c>
      <c r="R166">
        <f t="shared" ca="1" si="125"/>
        <v>0</v>
      </c>
      <c r="S166">
        <f t="shared" ca="1" si="126"/>
        <v>0</v>
      </c>
    </row>
    <row r="167" spans="5:19" x14ac:dyDescent="0.75">
      <c r="E167">
        <v>162</v>
      </c>
      <c r="F167">
        <f t="shared" si="122"/>
        <v>100</v>
      </c>
      <c r="G167">
        <f t="shared" ca="1" si="123"/>
        <v>103.97746992206227</v>
      </c>
      <c r="H167">
        <f t="shared" ca="1" si="123"/>
        <v>108.23490143438443</v>
      </c>
      <c r="I167">
        <f t="shared" ca="1" si="123"/>
        <v>105.54504732560949</v>
      </c>
      <c r="J167">
        <f t="shared" ref="J167:P167" ca="1" si="150">I167*EXP(($C$6-0.5*$C$7^2)*$C$12+$C$7*SQRT($C$12)*NORMINV(RAND(),0,1))</f>
        <v>102.88181660335169</v>
      </c>
      <c r="K167">
        <f t="shared" ca="1" si="150"/>
        <v>106.02531782093175</v>
      </c>
      <c r="L167">
        <f t="shared" ca="1" si="150"/>
        <v>119.80567206413699</v>
      </c>
      <c r="M167">
        <f t="shared" ca="1" si="150"/>
        <v>117.44600394667917</v>
      </c>
      <c r="N167">
        <f t="shared" ca="1" si="150"/>
        <v>119.22329979453235</v>
      </c>
      <c r="O167">
        <f t="shared" ca="1" si="150"/>
        <v>129.24940635011242</v>
      </c>
      <c r="P167">
        <f t="shared" ca="1" si="150"/>
        <v>129.98042641636781</v>
      </c>
      <c r="Q167">
        <f t="shared" ca="1" si="124"/>
        <v>129.98042641636781</v>
      </c>
      <c r="R167">
        <f t="shared" ca="1" si="125"/>
        <v>0</v>
      </c>
      <c r="S167">
        <f t="shared" ca="1" si="126"/>
        <v>0</v>
      </c>
    </row>
    <row r="168" spans="5:19" x14ac:dyDescent="0.75">
      <c r="E168">
        <v>163</v>
      </c>
      <c r="F168">
        <f t="shared" si="122"/>
        <v>100</v>
      </c>
      <c r="G168">
        <f t="shared" ca="1" si="123"/>
        <v>97.394235209297975</v>
      </c>
      <c r="H168">
        <f t="shared" ca="1" si="123"/>
        <v>87.888303428972478</v>
      </c>
      <c r="I168">
        <f t="shared" ca="1" si="123"/>
        <v>94.978213420086178</v>
      </c>
      <c r="J168">
        <f t="shared" ref="J168:P168" ca="1" si="151">I168*EXP(($C$6-0.5*$C$7^2)*$C$12+$C$7*SQRT($C$12)*NORMINV(RAND(),0,1))</f>
        <v>96.638837093896569</v>
      </c>
      <c r="K168">
        <f t="shared" ca="1" si="151"/>
        <v>96.278315412708679</v>
      </c>
      <c r="L168">
        <f t="shared" ca="1" si="151"/>
        <v>93.934198388714194</v>
      </c>
      <c r="M168">
        <f t="shared" ca="1" si="151"/>
        <v>94.374827658207423</v>
      </c>
      <c r="N168">
        <f t="shared" ca="1" si="151"/>
        <v>93.841283145814316</v>
      </c>
      <c r="O168">
        <f t="shared" ca="1" si="151"/>
        <v>94.575171399737627</v>
      </c>
      <c r="P168">
        <f t="shared" ca="1" si="151"/>
        <v>94.120556582088042</v>
      </c>
      <c r="Q168">
        <f t="shared" ca="1" si="124"/>
        <v>97.394235209297975</v>
      </c>
      <c r="R168">
        <f t="shared" ca="1" si="125"/>
        <v>0</v>
      </c>
      <c r="S168">
        <f t="shared" ca="1" si="126"/>
        <v>0</v>
      </c>
    </row>
    <row r="169" spans="5:19" x14ac:dyDescent="0.75">
      <c r="E169">
        <v>164</v>
      </c>
      <c r="F169">
        <f t="shared" si="122"/>
        <v>100</v>
      </c>
      <c r="G169">
        <f t="shared" ca="1" si="123"/>
        <v>99.435541441197898</v>
      </c>
      <c r="H169">
        <f t="shared" ca="1" si="123"/>
        <v>97.434431100323692</v>
      </c>
      <c r="I169">
        <f t="shared" ca="1" si="123"/>
        <v>92.845844027388466</v>
      </c>
      <c r="J169">
        <f t="shared" ref="J169:P169" ca="1" si="152">I169*EXP(($C$6-0.5*$C$7^2)*$C$12+$C$7*SQRT($C$12)*NORMINV(RAND(),0,1))</f>
        <v>96.655961048642368</v>
      </c>
      <c r="K169">
        <f t="shared" ca="1" si="152"/>
        <v>101.19225930043235</v>
      </c>
      <c r="L169">
        <f t="shared" ca="1" si="152"/>
        <v>97.145963025572399</v>
      </c>
      <c r="M169">
        <f t="shared" ca="1" si="152"/>
        <v>103.78014310291564</v>
      </c>
      <c r="N169">
        <f t="shared" ca="1" si="152"/>
        <v>100.83531250740168</v>
      </c>
      <c r="O169">
        <f t="shared" ca="1" si="152"/>
        <v>98.91586349409998</v>
      </c>
      <c r="P169">
        <f t="shared" ca="1" si="152"/>
        <v>103.22478771103121</v>
      </c>
      <c r="Q169">
        <f t="shared" ca="1" si="124"/>
        <v>103.78014310291564</v>
      </c>
      <c r="R169">
        <f t="shared" ca="1" si="125"/>
        <v>1.2247877110312118</v>
      </c>
      <c r="S169">
        <f t="shared" ca="1" si="126"/>
        <v>1.1945475946992341</v>
      </c>
    </row>
    <row r="170" spans="5:19" x14ac:dyDescent="0.75">
      <c r="E170">
        <v>165</v>
      </c>
      <c r="F170">
        <f t="shared" si="122"/>
        <v>100</v>
      </c>
      <c r="G170">
        <f t="shared" ca="1" si="123"/>
        <v>102.26292986758443</v>
      </c>
      <c r="H170">
        <f t="shared" ca="1" si="123"/>
        <v>100.767481468578</v>
      </c>
      <c r="I170">
        <f t="shared" ca="1" si="123"/>
        <v>106.53976830370758</v>
      </c>
      <c r="J170">
        <f t="shared" ref="J170:P170" ca="1" si="153">I170*EXP(($C$6-0.5*$C$7^2)*$C$12+$C$7*SQRT($C$12)*NORMINV(RAND(),0,1))</f>
        <v>106.96469443717426</v>
      </c>
      <c r="K170">
        <f t="shared" ca="1" si="153"/>
        <v>109.44551180584595</v>
      </c>
      <c r="L170">
        <f t="shared" ca="1" si="153"/>
        <v>107.13031438980173</v>
      </c>
      <c r="M170">
        <f t="shared" ca="1" si="153"/>
        <v>105.82021806319426</v>
      </c>
      <c r="N170">
        <f t="shared" ca="1" si="153"/>
        <v>115.95333186688363</v>
      </c>
      <c r="O170">
        <f t="shared" ca="1" si="153"/>
        <v>120.42445941020382</v>
      </c>
      <c r="P170">
        <f t="shared" ca="1" si="153"/>
        <v>117.41981213197354</v>
      </c>
      <c r="Q170">
        <f t="shared" ca="1" si="124"/>
        <v>120.42445941020382</v>
      </c>
      <c r="R170">
        <f t="shared" ca="1" si="125"/>
        <v>0</v>
      </c>
      <c r="S170">
        <f t="shared" ca="1" si="126"/>
        <v>0</v>
      </c>
    </row>
    <row r="171" spans="5:19" x14ac:dyDescent="0.75">
      <c r="E171">
        <v>166</v>
      </c>
      <c r="F171">
        <f t="shared" si="122"/>
        <v>100</v>
      </c>
      <c r="G171">
        <f t="shared" ca="1" si="123"/>
        <v>94.29407018438387</v>
      </c>
      <c r="H171">
        <f t="shared" ca="1" si="123"/>
        <v>92.820008240121254</v>
      </c>
      <c r="I171">
        <f t="shared" ca="1" si="123"/>
        <v>88.103829800752834</v>
      </c>
      <c r="J171">
        <f t="shared" ref="J171:P171" ca="1" si="154">I171*EXP(($C$6-0.5*$C$7^2)*$C$12+$C$7*SQRT($C$12)*NORMINV(RAND(),0,1))</f>
        <v>88.597245948000207</v>
      </c>
      <c r="K171">
        <f t="shared" ca="1" si="154"/>
        <v>82.986264300714893</v>
      </c>
      <c r="L171">
        <f t="shared" ca="1" si="154"/>
        <v>84.590616747978146</v>
      </c>
      <c r="M171">
        <f t="shared" ca="1" si="154"/>
        <v>74.845252711487916</v>
      </c>
      <c r="N171">
        <f t="shared" ca="1" si="154"/>
        <v>80.936341269595161</v>
      </c>
      <c r="O171">
        <f t="shared" ca="1" si="154"/>
        <v>73.787930519867317</v>
      </c>
      <c r="P171">
        <f t="shared" ca="1" si="154"/>
        <v>70.885061403875554</v>
      </c>
      <c r="Q171">
        <f t="shared" ca="1" si="124"/>
        <v>94.29407018438387</v>
      </c>
      <c r="R171">
        <f t="shared" ca="1" si="125"/>
        <v>0</v>
      </c>
      <c r="S171">
        <f t="shared" ca="1" si="126"/>
        <v>0</v>
      </c>
    </row>
    <row r="172" spans="5:19" x14ac:dyDescent="0.75">
      <c r="E172">
        <v>167</v>
      </c>
      <c r="F172">
        <f t="shared" si="122"/>
        <v>100</v>
      </c>
      <c r="G172">
        <f t="shared" ca="1" si="123"/>
        <v>102.09102555244594</v>
      </c>
      <c r="H172">
        <f t="shared" ca="1" si="123"/>
        <v>92.525245118746497</v>
      </c>
      <c r="I172">
        <f t="shared" ca="1" si="123"/>
        <v>91.735783448619628</v>
      </c>
      <c r="J172">
        <f t="shared" ref="J172:P172" ca="1" si="155">I172*EXP(($C$6-0.5*$C$7^2)*$C$12+$C$7*SQRT($C$12)*NORMINV(RAND(),0,1))</f>
        <v>88.566088683225232</v>
      </c>
      <c r="K172">
        <f t="shared" ca="1" si="155"/>
        <v>85.747573875022098</v>
      </c>
      <c r="L172">
        <f t="shared" ca="1" si="155"/>
        <v>84.670790711562006</v>
      </c>
      <c r="M172">
        <f t="shared" ca="1" si="155"/>
        <v>87.394453104712397</v>
      </c>
      <c r="N172">
        <f t="shared" ca="1" si="155"/>
        <v>92.064618539844119</v>
      </c>
      <c r="O172">
        <f t="shared" ca="1" si="155"/>
        <v>94.402070402186169</v>
      </c>
      <c r="P172">
        <f t="shared" ca="1" si="155"/>
        <v>96.218291859326854</v>
      </c>
      <c r="Q172">
        <f t="shared" ca="1" si="124"/>
        <v>102.09102555244594</v>
      </c>
      <c r="R172">
        <f t="shared" ca="1" si="125"/>
        <v>0</v>
      </c>
      <c r="S172">
        <f t="shared" ca="1" si="126"/>
        <v>0</v>
      </c>
    </row>
    <row r="173" spans="5:19" x14ac:dyDescent="0.75">
      <c r="E173">
        <v>168</v>
      </c>
      <c r="F173">
        <f t="shared" si="122"/>
        <v>100</v>
      </c>
      <c r="G173">
        <f t="shared" ca="1" si="123"/>
        <v>101.38815399742838</v>
      </c>
      <c r="H173">
        <f t="shared" ca="1" si="123"/>
        <v>111.07172160617002</v>
      </c>
      <c r="I173">
        <f t="shared" ca="1" si="123"/>
        <v>110.66365260730164</v>
      </c>
      <c r="J173">
        <f t="shared" ref="J173:P173" ca="1" si="156">I173*EXP(($C$6-0.5*$C$7^2)*$C$12+$C$7*SQRT($C$12)*NORMINV(RAND(),0,1))</f>
        <v>112.15808301474399</v>
      </c>
      <c r="K173">
        <f t="shared" ca="1" si="156"/>
        <v>110.31907885293086</v>
      </c>
      <c r="L173">
        <f t="shared" ca="1" si="156"/>
        <v>116.80045863022836</v>
      </c>
      <c r="M173">
        <f t="shared" ca="1" si="156"/>
        <v>131.72063157989615</v>
      </c>
      <c r="N173">
        <f t="shared" ca="1" si="156"/>
        <v>136.68949357005766</v>
      </c>
      <c r="O173">
        <f t="shared" ca="1" si="156"/>
        <v>138.56009877975899</v>
      </c>
      <c r="P173">
        <f t="shared" ca="1" si="156"/>
        <v>142.64294590268216</v>
      </c>
      <c r="Q173">
        <f t="shared" ca="1" si="124"/>
        <v>142.64294590268216</v>
      </c>
      <c r="R173">
        <f t="shared" ca="1" si="125"/>
        <v>0</v>
      </c>
      <c r="S173">
        <f t="shared" ca="1" si="126"/>
        <v>0</v>
      </c>
    </row>
    <row r="174" spans="5:19" x14ac:dyDescent="0.75">
      <c r="E174">
        <v>169</v>
      </c>
      <c r="F174">
        <f t="shared" si="122"/>
        <v>100</v>
      </c>
      <c r="G174">
        <f t="shared" ca="1" si="123"/>
        <v>108.0248102022376</v>
      </c>
      <c r="H174">
        <f t="shared" ca="1" si="123"/>
        <v>104.86738570378083</v>
      </c>
      <c r="I174">
        <f t="shared" ca="1" si="123"/>
        <v>114.8187298071572</v>
      </c>
      <c r="J174">
        <f t="shared" ref="J174:P174" ca="1" si="157">I174*EXP(($C$6-0.5*$C$7^2)*$C$12+$C$7*SQRT($C$12)*NORMINV(RAND(),0,1))</f>
        <v>122.25345770919286</v>
      </c>
      <c r="K174">
        <f t="shared" ca="1" si="157"/>
        <v>126.01162751915864</v>
      </c>
      <c r="L174">
        <f t="shared" ca="1" si="157"/>
        <v>127.58628920821766</v>
      </c>
      <c r="M174">
        <f t="shared" ca="1" si="157"/>
        <v>127.199028539171</v>
      </c>
      <c r="N174">
        <f t="shared" ca="1" si="157"/>
        <v>123.42217687283215</v>
      </c>
      <c r="O174">
        <f t="shared" ca="1" si="157"/>
        <v>120.12447998683722</v>
      </c>
      <c r="P174">
        <f t="shared" ca="1" si="157"/>
        <v>115.077424387542</v>
      </c>
      <c r="Q174">
        <f t="shared" ca="1" si="124"/>
        <v>127.58628920821766</v>
      </c>
      <c r="R174">
        <f t="shared" ca="1" si="125"/>
        <v>0</v>
      </c>
      <c r="S174">
        <f t="shared" ca="1" si="126"/>
        <v>0</v>
      </c>
    </row>
    <row r="175" spans="5:19" x14ac:dyDescent="0.75">
      <c r="E175">
        <v>170</v>
      </c>
      <c r="F175">
        <f t="shared" si="122"/>
        <v>100</v>
      </c>
      <c r="G175">
        <f t="shared" ca="1" si="123"/>
        <v>103.52249823915622</v>
      </c>
      <c r="H175">
        <f t="shared" ca="1" si="123"/>
        <v>110.32267082732447</v>
      </c>
      <c r="I175">
        <f t="shared" ca="1" si="123"/>
        <v>110.67680495362359</v>
      </c>
      <c r="J175">
        <f t="shared" ref="J175:P175" ca="1" si="158">I175*EXP(($C$6-0.5*$C$7^2)*$C$12+$C$7*SQRT($C$12)*NORMINV(RAND(),0,1))</f>
        <v>105.49963132020042</v>
      </c>
      <c r="K175">
        <f t="shared" ca="1" si="158"/>
        <v>106.11004128310906</v>
      </c>
      <c r="L175">
        <f t="shared" ca="1" si="158"/>
        <v>103.92925769580511</v>
      </c>
      <c r="M175">
        <f t="shared" ca="1" si="158"/>
        <v>99.267528037228871</v>
      </c>
      <c r="N175">
        <f t="shared" ca="1" si="158"/>
        <v>98.911282965400119</v>
      </c>
      <c r="O175">
        <f t="shared" ca="1" si="158"/>
        <v>102.46127955459727</v>
      </c>
      <c r="P175">
        <f t="shared" ca="1" si="158"/>
        <v>108.40820751819334</v>
      </c>
      <c r="Q175">
        <f t="shared" ca="1" si="124"/>
        <v>110.67680495362359</v>
      </c>
      <c r="R175">
        <f t="shared" ca="1" si="125"/>
        <v>0</v>
      </c>
      <c r="S175">
        <f t="shared" ca="1" si="126"/>
        <v>0</v>
      </c>
    </row>
    <row r="176" spans="5:19" x14ac:dyDescent="0.75">
      <c r="E176">
        <v>171</v>
      </c>
      <c r="F176">
        <f t="shared" si="122"/>
        <v>100</v>
      </c>
      <c r="G176">
        <f t="shared" ca="1" si="123"/>
        <v>92.61808142545533</v>
      </c>
      <c r="H176">
        <f t="shared" ca="1" si="123"/>
        <v>92.716936471640039</v>
      </c>
      <c r="I176">
        <f t="shared" ca="1" si="123"/>
        <v>92.930737758321925</v>
      </c>
      <c r="J176">
        <f t="shared" ref="J176:P176" ca="1" si="159">I176*EXP(($C$6-0.5*$C$7^2)*$C$12+$C$7*SQRT($C$12)*NORMINV(RAND(),0,1))</f>
        <v>98.823331621912033</v>
      </c>
      <c r="K176">
        <f t="shared" ca="1" si="159"/>
        <v>98.911697284822409</v>
      </c>
      <c r="L176">
        <f t="shared" ca="1" si="159"/>
        <v>98.043524387607775</v>
      </c>
      <c r="M176">
        <f t="shared" ca="1" si="159"/>
        <v>101.67208478254071</v>
      </c>
      <c r="N176">
        <f t="shared" ca="1" si="159"/>
        <v>107.97067080690553</v>
      </c>
      <c r="O176">
        <f t="shared" ca="1" si="159"/>
        <v>104.72965315185876</v>
      </c>
      <c r="P176">
        <f t="shared" ca="1" si="159"/>
        <v>103.41108408325212</v>
      </c>
      <c r="Q176">
        <f t="shared" ca="1" si="124"/>
        <v>107.97067080690553</v>
      </c>
      <c r="R176">
        <f t="shared" ca="1" si="125"/>
        <v>1.4110840832521205</v>
      </c>
      <c r="S176">
        <f t="shared" ca="1" si="126"/>
        <v>1.376244293101206</v>
      </c>
    </row>
    <row r="177" spans="5:19" x14ac:dyDescent="0.75">
      <c r="E177">
        <v>172</v>
      </c>
      <c r="F177">
        <f t="shared" si="122"/>
        <v>100</v>
      </c>
      <c r="G177">
        <f t="shared" ca="1" si="123"/>
        <v>98.051810380593011</v>
      </c>
      <c r="H177">
        <f t="shared" ca="1" si="123"/>
        <v>106.03282982686846</v>
      </c>
      <c r="I177">
        <f t="shared" ca="1" si="123"/>
        <v>102.31758176551055</v>
      </c>
      <c r="J177">
        <f t="shared" ref="J177:P177" ca="1" si="160">I177*EXP(($C$6-0.5*$C$7^2)*$C$12+$C$7*SQRT($C$12)*NORMINV(RAND(),0,1))</f>
        <v>94.518944811349868</v>
      </c>
      <c r="K177">
        <f t="shared" ca="1" si="160"/>
        <v>98.028186011548343</v>
      </c>
      <c r="L177">
        <f t="shared" ca="1" si="160"/>
        <v>93.239371149205724</v>
      </c>
      <c r="M177">
        <f t="shared" ca="1" si="160"/>
        <v>95.040738459504482</v>
      </c>
      <c r="N177">
        <f t="shared" ca="1" si="160"/>
        <v>91.28067716252805</v>
      </c>
      <c r="O177">
        <f t="shared" ca="1" si="160"/>
        <v>87.102439138038775</v>
      </c>
      <c r="P177">
        <f t="shared" ca="1" si="160"/>
        <v>93.377272068996433</v>
      </c>
      <c r="Q177">
        <f t="shared" ca="1" si="124"/>
        <v>106.03282982686846</v>
      </c>
      <c r="R177">
        <f t="shared" ca="1" si="125"/>
        <v>0</v>
      </c>
      <c r="S177">
        <f t="shared" ca="1" si="126"/>
        <v>0</v>
      </c>
    </row>
    <row r="178" spans="5:19" x14ac:dyDescent="0.75">
      <c r="E178">
        <v>173</v>
      </c>
      <c r="F178">
        <f t="shared" si="122"/>
        <v>100</v>
      </c>
      <c r="G178">
        <f t="shared" ca="1" si="123"/>
        <v>96.712727880737376</v>
      </c>
      <c r="H178">
        <f t="shared" ca="1" si="123"/>
        <v>99.792369954627802</v>
      </c>
      <c r="I178">
        <f t="shared" ca="1" si="123"/>
        <v>99.487332412230259</v>
      </c>
      <c r="J178">
        <f t="shared" ref="J178:P178" ca="1" si="161">I178*EXP(($C$6-0.5*$C$7^2)*$C$12+$C$7*SQRT($C$12)*NORMINV(RAND(),0,1))</f>
        <v>106.84827398528478</v>
      </c>
      <c r="K178">
        <f t="shared" ca="1" si="161"/>
        <v>110.89779830591696</v>
      </c>
      <c r="L178">
        <f t="shared" ca="1" si="161"/>
        <v>115.0592197815389</v>
      </c>
      <c r="M178">
        <f t="shared" ca="1" si="161"/>
        <v>103.36256240553443</v>
      </c>
      <c r="N178">
        <f t="shared" ca="1" si="161"/>
        <v>108.98989916186032</v>
      </c>
      <c r="O178">
        <f t="shared" ca="1" si="161"/>
        <v>108.60176825089032</v>
      </c>
      <c r="P178">
        <f t="shared" ca="1" si="161"/>
        <v>107.56516540233567</v>
      </c>
      <c r="Q178">
        <f t="shared" ca="1" si="124"/>
        <v>115.0592197815389</v>
      </c>
      <c r="R178">
        <f t="shared" ca="1" si="125"/>
        <v>0</v>
      </c>
      <c r="S178">
        <f t="shared" ca="1" si="126"/>
        <v>0</v>
      </c>
    </row>
    <row r="179" spans="5:19" x14ac:dyDescent="0.75">
      <c r="E179">
        <v>174</v>
      </c>
      <c r="F179">
        <f t="shared" si="122"/>
        <v>100</v>
      </c>
      <c r="G179">
        <f t="shared" ca="1" si="123"/>
        <v>96.109751962923013</v>
      </c>
      <c r="H179">
        <f t="shared" ca="1" si="123"/>
        <v>92.976859190165229</v>
      </c>
      <c r="I179">
        <f t="shared" ca="1" si="123"/>
        <v>88.874843645675284</v>
      </c>
      <c r="J179">
        <f t="shared" ref="J179:P179" ca="1" si="162">I179*EXP(($C$6-0.5*$C$7^2)*$C$12+$C$7*SQRT($C$12)*NORMINV(RAND(),0,1))</f>
        <v>85.166392198440889</v>
      </c>
      <c r="K179">
        <f t="shared" ca="1" si="162"/>
        <v>88.21648335140938</v>
      </c>
      <c r="L179">
        <f t="shared" ca="1" si="162"/>
        <v>86.253347237998383</v>
      </c>
      <c r="M179">
        <f t="shared" ca="1" si="162"/>
        <v>83.29108639715426</v>
      </c>
      <c r="N179">
        <f t="shared" ca="1" si="162"/>
        <v>86.877131257155369</v>
      </c>
      <c r="O179">
        <f t="shared" ca="1" si="162"/>
        <v>79.393686368165717</v>
      </c>
      <c r="P179">
        <f t="shared" ca="1" si="162"/>
        <v>85.085334675547685</v>
      </c>
      <c r="Q179">
        <f t="shared" ca="1" si="124"/>
        <v>96.109751962923013</v>
      </c>
      <c r="R179">
        <f t="shared" ca="1" si="125"/>
        <v>0</v>
      </c>
      <c r="S179">
        <f t="shared" ca="1" si="126"/>
        <v>0</v>
      </c>
    </row>
    <row r="180" spans="5:19" x14ac:dyDescent="0.75">
      <c r="E180">
        <v>175</v>
      </c>
      <c r="F180">
        <f t="shared" si="122"/>
        <v>100</v>
      </c>
      <c r="G180">
        <f t="shared" ca="1" si="123"/>
        <v>95.262092695527699</v>
      </c>
      <c r="H180">
        <f t="shared" ca="1" si="123"/>
        <v>105.34936784983999</v>
      </c>
      <c r="I180">
        <f t="shared" ca="1" si="123"/>
        <v>107.81257044103565</v>
      </c>
      <c r="J180">
        <f t="shared" ref="J180:P180" ca="1" si="163">I180*EXP(($C$6-0.5*$C$7^2)*$C$12+$C$7*SQRT($C$12)*NORMINV(RAND(),0,1))</f>
        <v>114.8093235664571</v>
      </c>
      <c r="K180">
        <f t="shared" ca="1" si="163"/>
        <v>112.99295189796854</v>
      </c>
      <c r="L180">
        <f t="shared" ca="1" si="163"/>
        <v>108.509735710733</v>
      </c>
      <c r="M180">
        <f t="shared" ca="1" si="163"/>
        <v>107.19323410643428</v>
      </c>
      <c r="N180">
        <f t="shared" ca="1" si="163"/>
        <v>108.31200568487726</v>
      </c>
      <c r="O180">
        <f t="shared" ca="1" si="163"/>
        <v>109.90873924529438</v>
      </c>
      <c r="P180">
        <f t="shared" ca="1" si="163"/>
        <v>107.85678565648507</v>
      </c>
      <c r="Q180">
        <f t="shared" ca="1" si="124"/>
        <v>114.8093235664571</v>
      </c>
      <c r="R180">
        <f t="shared" ca="1" si="125"/>
        <v>0</v>
      </c>
      <c r="S180">
        <f t="shared" ca="1" si="126"/>
        <v>0</v>
      </c>
    </row>
    <row r="181" spans="5:19" x14ac:dyDescent="0.75">
      <c r="E181">
        <v>176</v>
      </c>
      <c r="F181">
        <f t="shared" si="122"/>
        <v>100</v>
      </c>
      <c r="G181">
        <f t="shared" ca="1" si="123"/>
        <v>95.101795272901441</v>
      </c>
      <c r="H181">
        <f t="shared" ca="1" si="123"/>
        <v>99.788695705098036</v>
      </c>
      <c r="I181">
        <f t="shared" ca="1" si="123"/>
        <v>106.29505941762234</v>
      </c>
      <c r="J181">
        <f t="shared" ref="J181:P181" ca="1" si="164">I181*EXP(($C$6-0.5*$C$7^2)*$C$12+$C$7*SQRT($C$12)*NORMINV(RAND(),0,1))</f>
        <v>101.13903976939243</v>
      </c>
      <c r="K181">
        <f t="shared" ca="1" si="164"/>
        <v>95.014094952422781</v>
      </c>
      <c r="L181">
        <f t="shared" ca="1" si="164"/>
        <v>87.303728564674756</v>
      </c>
      <c r="M181">
        <f t="shared" ca="1" si="164"/>
        <v>84.670766535823191</v>
      </c>
      <c r="N181">
        <f t="shared" ca="1" si="164"/>
        <v>89.446899041327583</v>
      </c>
      <c r="O181">
        <f t="shared" ca="1" si="164"/>
        <v>93.122794177462239</v>
      </c>
      <c r="P181">
        <f t="shared" ca="1" si="164"/>
        <v>96.986611090796742</v>
      </c>
      <c r="Q181">
        <f t="shared" ca="1" si="124"/>
        <v>106.29505941762234</v>
      </c>
      <c r="R181">
        <f t="shared" ca="1" si="125"/>
        <v>0</v>
      </c>
      <c r="S181">
        <f t="shared" ca="1" si="126"/>
        <v>0</v>
      </c>
    </row>
    <row r="182" spans="5:19" x14ac:dyDescent="0.75">
      <c r="E182">
        <v>177</v>
      </c>
      <c r="F182">
        <f t="shared" si="122"/>
        <v>100</v>
      </c>
      <c r="G182">
        <f t="shared" ca="1" si="123"/>
        <v>103.53334483147822</v>
      </c>
      <c r="H182">
        <f t="shared" ca="1" si="123"/>
        <v>105.5851299418116</v>
      </c>
      <c r="I182">
        <f t="shared" ca="1" si="123"/>
        <v>104.00189286405924</v>
      </c>
      <c r="J182">
        <f t="shared" ref="J182:P182" ca="1" si="165">I182*EXP(($C$6-0.5*$C$7^2)*$C$12+$C$7*SQRT($C$12)*NORMINV(RAND(),0,1))</f>
        <v>96.203090882460998</v>
      </c>
      <c r="K182">
        <f t="shared" ca="1" si="165"/>
        <v>90.889231366332027</v>
      </c>
      <c r="L182">
        <f t="shared" ca="1" si="165"/>
        <v>88.091018346496952</v>
      </c>
      <c r="M182">
        <f t="shared" ca="1" si="165"/>
        <v>81.155561240999447</v>
      </c>
      <c r="N182">
        <f t="shared" ca="1" si="165"/>
        <v>79.322322368574717</v>
      </c>
      <c r="O182">
        <f t="shared" ca="1" si="165"/>
        <v>85.710141783989101</v>
      </c>
      <c r="P182">
        <f t="shared" ca="1" si="165"/>
        <v>83.825287389937145</v>
      </c>
      <c r="Q182">
        <f t="shared" ca="1" si="124"/>
        <v>105.5851299418116</v>
      </c>
      <c r="R182">
        <f t="shared" ca="1" si="125"/>
        <v>0</v>
      </c>
      <c r="S182">
        <f t="shared" ca="1" si="126"/>
        <v>0</v>
      </c>
    </row>
    <row r="183" spans="5:19" x14ac:dyDescent="0.75">
      <c r="E183">
        <v>178</v>
      </c>
      <c r="F183">
        <f t="shared" si="122"/>
        <v>100</v>
      </c>
      <c r="G183">
        <f t="shared" ca="1" si="123"/>
        <v>91.588840327770512</v>
      </c>
      <c r="H183">
        <f t="shared" ca="1" si="123"/>
        <v>94.788494212144641</v>
      </c>
      <c r="I183">
        <f t="shared" ca="1" si="123"/>
        <v>97.07814937648098</v>
      </c>
      <c r="J183">
        <f t="shared" ref="J183:P183" ca="1" si="166">I183*EXP(($C$6-0.5*$C$7^2)*$C$12+$C$7*SQRT($C$12)*NORMINV(RAND(),0,1))</f>
        <v>90.619252372366319</v>
      </c>
      <c r="K183">
        <f t="shared" ca="1" si="166"/>
        <v>93.507844220028034</v>
      </c>
      <c r="L183">
        <f t="shared" ca="1" si="166"/>
        <v>92.560484353222535</v>
      </c>
      <c r="M183">
        <f t="shared" ca="1" si="166"/>
        <v>89.352761892452946</v>
      </c>
      <c r="N183">
        <f t="shared" ca="1" si="166"/>
        <v>93.649698080886452</v>
      </c>
      <c r="O183">
        <f t="shared" ca="1" si="166"/>
        <v>91.060334889331017</v>
      </c>
      <c r="P183">
        <f t="shared" ca="1" si="166"/>
        <v>94.155698588209262</v>
      </c>
      <c r="Q183">
        <f t="shared" ca="1" si="124"/>
        <v>97.07814937648098</v>
      </c>
      <c r="R183">
        <f t="shared" ca="1" si="125"/>
        <v>0</v>
      </c>
      <c r="S183">
        <f t="shared" ca="1" si="126"/>
        <v>0</v>
      </c>
    </row>
    <row r="184" spans="5:19" x14ac:dyDescent="0.75">
      <c r="E184">
        <v>179</v>
      </c>
      <c r="F184">
        <f t="shared" si="122"/>
        <v>100</v>
      </c>
      <c r="G184">
        <f t="shared" ca="1" si="123"/>
        <v>95.060975147247561</v>
      </c>
      <c r="H184">
        <f t="shared" ca="1" si="123"/>
        <v>96.483185783993861</v>
      </c>
      <c r="I184">
        <f t="shared" ca="1" si="123"/>
        <v>104.52198079919494</v>
      </c>
      <c r="J184">
        <f t="shared" ref="J184:P184" ca="1" si="167">I184*EXP(($C$6-0.5*$C$7^2)*$C$12+$C$7*SQRT($C$12)*NORMINV(RAND(),0,1))</f>
        <v>108.23531703202816</v>
      </c>
      <c r="K184">
        <f t="shared" ca="1" si="167"/>
        <v>106.10542519093687</v>
      </c>
      <c r="L184">
        <f t="shared" ca="1" si="167"/>
        <v>106.12747338401104</v>
      </c>
      <c r="M184">
        <f t="shared" ca="1" si="167"/>
        <v>107.45173385042291</v>
      </c>
      <c r="N184">
        <f t="shared" ca="1" si="167"/>
        <v>107.07130788775656</v>
      </c>
      <c r="O184">
        <f t="shared" ca="1" si="167"/>
        <v>106.86511950094847</v>
      </c>
      <c r="P184">
        <f t="shared" ca="1" si="167"/>
        <v>111.38303620612871</v>
      </c>
      <c r="Q184">
        <f t="shared" ca="1" si="124"/>
        <v>111.38303620612871</v>
      </c>
      <c r="R184">
        <f t="shared" ca="1" si="125"/>
        <v>0</v>
      </c>
      <c r="S184">
        <f t="shared" ca="1" si="126"/>
        <v>0</v>
      </c>
    </row>
    <row r="185" spans="5:19" x14ac:dyDescent="0.75">
      <c r="E185">
        <v>180</v>
      </c>
      <c r="F185">
        <f t="shared" si="122"/>
        <v>100</v>
      </c>
      <c r="G185">
        <f t="shared" ca="1" si="123"/>
        <v>100.35011026706411</v>
      </c>
      <c r="H185">
        <f t="shared" ca="1" si="123"/>
        <v>104.43353814280692</v>
      </c>
      <c r="I185">
        <f t="shared" ca="1" si="123"/>
        <v>98.0838964822089</v>
      </c>
      <c r="J185">
        <f t="shared" ref="J185:P185" ca="1" si="168">I185*EXP(($C$6-0.5*$C$7^2)*$C$12+$C$7*SQRT($C$12)*NORMINV(RAND(),0,1))</f>
        <v>100.45534612851614</v>
      </c>
      <c r="K185">
        <f t="shared" ca="1" si="168"/>
        <v>105.99565923029041</v>
      </c>
      <c r="L185">
        <f t="shared" ca="1" si="168"/>
        <v>110.74814996402175</v>
      </c>
      <c r="M185">
        <f t="shared" ca="1" si="168"/>
        <v>110.20764789352606</v>
      </c>
      <c r="N185">
        <f t="shared" ca="1" si="168"/>
        <v>110.35134085681479</v>
      </c>
      <c r="O185">
        <f t="shared" ca="1" si="168"/>
        <v>110.80268664550628</v>
      </c>
      <c r="P185">
        <f t="shared" ca="1" si="168"/>
        <v>112.98361278967835</v>
      </c>
      <c r="Q185">
        <f t="shared" ca="1" si="124"/>
        <v>112.98361278967835</v>
      </c>
      <c r="R185">
        <f t="shared" ca="1" si="125"/>
        <v>0</v>
      </c>
      <c r="S185">
        <f t="shared" ca="1" si="126"/>
        <v>0</v>
      </c>
    </row>
    <row r="186" spans="5:19" x14ac:dyDescent="0.75">
      <c r="E186">
        <v>181</v>
      </c>
      <c r="F186">
        <f t="shared" si="122"/>
        <v>100</v>
      </c>
      <c r="G186">
        <f t="shared" ca="1" si="123"/>
        <v>102.43383043853902</v>
      </c>
      <c r="H186">
        <f t="shared" ca="1" si="123"/>
        <v>97.698988751450059</v>
      </c>
      <c r="I186">
        <f t="shared" ca="1" si="123"/>
        <v>103.6678056188003</v>
      </c>
      <c r="J186">
        <f t="shared" ref="J186:P186" ca="1" si="169">I186*EXP(($C$6-0.5*$C$7^2)*$C$12+$C$7*SQRT($C$12)*NORMINV(RAND(),0,1))</f>
        <v>103.25305214818803</v>
      </c>
      <c r="K186">
        <f t="shared" ca="1" si="169"/>
        <v>98.627221381076012</v>
      </c>
      <c r="L186">
        <f t="shared" ca="1" si="169"/>
        <v>93.123367295334219</v>
      </c>
      <c r="M186">
        <f t="shared" ca="1" si="169"/>
        <v>90.291200046094744</v>
      </c>
      <c r="N186">
        <f t="shared" ca="1" si="169"/>
        <v>92.118895120244147</v>
      </c>
      <c r="O186">
        <f t="shared" ca="1" si="169"/>
        <v>93.519320967272364</v>
      </c>
      <c r="P186">
        <f t="shared" ca="1" si="169"/>
        <v>97.789776823703008</v>
      </c>
      <c r="Q186">
        <f t="shared" ca="1" si="124"/>
        <v>103.6678056188003</v>
      </c>
      <c r="R186">
        <f t="shared" ca="1" si="125"/>
        <v>0</v>
      </c>
      <c r="S186">
        <f t="shared" ca="1" si="126"/>
        <v>0</v>
      </c>
    </row>
    <row r="187" spans="5:19" x14ac:dyDescent="0.75">
      <c r="E187">
        <v>182</v>
      </c>
      <c r="F187">
        <f t="shared" si="122"/>
        <v>100</v>
      </c>
      <c r="G187">
        <f t="shared" ca="1" si="123"/>
        <v>104.15209407889525</v>
      </c>
      <c r="H187">
        <f t="shared" ca="1" si="123"/>
        <v>111.47117676458367</v>
      </c>
      <c r="I187">
        <f t="shared" ca="1" si="123"/>
        <v>105.57105692406276</v>
      </c>
      <c r="J187">
        <f t="shared" ref="J187:P187" ca="1" si="170">I187*EXP(($C$6-0.5*$C$7^2)*$C$12+$C$7*SQRT($C$12)*NORMINV(RAND(),0,1))</f>
        <v>102.09009925302595</v>
      </c>
      <c r="K187">
        <f t="shared" ca="1" si="170"/>
        <v>93.623677249668106</v>
      </c>
      <c r="L187">
        <f t="shared" ca="1" si="170"/>
        <v>96.110014423818981</v>
      </c>
      <c r="M187">
        <f t="shared" ca="1" si="170"/>
        <v>98.455439658492679</v>
      </c>
      <c r="N187">
        <f t="shared" ca="1" si="170"/>
        <v>97.029803755309928</v>
      </c>
      <c r="O187">
        <f t="shared" ca="1" si="170"/>
        <v>93.772871781970636</v>
      </c>
      <c r="P187">
        <f t="shared" ca="1" si="170"/>
        <v>100.05437211808812</v>
      </c>
      <c r="Q187">
        <f t="shared" ca="1" si="124"/>
        <v>111.47117676458367</v>
      </c>
      <c r="R187">
        <f t="shared" ca="1" si="125"/>
        <v>0</v>
      </c>
      <c r="S187">
        <f t="shared" ca="1" si="126"/>
        <v>0</v>
      </c>
    </row>
    <row r="188" spans="5:19" x14ac:dyDescent="0.75">
      <c r="E188">
        <v>183</v>
      </c>
      <c r="F188">
        <f t="shared" si="122"/>
        <v>100</v>
      </c>
      <c r="G188">
        <f t="shared" ca="1" si="123"/>
        <v>93.540952229571602</v>
      </c>
      <c r="H188">
        <f t="shared" ca="1" si="123"/>
        <v>90.717507920617294</v>
      </c>
      <c r="I188">
        <f t="shared" ca="1" si="123"/>
        <v>87.134110564988859</v>
      </c>
      <c r="J188">
        <f t="shared" ref="J188:P188" ca="1" si="171">I188*EXP(($C$6-0.5*$C$7^2)*$C$12+$C$7*SQRT($C$12)*NORMINV(RAND(),0,1))</f>
        <v>96.403369771474345</v>
      </c>
      <c r="K188">
        <f t="shared" ca="1" si="171"/>
        <v>100.9653722746676</v>
      </c>
      <c r="L188">
        <f t="shared" ca="1" si="171"/>
        <v>93.743170894045434</v>
      </c>
      <c r="M188">
        <f t="shared" ca="1" si="171"/>
        <v>100.74997306265526</v>
      </c>
      <c r="N188">
        <f t="shared" ca="1" si="171"/>
        <v>108.85826741196153</v>
      </c>
      <c r="O188">
        <f t="shared" ca="1" si="171"/>
        <v>111.13208595990959</v>
      </c>
      <c r="P188">
        <f t="shared" ca="1" si="171"/>
        <v>117.17837175168256</v>
      </c>
      <c r="Q188">
        <f t="shared" ca="1" si="124"/>
        <v>117.17837175168256</v>
      </c>
      <c r="R188">
        <f t="shared" ca="1" si="125"/>
        <v>0</v>
      </c>
      <c r="S188">
        <f t="shared" ca="1" si="126"/>
        <v>0</v>
      </c>
    </row>
    <row r="189" spans="5:19" x14ac:dyDescent="0.75">
      <c r="E189">
        <v>184</v>
      </c>
      <c r="F189">
        <f t="shared" si="122"/>
        <v>100</v>
      </c>
      <c r="G189">
        <f t="shared" ca="1" si="123"/>
        <v>103.39894942856118</v>
      </c>
      <c r="H189">
        <f t="shared" ca="1" si="123"/>
        <v>102.69312569461439</v>
      </c>
      <c r="I189">
        <f t="shared" ca="1" si="123"/>
        <v>101.45749035211993</v>
      </c>
      <c r="J189">
        <f t="shared" ref="J189:P189" ca="1" si="172">I189*EXP(($C$6-0.5*$C$7^2)*$C$12+$C$7*SQRT($C$12)*NORMINV(RAND(),0,1))</f>
        <v>101.12220006601716</v>
      </c>
      <c r="K189">
        <f t="shared" ca="1" si="172"/>
        <v>91.745310636285367</v>
      </c>
      <c r="L189">
        <f t="shared" ca="1" si="172"/>
        <v>88.797638921748359</v>
      </c>
      <c r="M189">
        <f t="shared" ca="1" si="172"/>
        <v>92.276148287893491</v>
      </c>
      <c r="N189">
        <f t="shared" ca="1" si="172"/>
        <v>95.851937018699388</v>
      </c>
      <c r="O189">
        <f t="shared" ca="1" si="172"/>
        <v>100.32429102539274</v>
      </c>
      <c r="P189">
        <f t="shared" ca="1" si="172"/>
        <v>105.76740420270841</v>
      </c>
      <c r="Q189">
        <f t="shared" ca="1" si="124"/>
        <v>105.76740420270841</v>
      </c>
      <c r="R189">
        <f t="shared" ca="1" si="125"/>
        <v>3.7674042027084056</v>
      </c>
      <c r="S189">
        <f t="shared" ca="1" si="126"/>
        <v>3.6743866615187057</v>
      </c>
    </row>
    <row r="190" spans="5:19" x14ac:dyDescent="0.75">
      <c r="E190">
        <v>185</v>
      </c>
      <c r="F190">
        <f t="shared" si="122"/>
        <v>100</v>
      </c>
      <c r="G190">
        <f t="shared" ca="1" si="123"/>
        <v>96.212283618213291</v>
      </c>
      <c r="H190">
        <f t="shared" ca="1" si="123"/>
        <v>91.968509194716276</v>
      </c>
      <c r="I190">
        <f t="shared" ca="1" si="123"/>
        <v>86.903874370429691</v>
      </c>
      <c r="J190">
        <f t="shared" ref="J190:P190" ca="1" si="173">I190*EXP(($C$6-0.5*$C$7^2)*$C$12+$C$7*SQRT($C$12)*NORMINV(RAND(),0,1))</f>
        <v>85.760083400268599</v>
      </c>
      <c r="K190">
        <f t="shared" ca="1" si="173"/>
        <v>93.682762642813543</v>
      </c>
      <c r="L190">
        <f t="shared" ca="1" si="173"/>
        <v>90.523482510555297</v>
      </c>
      <c r="M190">
        <f t="shared" ca="1" si="173"/>
        <v>92.536941907791373</v>
      </c>
      <c r="N190">
        <f t="shared" ca="1" si="173"/>
        <v>86.390652490981964</v>
      </c>
      <c r="O190">
        <f t="shared" ca="1" si="173"/>
        <v>84.077956756131357</v>
      </c>
      <c r="P190">
        <f t="shared" ca="1" si="173"/>
        <v>81.005526250143191</v>
      </c>
      <c r="Q190">
        <f t="shared" ca="1" si="124"/>
        <v>96.212283618213291</v>
      </c>
      <c r="R190">
        <f t="shared" ca="1" si="125"/>
        <v>0</v>
      </c>
      <c r="S190">
        <f t="shared" ca="1" si="126"/>
        <v>0</v>
      </c>
    </row>
    <row r="191" spans="5:19" x14ac:dyDescent="0.75">
      <c r="E191">
        <v>186</v>
      </c>
      <c r="F191">
        <f t="shared" si="122"/>
        <v>100</v>
      </c>
      <c r="G191">
        <f t="shared" ca="1" si="123"/>
        <v>99.611492871644231</v>
      </c>
      <c r="H191">
        <f t="shared" ca="1" si="123"/>
        <v>92.029616125462411</v>
      </c>
      <c r="I191">
        <f t="shared" ca="1" si="123"/>
        <v>94.924216824959259</v>
      </c>
      <c r="J191">
        <f t="shared" ref="J191:P191" ca="1" si="174">I191*EXP(($C$6-0.5*$C$7^2)*$C$12+$C$7*SQRT($C$12)*NORMINV(RAND(),0,1))</f>
        <v>96.481572013682054</v>
      </c>
      <c r="K191">
        <f t="shared" ca="1" si="174"/>
        <v>111.45927839829288</v>
      </c>
      <c r="L191">
        <f t="shared" ca="1" si="174"/>
        <v>115.12502193755665</v>
      </c>
      <c r="M191">
        <f t="shared" ca="1" si="174"/>
        <v>117.08377635375092</v>
      </c>
      <c r="N191">
        <f t="shared" ca="1" si="174"/>
        <v>113.89822106675133</v>
      </c>
      <c r="O191">
        <f t="shared" ca="1" si="174"/>
        <v>112.86868922606608</v>
      </c>
      <c r="P191">
        <f t="shared" ca="1" si="174"/>
        <v>112.61832806119831</v>
      </c>
      <c r="Q191">
        <f t="shared" ca="1" si="124"/>
        <v>117.08377635375092</v>
      </c>
      <c r="R191">
        <f t="shared" ca="1" si="125"/>
        <v>0</v>
      </c>
      <c r="S191">
        <f t="shared" ca="1" si="126"/>
        <v>0</v>
      </c>
    </row>
    <row r="192" spans="5:19" x14ac:dyDescent="0.75">
      <c r="E192">
        <v>187</v>
      </c>
      <c r="F192">
        <f t="shared" si="122"/>
        <v>100</v>
      </c>
      <c r="G192">
        <f t="shared" ca="1" si="123"/>
        <v>94.383935981185616</v>
      </c>
      <c r="H192">
        <f t="shared" ca="1" si="123"/>
        <v>90.747055209671089</v>
      </c>
      <c r="I192">
        <f t="shared" ca="1" si="123"/>
        <v>89.218126664856783</v>
      </c>
      <c r="J192">
        <f t="shared" ref="J192:P192" ca="1" si="175">I192*EXP(($C$6-0.5*$C$7^2)*$C$12+$C$7*SQRT($C$12)*NORMINV(RAND(),0,1))</f>
        <v>86.009332800729524</v>
      </c>
      <c r="K192">
        <f t="shared" ca="1" si="175"/>
        <v>89.861113409937872</v>
      </c>
      <c r="L192">
        <f t="shared" ca="1" si="175"/>
        <v>86.130335460229702</v>
      </c>
      <c r="M192">
        <f t="shared" ca="1" si="175"/>
        <v>85.464444207730992</v>
      </c>
      <c r="N192">
        <f t="shared" ca="1" si="175"/>
        <v>87.496776473420141</v>
      </c>
      <c r="O192">
        <f t="shared" ca="1" si="175"/>
        <v>84.105416495736975</v>
      </c>
      <c r="P192">
        <f t="shared" ca="1" si="175"/>
        <v>82.177810997563952</v>
      </c>
      <c r="Q192">
        <f t="shared" ca="1" si="124"/>
        <v>94.383935981185616</v>
      </c>
      <c r="R192">
        <f t="shared" ca="1" si="125"/>
        <v>0</v>
      </c>
      <c r="S192">
        <f t="shared" ca="1" si="126"/>
        <v>0</v>
      </c>
    </row>
    <row r="193" spans="5:19" x14ac:dyDescent="0.75">
      <c r="E193">
        <v>188</v>
      </c>
      <c r="F193">
        <f t="shared" si="122"/>
        <v>100</v>
      </c>
      <c r="G193">
        <f t="shared" ca="1" si="123"/>
        <v>104.97126363871887</v>
      </c>
      <c r="H193">
        <f t="shared" ca="1" si="123"/>
        <v>101.69166327055046</v>
      </c>
      <c r="I193">
        <f t="shared" ca="1" si="123"/>
        <v>92.567928006862019</v>
      </c>
      <c r="J193">
        <f t="shared" ref="J193:P193" ca="1" si="176">I193*EXP(($C$6-0.5*$C$7^2)*$C$12+$C$7*SQRT($C$12)*NORMINV(RAND(),0,1))</f>
        <v>100.2913359654392</v>
      </c>
      <c r="K193">
        <f t="shared" ca="1" si="176"/>
        <v>99.505156986658989</v>
      </c>
      <c r="L193">
        <f t="shared" ca="1" si="176"/>
        <v>98.621067864132741</v>
      </c>
      <c r="M193">
        <f t="shared" ca="1" si="176"/>
        <v>96.487463355277896</v>
      </c>
      <c r="N193">
        <f t="shared" ca="1" si="176"/>
        <v>94.154995900670414</v>
      </c>
      <c r="O193">
        <f t="shared" ca="1" si="176"/>
        <v>94.35040363022145</v>
      </c>
      <c r="P193">
        <f t="shared" ca="1" si="176"/>
        <v>91.29288197182305</v>
      </c>
      <c r="Q193">
        <f t="shared" ca="1" si="124"/>
        <v>104.97126363871887</v>
      </c>
      <c r="R193">
        <f t="shared" ca="1" si="125"/>
        <v>0</v>
      </c>
      <c r="S193">
        <f t="shared" ca="1" si="126"/>
        <v>0</v>
      </c>
    </row>
    <row r="194" spans="5:19" x14ac:dyDescent="0.75">
      <c r="E194">
        <v>189</v>
      </c>
      <c r="F194">
        <f t="shared" si="122"/>
        <v>100</v>
      </c>
      <c r="G194">
        <f t="shared" ca="1" si="123"/>
        <v>95.795107002061258</v>
      </c>
      <c r="H194">
        <f t="shared" ca="1" si="123"/>
        <v>99.720954082711017</v>
      </c>
      <c r="I194">
        <f t="shared" ca="1" si="123"/>
        <v>104.96486106804997</v>
      </c>
      <c r="J194">
        <f t="shared" ref="J194:P194" ca="1" si="177">I194*EXP(($C$6-0.5*$C$7^2)*$C$12+$C$7*SQRT($C$12)*NORMINV(RAND(),0,1))</f>
        <v>108.96642911701279</v>
      </c>
      <c r="K194">
        <f t="shared" ca="1" si="177"/>
        <v>104.24332181078326</v>
      </c>
      <c r="L194">
        <f t="shared" ca="1" si="177"/>
        <v>110.16965426860239</v>
      </c>
      <c r="M194">
        <f t="shared" ca="1" si="177"/>
        <v>109.93622995503763</v>
      </c>
      <c r="N194">
        <f t="shared" ca="1" si="177"/>
        <v>111.38279716396596</v>
      </c>
      <c r="O194">
        <f t="shared" ca="1" si="177"/>
        <v>111.6302720100875</v>
      </c>
      <c r="P194">
        <f t="shared" ca="1" si="177"/>
        <v>122.36784589909631</v>
      </c>
      <c r="Q194">
        <f t="shared" ca="1" si="124"/>
        <v>122.36784589909631</v>
      </c>
      <c r="R194">
        <f t="shared" ca="1" si="125"/>
        <v>0</v>
      </c>
      <c r="S194">
        <f t="shared" ca="1" si="126"/>
        <v>0</v>
      </c>
    </row>
    <row r="195" spans="5:19" x14ac:dyDescent="0.75">
      <c r="E195">
        <v>190</v>
      </c>
      <c r="F195">
        <f t="shared" si="122"/>
        <v>100</v>
      </c>
      <c r="G195">
        <f t="shared" ca="1" si="123"/>
        <v>104.54134057739566</v>
      </c>
      <c r="H195">
        <f t="shared" ca="1" si="123"/>
        <v>105.58163513327462</v>
      </c>
      <c r="I195">
        <f t="shared" ca="1" si="123"/>
        <v>103.0498393153821</v>
      </c>
      <c r="J195">
        <f t="shared" ref="J195:P195" ca="1" si="178">I195*EXP(($C$6-0.5*$C$7^2)*$C$12+$C$7*SQRT($C$12)*NORMINV(RAND(),0,1))</f>
        <v>98.488493017525713</v>
      </c>
      <c r="K195">
        <f t="shared" ca="1" si="178"/>
        <v>99.700755003632437</v>
      </c>
      <c r="L195">
        <f t="shared" ca="1" si="178"/>
        <v>92.720052763995483</v>
      </c>
      <c r="M195">
        <f t="shared" ca="1" si="178"/>
        <v>91.61112533524728</v>
      </c>
      <c r="N195">
        <f t="shared" ca="1" si="178"/>
        <v>97.755151808336947</v>
      </c>
      <c r="O195">
        <f t="shared" ca="1" si="178"/>
        <v>95.542879503619659</v>
      </c>
      <c r="P195">
        <f t="shared" ca="1" si="178"/>
        <v>101.04000506002566</v>
      </c>
      <c r="Q195">
        <f t="shared" ca="1" si="124"/>
        <v>105.58163513327462</v>
      </c>
      <c r="R195">
        <f t="shared" ca="1" si="125"/>
        <v>0</v>
      </c>
      <c r="S195">
        <f t="shared" ca="1" si="126"/>
        <v>0</v>
      </c>
    </row>
    <row r="196" spans="5:19" x14ac:dyDescent="0.75">
      <c r="E196">
        <v>191</v>
      </c>
      <c r="F196">
        <f t="shared" si="122"/>
        <v>100</v>
      </c>
      <c r="G196">
        <f t="shared" ca="1" si="123"/>
        <v>96.060178897263341</v>
      </c>
      <c r="H196">
        <f t="shared" ca="1" si="123"/>
        <v>96.40500700722059</v>
      </c>
      <c r="I196">
        <f t="shared" ca="1" si="123"/>
        <v>98.559988285585945</v>
      </c>
      <c r="J196">
        <f t="shared" ref="J196:P196" ca="1" si="179">I196*EXP(($C$6-0.5*$C$7^2)*$C$12+$C$7*SQRT($C$12)*NORMINV(RAND(),0,1))</f>
        <v>99.178057989188133</v>
      </c>
      <c r="K196">
        <f t="shared" ca="1" si="179"/>
        <v>98.872387867985807</v>
      </c>
      <c r="L196">
        <f t="shared" ca="1" si="179"/>
        <v>101.9951955784679</v>
      </c>
      <c r="M196">
        <f t="shared" ca="1" si="179"/>
        <v>103.02660190829353</v>
      </c>
      <c r="N196">
        <f t="shared" ca="1" si="179"/>
        <v>98.795856701115468</v>
      </c>
      <c r="O196">
        <f t="shared" ca="1" si="179"/>
        <v>92.742942657815419</v>
      </c>
      <c r="P196">
        <f t="shared" ca="1" si="179"/>
        <v>88.506130697433392</v>
      </c>
      <c r="Q196">
        <f t="shared" ca="1" si="124"/>
        <v>103.02660190829353</v>
      </c>
      <c r="R196">
        <f t="shared" ca="1" si="125"/>
        <v>0</v>
      </c>
      <c r="S196">
        <f t="shared" ca="1" si="126"/>
        <v>0</v>
      </c>
    </row>
    <row r="197" spans="5:19" x14ac:dyDescent="0.75">
      <c r="E197">
        <v>192</v>
      </c>
      <c r="F197">
        <f t="shared" si="122"/>
        <v>100</v>
      </c>
      <c r="G197">
        <f t="shared" ca="1" si="123"/>
        <v>92.945753332775993</v>
      </c>
      <c r="H197">
        <f t="shared" ca="1" si="123"/>
        <v>88.166539211996593</v>
      </c>
      <c r="I197">
        <f t="shared" ca="1" si="123"/>
        <v>82.396777613625986</v>
      </c>
      <c r="J197">
        <f t="shared" ref="J197:P197" ca="1" si="180">I197*EXP(($C$6-0.5*$C$7^2)*$C$12+$C$7*SQRT($C$12)*NORMINV(RAND(),0,1))</f>
        <v>83.290880824163793</v>
      </c>
      <c r="K197">
        <f t="shared" ca="1" si="180"/>
        <v>90.686078001870996</v>
      </c>
      <c r="L197">
        <f t="shared" ca="1" si="180"/>
        <v>100.12214673374795</v>
      </c>
      <c r="M197">
        <f t="shared" ca="1" si="180"/>
        <v>96.94015330027382</v>
      </c>
      <c r="N197">
        <f t="shared" ca="1" si="180"/>
        <v>105.78796040963989</v>
      </c>
      <c r="O197">
        <f t="shared" ca="1" si="180"/>
        <v>103.00689199520811</v>
      </c>
      <c r="P197">
        <f t="shared" ca="1" si="180"/>
        <v>104.0621602564707</v>
      </c>
      <c r="Q197">
        <f t="shared" ca="1" si="124"/>
        <v>105.78796040963989</v>
      </c>
      <c r="R197">
        <f t="shared" ca="1" si="125"/>
        <v>2.0621602564707047</v>
      </c>
      <c r="S197">
        <f t="shared" ca="1" si="126"/>
        <v>2.0112453383267668</v>
      </c>
    </row>
    <row r="198" spans="5:19" x14ac:dyDescent="0.75">
      <c r="E198">
        <v>193</v>
      </c>
      <c r="F198">
        <f t="shared" si="122"/>
        <v>100</v>
      </c>
      <c r="G198">
        <f t="shared" ca="1" si="123"/>
        <v>103.91476115154961</v>
      </c>
      <c r="H198">
        <f t="shared" ca="1" si="123"/>
        <v>93.987128607308179</v>
      </c>
      <c r="I198">
        <f t="shared" ca="1" si="123"/>
        <v>90.169932608523283</v>
      </c>
      <c r="J198">
        <f t="shared" ref="J198:P198" ca="1" si="181">I198*EXP(($C$6-0.5*$C$7^2)*$C$12+$C$7*SQRT($C$12)*NORMINV(RAND(),0,1))</f>
        <v>92.131290090770079</v>
      </c>
      <c r="K198">
        <f t="shared" ca="1" si="181"/>
        <v>87.787381570083056</v>
      </c>
      <c r="L198">
        <f t="shared" ca="1" si="181"/>
        <v>92.804825358740842</v>
      </c>
      <c r="M198">
        <f t="shared" ca="1" si="181"/>
        <v>99.082875161286978</v>
      </c>
      <c r="N198">
        <f t="shared" ca="1" si="181"/>
        <v>101.64260037945562</v>
      </c>
      <c r="O198">
        <f t="shared" ca="1" si="181"/>
        <v>103.95717445422915</v>
      </c>
      <c r="P198">
        <f t="shared" ca="1" si="181"/>
        <v>99.890043686517501</v>
      </c>
      <c r="Q198">
        <f t="shared" ca="1" si="124"/>
        <v>103.95717445422915</v>
      </c>
      <c r="R198">
        <f t="shared" ca="1" si="125"/>
        <v>0</v>
      </c>
      <c r="S198">
        <f t="shared" ca="1" si="126"/>
        <v>0</v>
      </c>
    </row>
    <row r="199" spans="5:19" x14ac:dyDescent="0.75">
      <c r="E199">
        <v>194</v>
      </c>
      <c r="F199">
        <f t="shared" ref="F199:F262" si="182">$C$5</f>
        <v>100</v>
      </c>
      <c r="G199">
        <f t="shared" ref="G199:P262" ca="1" si="183">F199*EXP(($C$6-0.5*$C$7^2)*$C$12+$C$7*SQRT($C$12)*NORMINV(RAND(),0,1))</f>
        <v>99.359217981604417</v>
      </c>
      <c r="H199">
        <f t="shared" ca="1" si="183"/>
        <v>98.513127445524532</v>
      </c>
      <c r="I199">
        <f t="shared" ca="1" si="183"/>
        <v>95.109067813023358</v>
      </c>
      <c r="J199">
        <f t="shared" ca="1" si="183"/>
        <v>100.04391794750964</v>
      </c>
      <c r="K199">
        <f t="shared" ca="1" si="183"/>
        <v>106.27893122663622</v>
      </c>
      <c r="L199">
        <f t="shared" ca="1" si="183"/>
        <v>112.8416402045099</v>
      </c>
      <c r="M199">
        <f t="shared" ca="1" si="183"/>
        <v>106.09214968910597</v>
      </c>
      <c r="N199">
        <f t="shared" ca="1" si="183"/>
        <v>104.35064953050075</v>
      </c>
      <c r="O199">
        <f t="shared" ca="1" si="183"/>
        <v>99.691895797489821</v>
      </c>
      <c r="P199">
        <f t="shared" ca="1" si="183"/>
        <v>98.016041967391615</v>
      </c>
      <c r="Q199">
        <f t="shared" ref="Q199:Q262" ca="1" si="184">MAX(G199:P199)</f>
        <v>112.8416402045099</v>
      </c>
      <c r="R199">
        <f t="shared" ref="R199:R262" ca="1" si="185">IF(Q199&gt;=$C$13,0, MAX(P199-$C$9,0))</f>
        <v>0</v>
      </c>
      <c r="S199">
        <f t="shared" ref="S199:S262" ca="1" si="186">EXP(-$C$6*$C$8)*R199</f>
        <v>0</v>
      </c>
    </row>
    <row r="200" spans="5:19" x14ac:dyDescent="0.75">
      <c r="E200">
        <v>195</v>
      </c>
      <c r="F200">
        <f t="shared" si="182"/>
        <v>100</v>
      </c>
      <c r="G200">
        <f t="shared" ca="1" si="183"/>
        <v>101.11403151538076</v>
      </c>
      <c r="H200">
        <f t="shared" ca="1" si="183"/>
        <v>98.418643350670578</v>
      </c>
      <c r="I200">
        <f t="shared" ca="1" si="183"/>
        <v>95.907689509829666</v>
      </c>
      <c r="J200">
        <f t="shared" ca="1" si="183"/>
        <v>97.196186605887775</v>
      </c>
      <c r="K200">
        <f t="shared" ca="1" si="183"/>
        <v>99.419422630706137</v>
      </c>
      <c r="L200">
        <f t="shared" ca="1" si="183"/>
        <v>94.235144377497051</v>
      </c>
      <c r="M200">
        <f t="shared" ca="1" si="183"/>
        <v>96.892929393958369</v>
      </c>
      <c r="N200">
        <f t="shared" ca="1" si="183"/>
        <v>97.930136960260299</v>
      </c>
      <c r="O200">
        <f t="shared" ca="1" si="183"/>
        <v>108.7048418507925</v>
      </c>
      <c r="P200">
        <f t="shared" ca="1" si="183"/>
        <v>101.27071134802515</v>
      </c>
      <c r="Q200">
        <f t="shared" ca="1" si="184"/>
        <v>108.7048418507925</v>
      </c>
      <c r="R200">
        <f t="shared" ca="1" si="185"/>
        <v>0</v>
      </c>
      <c r="S200">
        <f t="shared" ca="1" si="186"/>
        <v>0</v>
      </c>
    </row>
    <row r="201" spans="5:19" x14ac:dyDescent="0.75">
      <c r="E201">
        <v>196</v>
      </c>
      <c r="F201">
        <f t="shared" si="182"/>
        <v>100</v>
      </c>
      <c r="G201">
        <f t="shared" ca="1" si="183"/>
        <v>102.99833219962559</v>
      </c>
      <c r="H201">
        <f t="shared" ca="1" si="183"/>
        <v>101.11009532351015</v>
      </c>
      <c r="I201">
        <f t="shared" ca="1" si="183"/>
        <v>98.697010178874862</v>
      </c>
      <c r="J201">
        <f t="shared" ca="1" si="183"/>
        <v>93.411697922348552</v>
      </c>
      <c r="K201">
        <f t="shared" ca="1" si="183"/>
        <v>98.397771758150299</v>
      </c>
      <c r="L201">
        <f t="shared" ca="1" si="183"/>
        <v>94.781175833966728</v>
      </c>
      <c r="M201">
        <f t="shared" ca="1" si="183"/>
        <v>94.96215446232587</v>
      </c>
      <c r="N201">
        <f t="shared" ca="1" si="183"/>
        <v>97.068930122468416</v>
      </c>
      <c r="O201">
        <f t="shared" ca="1" si="183"/>
        <v>95.883016257887022</v>
      </c>
      <c r="P201">
        <f t="shared" ca="1" si="183"/>
        <v>97.103438214263235</v>
      </c>
      <c r="Q201">
        <f t="shared" ca="1" si="184"/>
        <v>102.99833219962559</v>
      </c>
      <c r="R201">
        <f t="shared" ca="1" si="185"/>
        <v>0</v>
      </c>
      <c r="S201">
        <f t="shared" ca="1" si="186"/>
        <v>0</v>
      </c>
    </row>
    <row r="202" spans="5:19" x14ac:dyDescent="0.75">
      <c r="E202">
        <v>197</v>
      </c>
      <c r="F202">
        <f t="shared" si="182"/>
        <v>100</v>
      </c>
      <c r="G202">
        <f t="shared" ca="1" si="183"/>
        <v>99.367104899859982</v>
      </c>
      <c r="H202">
        <f t="shared" ca="1" si="183"/>
        <v>99.704391316502935</v>
      </c>
      <c r="I202">
        <f t="shared" ca="1" si="183"/>
        <v>106.23330945381019</v>
      </c>
      <c r="J202">
        <f t="shared" ca="1" si="183"/>
        <v>102.31087427020863</v>
      </c>
      <c r="K202">
        <f t="shared" ca="1" si="183"/>
        <v>95.703567383094892</v>
      </c>
      <c r="L202">
        <f t="shared" ca="1" si="183"/>
        <v>98.478954767348938</v>
      </c>
      <c r="M202">
        <f t="shared" ca="1" si="183"/>
        <v>103.69351398164785</v>
      </c>
      <c r="N202">
        <f t="shared" ca="1" si="183"/>
        <v>106.4813038950271</v>
      </c>
      <c r="O202">
        <f t="shared" ca="1" si="183"/>
        <v>94.231000123285213</v>
      </c>
      <c r="P202">
        <f t="shared" ca="1" si="183"/>
        <v>89.000681147959369</v>
      </c>
      <c r="Q202">
        <f t="shared" ca="1" si="184"/>
        <v>106.4813038950271</v>
      </c>
      <c r="R202">
        <f t="shared" ca="1" si="185"/>
        <v>0</v>
      </c>
      <c r="S202">
        <f t="shared" ca="1" si="186"/>
        <v>0</v>
      </c>
    </row>
    <row r="203" spans="5:19" x14ac:dyDescent="0.75">
      <c r="E203">
        <v>198</v>
      </c>
      <c r="F203">
        <f t="shared" si="182"/>
        <v>100</v>
      </c>
      <c r="G203">
        <f t="shared" ca="1" si="183"/>
        <v>99.508243982740836</v>
      </c>
      <c r="H203">
        <f t="shared" ca="1" si="183"/>
        <v>92.531977410942574</v>
      </c>
      <c r="I203">
        <f t="shared" ca="1" si="183"/>
        <v>87.023309823894351</v>
      </c>
      <c r="J203">
        <f t="shared" ca="1" si="183"/>
        <v>88.282741475246567</v>
      </c>
      <c r="K203">
        <f t="shared" ca="1" si="183"/>
        <v>93.327369604234164</v>
      </c>
      <c r="L203">
        <f t="shared" ca="1" si="183"/>
        <v>93.436768085011323</v>
      </c>
      <c r="M203">
        <f t="shared" ca="1" si="183"/>
        <v>86.076874558906198</v>
      </c>
      <c r="N203">
        <f t="shared" ca="1" si="183"/>
        <v>83.149637601400428</v>
      </c>
      <c r="O203">
        <f t="shared" ca="1" si="183"/>
        <v>81.629682322727334</v>
      </c>
      <c r="P203">
        <f t="shared" ca="1" si="183"/>
        <v>89.43577325319383</v>
      </c>
      <c r="Q203">
        <f t="shared" ca="1" si="184"/>
        <v>99.508243982740836</v>
      </c>
      <c r="R203">
        <f t="shared" ca="1" si="185"/>
        <v>0</v>
      </c>
      <c r="S203">
        <f t="shared" ca="1" si="186"/>
        <v>0</v>
      </c>
    </row>
    <row r="204" spans="5:19" x14ac:dyDescent="0.75">
      <c r="E204">
        <v>199</v>
      </c>
      <c r="F204">
        <f t="shared" si="182"/>
        <v>100</v>
      </c>
      <c r="G204">
        <f t="shared" ca="1" si="183"/>
        <v>105.86724457408646</v>
      </c>
      <c r="H204">
        <f t="shared" ca="1" si="183"/>
        <v>105.47086956479087</v>
      </c>
      <c r="I204">
        <f t="shared" ca="1" si="183"/>
        <v>116.93709847469098</v>
      </c>
      <c r="J204">
        <f t="shared" ca="1" si="183"/>
        <v>118.69383109988348</v>
      </c>
      <c r="K204">
        <f t="shared" ca="1" si="183"/>
        <v>115.1776257528784</v>
      </c>
      <c r="L204">
        <f t="shared" ca="1" si="183"/>
        <v>118.07865168109907</v>
      </c>
      <c r="M204">
        <f t="shared" ca="1" si="183"/>
        <v>104.98378870313792</v>
      </c>
      <c r="N204">
        <f t="shared" ca="1" si="183"/>
        <v>109.66151161029445</v>
      </c>
      <c r="O204">
        <f t="shared" ca="1" si="183"/>
        <v>109.80610599252233</v>
      </c>
      <c r="P204">
        <f t="shared" ca="1" si="183"/>
        <v>111.50698125879808</v>
      </c>
      <c r="Q204">
        <f t="shared" ca="1" si="184"/>
        <v>118.69383109988348</v>
      </c>
      <c r="R204">
        <f t="shared" ca="1" si="185"/>
        <v>0</v>
      </c>
      <c r="S204">
        <f t="shared" ca="1" si="186"/>
        <v>0</v>
      </c>
    </row>
    <row r="205" spans="5:19" x14ac:dyDescent="0.75">
      <c r="E205">
        <v>200</v>
      </c>
      <c r="F205">
        <f t="shared" si="182"/>
        <v>100</v>
      </c>
      <c r="G205">
        <f t="shared" ca="1" si="183"/>
        <v>98.546349335077082</v>
      </c>
      <c r="H205">
        <f t="shared" ca="1" si="183"/>
        <v>96.575315596811606</v>
      </c>
      <c r="I205">
        <f t="shared" ca="1" si="183"/>
        <v>95.02116167894323</v>
      </c>
      <c r="J205">
        <f t="shared" ca="1" si="183"/>
        <v>97.836730454498479</v>
      </c>
      <c r="K205">
        <f t="shared" ca="1" si="183"/>
        <v>97.846076679254026</v>
      </c>
      <c r="L205">
        <f t="shared" ca="1" si="183"/>
        <v>98.728828032065536</v>
      </c>
      <c r="M205">
        <f t="shared" ca="1" si="183"/>
        <v>100.53932310297353</v>
      </c>
      <c r="N205">
        <f t="shared" ca="1" si="183"/>
        <v>97.510408647012213</v>
      </c>
      <c r="O205">
        <f t="shared" ca="1" si="183"/>
        <v>103.75797447333868</v>
      </c>
      <c r="P205">
        <f t="shared" ca="1" si="183"/>
        <v>96.535286202484485</v>
      </c>
      <c r="Q205">
        <f t="shared" ca="1" si="184"/>
        <v>103.75797447333868</v>
      </c>
      <c r="R205">
        <f t="shared" ca="1" si="185"/>
        <v>0</v>
      </c>
      <c r="S205">
        <f t="shared" ca="1" si="186"/>
        <v>0</v>
      </c>
    </row>
    <row r="206" spans="5:19" x14ac:dyDescent="0.75">
      <c r="E206">
        <v>201</v>
      </c>
      <c r="F206">
        <f t="shared" si="182"/>
        <v>100</v>
      </c>
      <c r="G206">
        <f t="shared" ca="1" si="183"/>
        <v>97.203808820110524</v>
      </c>
      <c r="H206">
        <f t="shared" ca="1" si="183"/>
        <v>102.15635583988329</v>
      </c>
      <c r="I206">
        <f t="shared" ca="1" si="183"/>
        <v>100.82237844629832</v>
      </c>
      <c r="J206">
        <f t="shared" ca="1" si="183"/>
        <v>97.7011208189505</v>
      </c>
      <c r="K206">
        <f t="shared" ca="1" si="183"/>
        <v>98.613887449684029</v>
      </c>
      <c r="L206">
        <f t="shared" ca="1" si="183"/>
        <v>103.83097384595152</v>
      </c>
      <c r="M206">
        <f t="shared" ca="1" si="183"/>
        <v>99.586591704379828</v>
      </c>
      <c r="N206">
        <f t="shared" ca="1" si="183"/>
        <v>102.76372752631325</v>
      </c>
      <c r="O206">
        <f t="shared" ca="1" si="183"/>
        <v>107.31010758836454</v>
      </c>
      <c r="P206">
        <f t="shared" ca="1" si="183"/>
        <v>111.85387649611118</v>
      </c>
      <c r="Q206">
        <f t="shared" ca="1" si="184"/>
        <v>111.85387649611118</v>
      </c>
      <c r="R206">
        <f t="shared" ca="1" si="185"/>
        <v>0</v>
      </c>
      <c r="S206">
        <f t="shared" ca="1" si="186"/>
        <v>0</v>
      </c>
    </row>
    <row r="207" spans="5:19" x14ac:dyDescent="0.75">
      <c r="E207">
        <v>202</v>
      </c>
      <c r="F207">
        <f t="shared" si="182"/>
        <v>100</v>
      </c>
      <c r="G207">
        <f t="shared" ca="1" si="183"/>
        <v>103.79954624234632</v>
      </c>
      <c r="H207">
        <f t="shared" ca="1" si="183"/>
        <v>93.181458260458982</v>
      </c>
      <c r="I207">
        <f t="shared" ca="1" si="183"/>
        <v>97.275761596931744</v>
      </c>
      <c r="J207">
        <f t="shared" ca="1" si="183"/>
        <v>97.873385715586693</v>
      </c>
      <c r="K207">
        <f t="shared" ca="1" si="183"/>
        <v>96.892707148061859</v>
      </c>
      <c r="L207">
        <f t="shared" ca="1" si="183"/>
        <v>96.772579602184138</v>
      </c>
      <c r="M207">
        <f t="shared" ca="1" si="183"/>
        <v>97.264443483844403</v>
      </c>
      <c r="N207">
        <f t="shared" ca="1" si="183"/>
        <v>94.809885758929013</v>
      </c>
      <c r="O207">
        <f t="shared" ca="1" si="183"/>
        <v>102.13124827557758</v>
      </c>
      <c r="P207">
        <f t="shared" ca="1" si="183"/>
        <v>94.148321236321436</v>
      </c>
      <c r="Q207">
        <f t="shared" ca="1" si="184"/>
        <v>103.79954624234632</v>
      </c>
      <c r="R207">
        <f t="shared" ca="1" si="185"/>
        <v>0</v>
      </c>
      <c r="S207">
        <f t="shared" ca="1" si="186"/>
        <v>0</v>
      </c>
    </row>
    <row r="208" spans="5:19" x14ac:dyDescent="0.75">
      <c r="E208">
        <v>203</v>
      </c>
      <c r="F208">
        <f t="shared" si="182"/>
        <v>100</v>
      </c>
      <c r="G208">
        <f t="shared" ca="1" si="183"/>
        <v>97.053079884890863</v>
      </c>
      <c r="H208">
        <f t="shared" ca="1" si="183"/>
        <v>97.829400103812688</v>
      </c>
      <c r="I208">
        <f t="shared" ca="1" si="183"/>
        <v>99.951162413204358</v>
      </c>
      <c r="J208">
        <f t="shared" ref="J208:P208" ca="1" si="187">I208*EXP(($C$6-0.5*$C$7^2)*$C$12+$C$7*SQRT($C$12)*NORMINV(RAND(),0,1))</f>
        <v>100.89252490322937</v>
      </c>
      <c r="K208">
        <f t="shared" ca="1" si="187"/>
        <v>105.91812416591181</v>
      </c>
      <c r="L208">
        <f t="shared" ca="1" si="187"/>
        <v>98.875081996547664</v>
      </c>
      <c r="M208">
        <f t="shared" ca="1" si="187"/>
        <v>100.21186355475903</v>
      </c>
      <c r="N208">
        <f t="shared" ca="1" si="187"/>
        <v>103.09496684138756</v>
      </c>
      <c r="O208">
        <f t="shared" ca="1" si="187"/>
        <v>102.79263824497362</v>
      </c>
      <c r="P208">
        <f t="shared" ca="1" si="187"/>
        <v>96.945415501115235</v>
      </c>
      <c r="Q208">
        <f t="shared" ca="1" si="184"/>
        <v>105.91812416591181</v>
      </c>
      <c r="R208">
        <f t="shared" ca="1" si="185"/>
        <v>0</v>
      </c>
      <c r="S208">
        <f t="shared" ca="1" si="186"/>
        <v>0</v>
      </c>
    </row>
    <row r="209" spans="5:19" x14ac:dyDescent="0.75">
      <c r="E209">
        <v>204</v>
      </c>
      <c r="F209">
        <f t="shared" si="182"/>
        <v>100</v>
      </c>
      <c r="G209">
        <f t="shared" ca="1" si="183"/>
        <v>106.94016701330371</v>
      </c>
      <c r="H209">
        <f t="shared" ca="1" si="183"/>
        <v>107.42724998418498</v>
      </c>
      <c r="I209">
        <f t="shared" ca="1" si="183"/>
        <v>112.42565833974533</v>
      </c>
      <c r="J209">
        <f t="shared" ref="J209:P209" ca="1" si="188">I209*EXP(($C$6-0.5*$C$7^2)*$C$12+$C$7*SQRT($C$12)*NORMINV(RAND(),0,1))</f>
        <v>118.62060827024438</v>
      </c>
      <c r="K209">
        <f t="shared" ca="1" si="188"/>
        <v>120.76051614097192</v>
      </c>
      <c r="L209">
        <f t="shared" ca="1" si="188"/>
        <v>123.85388995998755</v>
      </c>
      <c r="M209">
        <f t="shared" ca="1" si="188"/>
        <v>124.03063370040198</v>
      </c>
      <c r="N209">
        <f t="shared" ca="1" si="188"/>
        <v>117.89620817049695</v>
      </c>
      <c r="O209">
        <f t="shared" ca="1" si="188"/>
        <v>114.60647767847333</v>
      </c>
      <c r="P209">
        <f t="shared" ca="1" si="188"/>
        <v>101.78293966645229</v>
      </c>
      <c r="Q209">
        <f t="shared" ca="1" si="184"/>
        <v>124.03063370040198</v>
      </c>
      <c r="R209">
        <f t="shared" ca="1" si="185"/>
        <v>0</v>
      </c>
      <c r="S209">
        <f t="shared" ca="1" si="186"/>
        <v>0</v>
      </c>
    </row>
    <row r="210" spans="5:19" x14ac:dyDescent="0.75">
      <c r="E210">
        <v>205</v>
      </c>
      <c r="F210">
        <f t="shared" si="182"/>
        <v>100</v>
      </c>
      <c r="G210">
        <f t="shared" ca="1" si="183"/>
        <v>107.01459872243339</v>
      </c>
      <c r="H210">
        <f t="shared" ca="1" si="183"/>
        <v>104.7514188393905</v>
      </c>
      <c r="I210">
        <f t="shared" ca="1" si="183"/>
        <v>111.36852429304506</v>
      </c>
      <c r="J210">
        <f t="shared" ref="J210:P210" ca="1" si="189">I210*EXP(($C$6-0.5*$C$7^2)*$C$12+$C$7*SQRT($C$12)*NORMINV(RAND(),0,1))</f>
        <v>116.6347067778304</v>
      </c>
      <c r="K210">
        <f t="shared" ca="1" si="189"/>
        <v>114.08926562714998</v>
      </c>
      <c r="L210">
        <f t="shared" ca="1" si="189"/>
        <v>113.81240203841563</v>
      </c>
      <c r="M210">
        <f t="shared" ca="1" si="189"/>
        <v>122.8857340074252</v>
      </c>
      <c r="N210">
        <f t="shared" ca="1" si="189"/>
        <v>127.15635559446372</v>
      </c>
      <c r="O210">
        <f t="shared" ca="1" si="189"/>
        <v>137.10442769802725</v>
      </c>
      <c r="P210">
        <f t="shared" ca="1" si="189"/>
        <v>139.13802958921087</v>
      </c>
      <c r="Q210">
        <f t="shared" ca="1" si="184"/>
        <v>139.13802958921087</v>
      </c>
      <c r="R210">
        <f t="shared" ca="1" si="185"/>
        <v>0</v>
      </c>
      <c r="S210">
        <f t="shared" ca="1" si="186"/>
        <v>0</v>
      </c>
    </row>
    <row r="211" spans="5:19" x14ac:dyDescent="0.75">
      <c r="E211">
        <v>206</v>
      </c>
      <c r="F211">
        <f t="shared" si="182"/>
        <v>100</v>
      </c>
      <c r="G211">
        <f t="shared" ca="1" si="183"/>
        <v>101.14165538962989</v>
      </c>
      <c r="H211">
        <f t="shared" ca="1" si="183"/>
        <v>100.25467768754824</v>
      </c>
      <c r="I211">
        <f t="shared" ca="1" si="183"/>
        <v>101.35384386059437</v>
      </c>
      <c r="J211">
        <f t="shared" ref="J211:P211" ca="1" si="190">I211*EXP(($C$6-0.5*$C$7^2)*$C$12+$C$7*SQRT($C$12)*NORMINV(RAND(),0,1))</f>
        <v>102.94132143262367</v>
      </c>
      <c r="K211">
        <f t="shared" ca="1" si="190"/>
        <v>96.57967983573721</v>
      </c>
      <c r="L211">
        <f t="shared" ca="1" si="190"/>
        <v>90.558259939646248</v>
      </c>
      <c r="M211">
        <f t="shared" ca="1" si="190"/>
        <v>96.902159927081783</v>
      </c>
      <c r="N211">
        <f t="shared" ca="1" si="190"/>
        <v>95.373922499195089</v>
      </c>
      <c r="O211">
        <f t="shared" ca="1" si="190"/>
        <v>97.260342769130418</v>
      </c>
      <c r="P211">
        <f t="shared" ca="1" si="190"/>
        <v>95.625754875739077</v>
      </c>
      <c r="Q211">
        <f t="shared" ca="1" si="184"/>
        <v>102.94132143262367</v>
      </c>
      <c r="R211">
        <f t="shared" ca="1" si="185"/>
        <v>0</v>
      </c>
      <c r="S211">
        <f t="shared" ca="1" si="186"/>
        <v>0</v>
      </c>
    </row>
    <row r="212" spans="5:19" x14ac:dyDescent="0.75">
      <c r="E212">
        <v>207</v>
      </c>
      <c r="F212">
        <f t="shared" si="182"/>
        <v>100</v>
      </c>
      <c r="G212">
        <f t="shared" ca="1" si="183"/>
        <v>100.180447298614</v>
      </c>
      <c r="H212">
        <f t="shared" ca="1" si="183"/>
        <v>95.432258547672618</v>
      </c>
      <c r="I212">
        <f t="shared" ca="1" si="183"/>
        <v>100.3027290204941</v>
      </c>
      <c r="J212">
        <f t="shared" ref="J212:P212" ca="1" si="191">I212*EXP(($C$6-0.5*$C$7^2)*$C$12+$C$7*SQRT($C$12)*NORMINV(RAND(),0,1))</f>
        <v>101.91009077331832</v>
      </c>
      <c r="K212">
        <f t="shared" ca="1" si="191"/>
        <v>106.75129787078079</v>
      </c>
      <c r="L212">
        <f t="shared" ca="1" si="191"/>
        <v>104.5945099319823</v>
      </c>
      <c r="M212">
        <f t="shared" ca="1" si="191"/>
        <v>104.02497857593816</v>
      </c>
      <c r="N212">
        <f t="shared" ca="1" si="191"/>
        <v>104.92310317168263</v>
      </c>
      <c r="O212">
        <f t="shared" ca="1" si="191"/>
        <v>103.83320439343036</v>
      </c>
      <c r="P212">
        <f t="shared" ca="1" si="191"/>
        <v>108.67657433734881</v>
      </c>
      <c r="Q212">
        <f t="shared" ca="1" si="184"/>
        <v>108.67657433734881</v>
      </c>
      <c r="R212">
        <f t="shared" ca="1" si="185"/>
        <v>6.6765743373488107</v>
      </c>
      <c r="S212">
        <f t="shared" ca="1" si="186"/>
        <v>6.5117291296102913</v>
      </c>
    </row>
    <row r="213" spans="5:19" x14ac:dyDescent="0.75">
      <c r="E213">
        <v>208</v>
      </c>
      <c r="F213">
        <f t="shared" si="182"/>
        <v>100</v>
      </c>
      <c r="G213">
        <f t="shared" ca="1" si="183"/>
        <v>104.46888651979589</v>
      </c>
      <c r="H213">
        <f t="shared" ca="1" si="183"/>
        <v>107.09630945383333</v>
      </c>
      <c r="I213">
        <f t="shared" ca="1" si="183"/>
        <v>103.20743022555537</v>
      </c>
      <c r="J213">
        <f t="shared" ref="J213:P213" ca="1" si="192">I213*EXP(($C$6-0.5*$C$7^2)*$C$12+$C$7*SQRT($C$12)*NORMINV(RAND(),0,1))</f>
        <v>93.560914638075047</v>
      </c>
      <c r="K213">
        <f t="shared" ca="1" si="192"/>
        <v>90.450296269486643</v>
      </c>
      <c r="L213">
        <f t="shared" ca="1" si="192"/>
        <v>93.805437159765106</v>
      </c>
      <c r="M213">
        <f t="shared" ca="1" si="192"/>
        <v>93.265706884309893</v>
      </c>
      <c r="N213">
        <f t="shared" ca="1" si="192"/>
        <v>88.404838608543628</v>
      </c>
      <c r="O213">
        <f t="shared" ca="1" si="192"/>
        <v>89.31935525186843</v>
      </c>
      <c r="P213">
        <f t="shared" ca="1" si="192"/>
        <v>91.514417781729506</v>
      </c>
      <c r="Q213">
        <f t="shared" ca="1" si="184"/>
        <v>107.09630945383333</v>
      </c>
      <c r="R213">
        <f t="shared" ca="1" si="185"/>
        <v>0</v>
      </c>
      <c r="S213">
        <f t="shared" ca="1" si="186"/>
        <v>0</v>
      </c>
    </row>
    <row r="214" spans="5:19" x14ac:dyDescent="0.75">
      <c r="E214">
        <v>209</v>
      </c>
      <c r="F214">
        <f t="shared" si="182"/>
        <v>100</v>
      </c>
      <c r="G214">
        <f t="shared" ca="1" si="183"/>
        <v>94.890547081485735</v>
      </c>
      <c r="H214">
        <f t="shared" ca="1" si="183"/>
        <v>95.577342382895239</v>
      </c>
      <c r="I214">
        <f t="shared" ca="1" si="183"/>
        <v>93.423363846591357</v>
      </c>
      <c r="J214">
        <f t="shared" ref="J214:P214" ca="1" si="193">I214*EXP(($C$6-0.5*$C$7^2)*$C$12+$C$7*SQRT($C$12)*NORMINV(RAND(),0,1))</f>
        <v>92.885179791506346</v>
      </c>
      <c r="K214">
        <f t="shared" ca="1" si="193"/>
        <v>86.597213093821338</v>
      </c>
      <c r="L214">
        <f t="shared" ca="1" si="193"/>
        <v>83.873127925013364</v>
      </c>
      <c r="M214">
        <f t="shared" ca="1" si="193"/>
        <v>92.785715452446439</v>
      </c>
      <c r="N214">
        <f t="shared" ca="1" si="193"/>
        <v>100.18078521896533</v>
      </c>
      <c r="O214">
        <f t="shared" ca="1" si="193"/>
        <v>98.448529838401271</v>
      </c>
      <c r="P214">
        <f t="shared" ca="1" si="193"/>
        <v>104.98527534032337</v>
      </c>
      <c r="Q214">
        <f t="shared" ca="1" si="184"/>
        <v>104.98527534032337</v>
      </c>
      <c r="R214">
        <f t="shared" ca="1" si="185"/>
        <v>2.9852753403233692</v>
      </c>
      <c r="S214">
        <f t="shared" ca="1" si="186"/>
        <v>2.911568629551136</v>
      </c>
    </row>
    <row r="215" spans="5:19" x14ac:dyDescent="0.75">
      <c r="E215">
        <v>210</v>
      </c>
      <c r="F215">
        <f t="shared" si="182"/>
        <v>100</v>
      </c>
      <c r="G215">
        <f t="shared" ca="1" si="183"/>
        <v>97.723298912200065</v>
      </c>
      <c r="H215">
        <f t="shared" ca="1" si="183"/>
        <v>107.51549637388469</v>
      </c>
      <c r="I215">
        <f t="shared" ca="1" si="183"/>
        <v>101.8046890560655</v>
      </c>
      <c r="J215">
        <f t="shared" ref="J215:P215" ca="1" si="194">I215*EXP(($C$6-0.5*$C$7^2)*$C$12+$C$7*SQRT($C$12)*NORMINV(RAND(),0,1))</f>
        <v>99.041578513132777</v>
      </c>
      <c r="K215">
        <f t="shared" ca="1" si="194"/>
        <v>97.760960275744011</v>
      </c>
      <c r="L215">
        <f t="shared" ca="1" si="194"/>
        <v>99.217788317768594</v>
      </c>
      <c r="M215">
        <f t="shared" ca="1" si="194"/>
        <v>103.5158687875535</v>
      </c>
      <c r="N215">
        <f t="shared" ca="1" si="194"/>
        <v>105.9568747538611</v>
      </c>
      <c r="O215">
        <f t="shared" ca="1" si="194"/>
        <v>104.55881417378258</v>
      </c>
      <c r="P215">
        <f t="shared" ca="1" si="194"/>
        <v>99.486613745475182</v>
      </c>
      <c r="Q215">
        <f t="shared" ca="1" si="184"/>
        <v>107.51549637388469</v>
      </c>
      <c r="R215">
        <f t="shared" ca="1" si="185"/>
        <v>0</v>
      </c>
      <c r="S215">
        <f t="shared" ca="1" si="186"/>
        <v>0</v>
      </c>
    </row>
    <row r="216" spans="5:19" x14ac:dyDescent="0.75">
      <c r="E216">
        <v>211</v>
      </c>
      <c r="F216">
        <f t="shared" si="182"/>
        <v>100</v>
      </c>
      <c r="G216">
        <f t="shared" ca="1" si="183"/>
        <v>102.89370745882589</v>
      </c>
      <c r="H216">
        <f t="shared" ca="1" si="183"/>
        <v>108.75139708105344</v>
      </c>
      <c r="I216">
        <f t="shared" ca="1" si="183"/>
        <v>106.92253017008524</v>
      </c>
      <c r="J216">
        <f t="shared" ref="J216:P216" ca="1" si="195">I216*EXP(($C$6-0.5*$C$7^2)*$C$12+$C$7*SQRT($C$12)*NORMINV(RAND(),0,1))</f>
        <v>110.34048116391344</v>
      </c>
      <c r="K216">
        <f t="shared" ca="1" si="195"/>
        <v>101.93831441404186</v>
      </c>
      <c r="L216">
        <f t="shared" ca="1" si="195"/>
        <v>98.768809530607626</v>
      </c>
      <c r="M216">
        <f t="shared" ca="1" si="195"/>
        <v>105.90122804196852</v>
      </c>
      <c r="N216">
        <f t="shared" ca="1" si="195"/>
        <v>110.2232391315967</v>
      </c>
      <c r="O216">
        <f t="shared" ca="1" si="195"/>
        <v>111.61059607394714</v>
      </c>
      <c r="P216">
        <f t="shared" ca="1" si="195"/>
        <v>105.95323522676817</v>
      </c>
      <c r="Q216">
        <f t="shared" ca="1" si="184"/>
        <v>111.61059607394714</v>
      </c>
      <c r="R216">
        <f t="shared" ca="1" si="185"/>
        <v>0</v>
      </c>
      <c r="S216">
        <f t="shared" ca="1" si="186"/>
        <v>0</v>
      </c>
    </row>
    <row r="217" spans="5:19" x14ac:dyDescent="0.75">
      <c r="E217">
        <v>212</v>
      </c>
      <c r="F217">
        <f t="shared" si="182"/>
        <v>100</v>
      </c>
      <c r="G217">
        <f t="shared" ca="1" si="183"/>
        <v>96.147157485187179</v>
      </c>
      <c r="H217">
        <f t="shared" ca="1" si="183"/>
        <v>100.52374472046074</v>
      </c>
      <c r="I217">
        <f t="shared" ca="1" si="183"/>
        <v>93.822938196342704</v>
      </c>
      <c r="J217">
        <f t="shared" ref="J217:P217" ca="1" si="196">I217*EXP(($C$6-0.5*$C$7^2)*$C$12+$C$7*SQRT($C$12)*NORMINV(RAND(),0,1))</f>
        <v>88.926722961612143</v>
      </c>
      <c r="K217">
        <f t="shared" ca="1" si="196"/>
        <v>84.34388761798273</v>
      </c>
      <c r="L217">
        <f t="shared" ca="1" si="196"/>
        <v>92.68072294778996</v>
      </c>
      <c r="M217">
        <f t="shared" ca="1" si="196"/>
        <v>87.263637429571077</v>
      </c>
      <c r="N217">
        <f t="shared" ca="1" si="196"/>
        <v>86.909336025224562</v>
      </c>
      <c r="O217">
        <f t="shared" ca="1" si="196"/>
        <v>89.347522204898866</v>
      </c>
      <c r="P217">
        <f t="shared" ca="1" si="196"/>
        <v>93.489087072660283</v>
      </c>
      <c r="Q217">
        <f t="shared" ca="1" si="184"/>
        <v>100.52374472046074</v>
      </c>
      <c r="R217">
        <f t="shared" ca="1" si="185"/>
        <v>0</v>
      </c>
      <c r="S217">
        <f t="shared" ca="1" si="186"/>
        <v>0</v>
      </c>
    </row>
    <row r="218" spans="5:19" x14ac:dyDescent="0.75">
      <c r="E218">
        <v>213</v>
      </c>
      <c r="F218">
        <f t="shared" si="182"/>
        <v>100</v>
      </c>
      <c r="G218">
        <f t="shared" ca="1" si="183"/>
        <v>102.81965346413553</v>
      </c>
      <c r="H218">
        <f t="shared" ca="1" si="183"/>
        <v>103.54614908859831</v>
      </c>
      <c r="I218">
        <f t="shared" ca="1" si="183"/>
        <v>103.43769839365278</v>
      </c>
      <c r="J218">
        <f t="shared" ref="J218:P218" ca="1" si="197">I218*EXP(($C$6-0.5*$C$7^2)*$C$12+$C$7*SQRT($C$12)*NORMINV(RAND(),0,1))</f>
        <v>102.07648788786415</v>
      </c>
      <c r="K218">
        <f t="shared" ca="1" si="197"/>
        <v>106.62571049702039</v>
      </c>
      <c r="L218">
        <f t="shared" ca="1" si="197"/>
        <v>106.07171678961748</v>
      </c>
      <c r="M218">
        <f t="shared" ca="1" si="197"/>
        <v>111.29376888079004</v>
      </c>
      <c r="N218">
        <f t="shared" ca="1" si="197"/>
        <v>115.80130866678225</v>
      </c>
      <c r="O218">
        <f t="shared" ca="1" si="197"/>
        <v>121.42666027212456</v>
      </c>
      <c r="P218">
        <f t="shared" ca="1" si="197"/>
        <v>116.95813044231798</v>
      </c>
      <c r="Q218">
        <f t="shared" ca="1" si="184"/>
        <v>121.42666027212456</v>
      </c>
      <c r="R218">
        <f t="shared" ca="1" si="185"/>
        <v>0</v>
      </c>
      <c r="S218">
        <f t="shared" ca="1" si="186"/>
        <v>0</v>
      </c>
    </row>
    <row r="219" spans="5:19" x14ac:dyDescent="0.75">
      <c r="E219">
        <v>214</v>
      </c>
      <c r="F219">
        <f t="shared" si="182"/>
        <v>100</v>
      </c>
      <c r="G219">
        <f t="shared" ca="1" si="183"/>
        <v>111.41785512263334</v>
      </c>
      <c r="H219">
        <f t="shared" ca="1" si="183"/>
        <v>106.29943390105583</v>
      </c>
      <c r="I219">
        <f t="shared" ca="1" si="183"/>
        <v>100.61265300563802</v>
      </c>
      <c r="J219">
        <f t="shared" ref="J219:P219" ca="1" si="198">I219*EXP(($C$6-0.5*$C$7^2)*$C$12+$C$7*SQRT($C$12)*NORMINV(RAND(),0,1))</f>
        <v>96.823422180676275</v>
      </c>
      <c r="K219">
        <f t="shared" ca="1" si="198"/>
        <v>103.83043026681675</v>
      </c>
      <c r="L219">
        <f t="shared" ca="1" si="198"/>
        <v>101.12989721305546</v>
      </c>
      <c r="M219">
        <f t="shared" ca="1" si="198"/>
        <v>99.501528152399558</v>
      </c>
      <c r="N219">
        <f t="shared" ca="1" si="198"/>
        <v>101.3819273326834</v>
      </c>
      <c r="O219">
        <f t="shared" ca="1" si="198"/>
        <v>108.25300938048504</v>
      </c>
      <c r="P219">
        <f t="shared" ca="1" si="198"/>
        <v>114.79123213868749</v>
      </c>
      <c r="Q219">
        <f t="shared" ca="1" si="184"/>
        <v>114.79123213868749</v>
      </c>
      <c r="R219">
        <f t="shared" ca="1" si="185"/>
        <v>0</v>
      </c>
      <c r="S219">
        <f t="shared" ca="1" si="186"/>
        <v>0</v>
      </c>
    </row>
    <row r="220" spans="5:19" x14ac:dyDescent="0.75">
      <c r="E220">
        <v>215</v>
      </c>
      <c r="F220">
        <f t="shared" si="182"/>
        <v>100</v>
      </c>
      <c r="G220">
        <f t="shared" ca="1" si="183"/>
        <v>99.548614110415684</v>
      </c>
      <c r="H220">
        <f t="shared" ca="1" si="183"/>
        <v>94.80257470418556</v>
      </c>
      <c r="I220">
        <f t="shared" ca="1" si="183"/>
        <v>96.232929251105404</v>
      </c>
      <c r="J220">
        <f t="shared" ref="J220:P220" ca="1" si="199">I220*EXP(($C$6-0.5*$C$7^2)*$C$12+$C$7*SQRT($C$12)*NORMINV(RAND(),0,1))</f>
        <v>89.10910080958206</v>
      </c>
      <c r="K220">
        <f t="shared" ca="1" si="199"/>
        <v>86.098326023624452</v>
      </c>
      <c r="L220">
        <f t="shared" ca="1" si="199"/>
        <v>88.736446501994706</v>
      </c>
      <c r="M220">
        <f t="shared" ca="1" si="199"/>
        <v>86.935479211042647</v>
      </c>
      <c r="N220">
        <f t="shared" ca="1" si="199"/>
        <v>90.068654501886186</v>
      </c>
      <c r="O220">
        <f t="shared" ca="1" si="199"/>
        <v>94.182929277982254</v>
      </c>
      <c r="P220">
        <f t="shared" ca="1" si="199"/>
        <v>94.875588735402644</v>
      </c>
      <c r="Q220">
        <f t="shared" ca="1" si="184"/>
        <v>99.548614110415684</v>
      </c>
      <c r="R220">
        <f t="shared" ca="1" si="185"/>
        <v>0</v>
      </c>
      <c r="S220">
        <f t="shared" ca="1" si="186"/>
        <v>0</v>
      </c>
    </row>
    <row r="221" spans="5:19" x14ac:dyDescent="0.75">
      <c r="E221">
        <v>216</v>
      </c>
      <c r="F221">
        <f t="shared" si="182"/>
        <v>100</v>
      </c>
      <c r="G221">
        <f t="shared" ca="1" si="183"/>
        <v>102.41673743903516</v>
      </c>
      <c r="H221">
        <f t="shared" ca="1" si="183"/>
        <v>107.22809055970259</v>
      </c>
      <c r="I221">
        <f t="shared" ca="1" si="183"/>
        <v>109.85704197643899</v>
      </c>
      <c r="J221">
        <f t="shared" ref="J221:P221" ca="1" si="200">I221*EXP(($C$6-0.5*$C$7^2)*$C$12+$C$7*SQRT($C$12)*NORMINV(RAND(),0,1))</f>
        <v>107.0322745166481</v>
      </c>
      <c r="K221">
        <f t="shared" ca="1" si="200"/>
        <v>109.87736812656931</v>
      </c>
      <c r="L221">
        <f t="shared" ca="1" si="200"/>
        <v>113.92592529483035</v>
      </c>
      <c r="M221">
        <f t="shared" ca="1" si="200"/>
        <v>110.35791888061387</v>
      </c>
      <c r="N221">
        <f t="shared" ca="1" si="200"/>
        <v>108.29721864198177</v>
      </c>
      <c r="O221">
        <f t="shared" ca="1" si="200"/>
        <v>118.82970185595219</v>
      </c>
      <c r="P221">
        <f t="shared" ca="1" si="200"/>
        <v>119.3621706426437</v>
      </c>
      <c r="Q221">
        <f t="shared" ca="1" si="184"/>
        <v>119.3621706426437</v>
      </c>
      <c r="R221">
        <f t="shared" ca="1" si="185"/>
        <v>0</v>
      </c>
      <c r="S221">
        <f t="shared" ca="1" si="186"/>
        <v>0</v>
      </c>
    </row>
    <row r="222" spans="5:19" x14ac:dyDescent="0.75">
      <c r="E222">
        <v>217</v>
      </c>
      <c r="F222">
        <f t="shared" si="182"/>
        <v>100</v>
      </c>
      <c r="G222">
        <f t="shared" ca="1" si="183"/>
        <v>106.56983879158713</v>
      </c>
      <c r="H222">
        <f t="shared" ca="1" si="183"/>
        <v>109.70135445940579</v>
      </c>
      <c r="I222">
        <f t="shared" ca="1" si="183"/>
        <v>104.69123464911708</v>
      </c>
      <c r="J222">
        <f t="shared" ref="J222:P222" ca="1" si="201">I222*EXP(($C$6-0.5*$C$7^2)*$C$12+$C$7*SQRT($C$12)*NORMINV(RAND(),0,1))</f>
        <v>109.33468689973571</v>
      </c>
      <c r="K222">
        <f t="shared" ca="1" si="201"/>
        <v>103.96405459807471</v>
      </c>
      <c r="L222">
        <f t="shared" ca="1" si="201"/>
        <v>104.63717795103003</v>
      </c>
      <c r="M222">
        <f t="shared" ca="1" si="201"/>
        <v>104.27116527301537</v>
      </c>
      <c r="N222">
        <f t="shared" ca="1" si="201"/>
        <v>97.161523352784684</v>
      </c>
      <c r="O222">
        <f t="shared" ca="1" si="201"/>
        <v>99.918087782103598</v>
      </c>
      <c r="P222">
        <f t="shared" ca="1" si="201"/>
        <v>102.36477768596576</v>
      </c>
      <c r="Q222">
        <f t="shared" ca="1" si="184"/>
        <v>109.70135445940579</v>
      </c>
      <c r="R222">
        <f t="shared" ca="1" si="185"/>
        <v>0.36477768596576254</v>
      </c>
      <c r="S222">
        <f t="shared" ca="1" si="186"/>
        <v>0.35577129280916658</v>
      </c>
    </row>
    <row r="223" spans="5:19" x14ac:dyDescent="0.75">
      <c r="E223">
        <v>218</v>
      </c>
      <c r="F223">
        <f t="shared" si="182"/>
        <v>100</v>
      </c>
      <c r="G223">
        <f t="shared" ca="1" si="183"/>
        <v>98.100260942344136</v>
      </c>
      <c r="H223">
        <f t="shared" ca="1" si="183"/>
        <v>99.995036751161308</v>
      </c>
      <c r="I223">
        <f t="shared" ca="1" si="183"/>
        <v>95.093598082894829</v>
      </c>
      <c r="J223">
        <f t="shared" ref="J223:P223" ca="1" si="202">I223*EXP(($C$6-0.5*$C$7^2)*$C$12+$C$7*SQRT($C$12)*NORMINV(RAND(),0,1))</f>
        <v>94.098696391488502</v>
      </c>
      <c r="K223">
        <f t="shared" ca="1" si="202"/>
        <v>97.598860493011955</v>
      </c>
      <c r="L223">
        <f t="shared" ca="1" si="202"/>
        <v>94.299818087614625</v>
      </c>
      <c r="M223">
        <f t="shared" ca="1" si="202"/>
        <v>99.039899217865369</v>
      </c>
      <c r="N223">
        <f t="shared" ca="1" si="202"/>
        <v>98.359945778475918</v>
      </c>
      <c r="O223">
        <f t="shared" ca="1" si="202"/>
        <v>92.160255058977384</v>
      </c>
      <c r="P223">
        <f t="shared" ca="1" si="202"/>
        <v>87.914552845439133</v>
      </c>
      <c r="Q223">
        <f t="shared" ca="1" si="184"/>
        <v>99.995036751161308</v>
      </c>
      <c r="R223">
        <f t="shared" ca="1" si="185"/>
        <v>0</v>
      </c>
      <c r="S223">
        <f t="shared" ca="1" si="186"/>
        <v>0</v>
      </c>
    </row>
    <row r="224" spans="5:19" x14ac:dyDescent="0.75">
      <c r="E224">
        <v>219</v>
      </c>
      <c r="F224">
        <f t="shared" si="182"/>
        <v>100</v>
      </c>
      <c r="G224">
        <f t="shared" ca="1" si="183"/>
        <v>103.82685587278728</v>
      </c>
      <c r="H224">
        <f t="shared" ca="1" si="183"/>
        <v>103.55890041678214</v>
      </c>
      <c r="I224">
        <f t="shared" ca="1" si="183"/>
        <v>93.994552018315943</v>
      </c>
      <c r="J224">
        <f t="shared" ref="J224:P224" ca="1" si="203">I224*EXP(($C$6-0.5*$C$7^2)*$C$12+$C$7*SQRT($C$12)*NORMINV(RAND(),0,1))</f>
        <v>96.46664512183311</v>
      </c>
      <c r="K224">
        <f t="shared" ca="1" si="203"/>
        <v>90.288524553289932</v>
      </c>
      <c r="L224">
        <f t="shared" ca="1" si="203"/>
        <v>99.45646212422389</v>
      </c>
      <c r="M224">
        <f t="shared" ca="1" si="203"/>
        <v>106.74655442926456</v>
      </c>
      <c r="N224">
        <f t="shared" ca="1" si="203"/>
        <v>110.2491313607724</v>
      </c>
      <c r="O224">
        <f t="shared" ca="1" si="203"/>
        <v>109.25635545850517</v>
      </c>
      <c r="P224">
        <f t="shared" ca="1" si="203"/>
        <v>95.954011085811175</v>
      </c>
      <c r="Q224">
        <f t="shared" ca="1" si="184"/>
        <v>110.2491313607724</v>
      </c>
      <c r="R224">
        <f t="shared" ca="1" si="185"/>
        <v>0</v>
      </c>
      <c r="S224">
        <f t="shared" ca="1" si="186"/>
        <v>0</v>
      </c>
    </row>
    <row r="225" spans="5:19" x14ac:dyDescent="0.75">
      <c r="E225">
        <v>220</v>
      </c>
      <c r="F225">
        <f t="shared" si="182"/>
        <v>100</v>
      </c>
      <c r="G225">
        <f t="shared" ca="1" si="183"/>
        <v>97.626836721988653</v>
      </c>
      <c r="H225">
        <f t="shared" ca="1" si="183"/>
        <v>100.80612322736204</v>
      </c>
      <c r="I225">
        <f t="shared" ca="1" si="183"/>
        <v>100.50821918915572</v>
      </c>
      <c r="J225">
        <f t="shared" ref="J225:P225" ca="1" si="204">I225*EXP(($C$6-0.5*$C$7^2)*$C$12+$C$7*SQRT($C$12)*NORMINV(RAND(),0,1))</f>
        <v>104.98064509656173</v>
      </c>
      <c r="K225">
        <f t="shared" ca="1" si="204"/>
        <v>103.91638989279156</v>
      </c>
      <c r="L225">
        <f t="shared" ca="1" si="204"/>
        <v>100.87798411341223</v>
      </c>
      <c r="M225">
        <f t="shared" ca="1" si="204"/>
        <v>108.87424716420682</v>
      </c>
      <c r="N225">
        <f t="shared" ca="1" si="204"/>
        <v>107.36620890799375</v>
      </c>
      <c r="O225">
        <f t="shared" ca="1" si="204"/>
        <v>101.99603705199577</v>
      </c>
      <c r="P225">
        <f t="shared" ca="1" si="204"/>
        <v>93.993374338801488</v>
      </c>
      <c r="Q225">
        <f t="shared" ca="1" si="184"/>
        <v>108.87424716420682</v>
      </c>
      <c r="R225">
        <f t="shared" ca="1" si="185"/>
        <v>0</v>
      </c>
      <c r="S225">
        <f t="shared" ca="1" si="186"/>
        <v>0</v>
      </c>
    </row>
    <row r="226" spans="5:19" x14ac:dyDescent="0.75">
      <c r="E226">
        <v>221</v>
      </c>
      <c r="F226">
        <f t="shared" si="182"/>
        <v>100</v>
      </c>
      <c r="G226">
        <f t="shared" ca="1" si="183"/>
        <v>98.04693451061857</v>
      </c>
      <c r="H226">
        <f t="shared" ca="1" si="183"/>
        <v>97.70526774605888</v>
      </c>
      <c r="I226">
        <f t="shared" ca="1" si="183"/>
        <v>95.077090172072403</v>
      </c>
      <c r="J226">
        <f t="shared" ref="J226:P226" ca="1" si="205">I226*EXP(($C$6-0.5*$C$7^2)*$C$12+$C$7*SQRT($C$12)*NORMINV(RAND(),0,1))</f>
        <v>95.686586420825222</v>
      </c>
      <c r="K226">
        <f t="shared" ca="1" si="205"/>
        <v>89.594428691967494</v>
      </c>
      <c r="L226">
        <f t="shared" ca="1" si="205"/>
        <v>87.523181366806611</v>
      </c>
      <c r="M226">
        <f t="shared" ca="1" si="205"/>
        <v>92.777938077344103</v>
      </c>
      <c r="N226">
        <f t="shared" ca="1" si="205"/>
        <v>87.498875876441375</v>
      </c>
      <c r="O226">
        <f t="shared" ca="1" si="205"/>
        <v>87.749544112266392</v>
      </c>
      <c r="P226">
        <f t="shared" ca="1" si="205"/>
        <v>85.763532085597745</v>
      </c>
      <c r="Q226">
        <f t="shared" ca="1" si="184"/>
        <v>98.04693451061857</v>
      </c>
      <c r="R226">
        <f t="shared" ca="1" si="185"/>
        <v>0</v>
      </c>
      <c r="S226">
        <f t="shared" ca="1" si="186"/>
        <v>0</v>
      </c>
    </row>
    <row r="227" spans="5:19" x14ac:dyDescent="0.75">
      <c r="E227">
        <v>222</v>
      </c>
      <c r="F227">
        <f t="shared" si="182"/>
        <v>100</v>
      </c>
      <c r="G227">
        <f t="shared" ca="1" si="183"/>
        <v>110.75372805329926</v>
      </c>
      <c r="H227">
        <f t="shared" ca="1" si="183"/>
        <v>111.03958461849743</v>
      </c>
      <c r="I227">
        <f t="shared" ca="1" si="183"/>
        <v>109.8091179912965</v>
      </c>
      <c r="J227">
        <f t="shared" ref="J227:P227" ca="1" si="206">I227*EXP(($C$6-0.5*$C$7^2)*$C$12+$C$7*SQRT($C$12)*NORMINV(RAND(),0,1))</f>
        <v>105.62462729898351</v>
      </c>
      <c r="K227">
        <f t="shared" ca="1" si="206"/>
        <v>106.83125036215097</v>
      </c>
      <c r="L227">
        <f t="shared" ca="1" si="206"/>
        <v>102.71359254054133</v>
      </c>
      <c r="M227">
        <f t="shared" ca="1" si="206"/>
        <v>109.94201070957587</v>
      </c>
      <c r="N227">
        <f t="shared" ca="1" si="206"/>
        <v>108.49176816386307</v>
      </c>
      <c r="O227">
        <f t="shared" ca="1" si="206"/>
        <v>108.18185762414089</v>
      </c>
      <c r="P227">
        <f t="shared" ca="1" si="206"/>
        <v>121.67882443953225</v>
      </c>
      <c r="Q227">
        <f t="shared" ca="1" si="184"/>
        <v>121.67882443953225</v>
      </c>
      <c r="R227">
        <f t="shared" ca="1" si="185"/>
        <v>0</v>
      </c>
      <c r="S227">
        <f t="shared" ca="1" si="186"/>
        <v>0</v>
      </c>
    </row>
    <row r="228" spans="5:19" x14ac:dyDescent="0.75">
      <c r="E228">
        <v>223</v>
      </c>
      <c r="F228">
        <f t="shared" si="182"/>
        <v>100</v>
      </c>
      <c r="G228">
        <f t="shared" ca="1" si="183"/>
        <v>98.301313423487755</v>
      </c>
      <c r="H228">
        <f t="shared" ca="1" si="183"/>
        <v>108.19012223056147</v>
      </c>
      <c r="I228">
        <f t="shared" ca="1" si="183"/>
        <v>113.28870347872881</v>
      </c>
      <c r="J228">
        <f t="shared" ref="J228:P228" ca="1" si="207">I228*EXP(($C$6-0.5*$C$7^2)*$C$12+$C$7*SQRT($C$12)*NORMINV(RAND(),0,1))</f>
        <v>121.32006523689815</v>
      </c>
      <c r="K228">
        <f t="shared" ca="1" si="207"/>
        <v>120.5455746340707</v>
      </c>
      <c r="L228">
        <f t="shared" ca="1" si="207"/>
        <v>116.93227225365287</v>
      </c>
      <c r="M228">
        <f t="shared" ca="1" si="207"/>
        <v>119.08162594802882</v>
      </c>
      <c r="N228">
        <f t="shared" ca="1" si="207"/>
        <v>111.97139551129754</v>
      </c>
      <c r="O228">
        <f t="shared" ca="1" si="207"/>
        <v>116.09677240730505</v>
      </c>
      <c r="P228">
        <f t="shared" ca="1" si="207"/>
        <v>115.96235547156805</v>
      </c>
      <c r="Q228">
        <f t="shared" ca="1" si="184"/>
        <v>121.32006523689815</v>
      </c>
      <c r="R228">
        <f t="shared" ca="1" si="185"/>
        <v>0</v>
      </c>
      <c r="S228">
        <f t="shared" ca="1" si="186"/>
        <v>0</v>
      </c>
    </row>
    <row r="229" spans="5:19" x14ac:dyDescent="0.75">
      <c r="E229">
        <v>224</v>
      </c>
      <c r="F229">
        <f t="shared" si="182"/>
        <v>100</v>
      </c>
      <c r="G229">
        <f t="shared" ca="1" si="183"/>
        <v>91.893528796060991</v>
      </c>
      <c r="H229">
        <f t="shared" ca="1" si="183"/>
        <v>87.821711208775923</v>
      </c>
      <c r="I229">
        <f t="shared" ca="1" si="183"/>
        <v>89.129606286906593</v>
      </c>
      <c r="J229">
        <f t="shared" ref="J229:P229" ca="1" si="208">I229*EXP(($C$6-0.5*$C$7^2)*$C$12+$C$7*SQRT($C$12)*NORMINV(RAND(),0,1))</f>
        <v>91.050605276819496</v>
      </c>
      <c r="K229">
        <f t="shared" ca="1" si="208"/>
        <v>99.607675003947932</v>
      </c>
      <c r="L229">
        <f t="shared" ca="1" si="208"/>
        <v>103.15161359382542</v>
      </c>
      <c r="M229">
        <f t="shared" ca="1" si="208"/>
        <v>95.016593888032176</v>
      </c>
      <c r="N229">
        <f t="shared" ca="1" si="208"/>
        <v>98.223253967580732</v>
      </c>
      <c r="O229">
        <f t="shared" ca="1" si="208"/>
        <v>90.216552557955012</v>
      </c>
      <c r="P229">
        <f t="shared" ca="1" si="208"/>
        <v>94.504622730334503</v>
      </c>
      <c r="Q229">
        <f t="shared" ca="1" si="184"/>
        <v>103.15161359382542</v>
      </c>
      <c r="R229">
        <f t="shared" ca="1" si="185"/>
        <v>0</v>
      </c>
      <c r="S229">
        <f t="shared" ca="1" si="186"/>
        <v>0</v>
      </c>
    </row>
    <row r="230" spans="5:19" x14ac:dyDescent="0.75">
      <c r="E230">
        <v>225</v>
      </c>
      <c r="F230">
        <f t="shared" si="182"/>
        <v>100</v>
      </c>
      <c r="G230">
        <f t="shared" ca="1" si="183"/>
        <v>104.81112687916394</v>
      </c>
      <c r="H230">
        <f t="shared" ca="1" si="183"/>
        <v>105.31404250570523</v>
      </c>
      <c r="I230">
        <f t="shared" ca="1" si="183"/>
        <v>103.26114761628374</v>
      </c>
      <c r="J230">
        <f t="shared" ref="J230:P230" ca="1" si="209">I230*EXP(($C$6-0.5*$C$7^2)*$C$12+$C$7*SQRT($C$12)*NORMINV(RAND(),0,1))</f>
        <v>98.781836467218355</v>
      </c>
      <c r="K230">
        <f t="shared" ca="1" si="209"/>
        <v>100.63627396183216</v>
      </c>
      <c r="L230">
        <f t="shared" ca="1" si="209"/>
        <v>104.124061413359</v>
      </c>
      <c r="M230">
        <f t="shared" ca="1" si="209"/>
        <v>99.465713189286035</v>
      </c>
      <c r="N230">
        <f t="shared" ca="1" si="209"/>
        <v>104.40093323040668</v>
      </c>
      <c r="O230">
        <f t="shared" ca="1" si="209"/>
        <v>96.257776704685199</v>
      </c>
      <c r="P230">
        <f t="shared" ca="1" si="209"/>
        <v>91.149190448772316</v>
      </c>
      <c r="Q230">
        <f t="shared" ca="1" si="184"/>
        <v>105.31404250570523</v>
      </c>
      <c r="R230">
        <f t="shared" ca="1" si="185"/>
        <v>0</v>
      </c>
      <c r="S230">
        <f t="shared" ca="1" si="186"/>
        <v>0</v>
      </c>
    </row>
    <row r="231" spans="5:19" x14ac:dyDescent="0.75">
      <c r="E231">
        <v>226</v>
      </c>
      <c r="F231">
        <f t="shared" si="182"/>
        <v>100</v>
      </c>
      <c r="G231">
        <f t="shared" ca="1" si="183"/>
        <v>89.593434734690049</v>
      </c>
      <c r="H231">
        <f t="shared" ca="1" si="183"/>
        <v>90.37293278885987</v>
      </c>
      <c r="I231">
        <f t="shared" ca="1" si="183"/>
        <v>91.734837709806683</v>
      </c>
      <c r="J231">
        <f t="shared" ref="J231:P231" ca="1" si="210">I231*EXP(($C$6-0.5*$C$7^2)*$C$12+$C$7*SQRT($C$12)*NORMINV(RAND(),0,1))</f>
        <v>87.615408941824214</v>
      </c>
      <c r="K231">
        <f t="shared" ca="1" si="210"/>
        <v>92.177306588778322</v>
      </c>
      <c r="L231">
        <f t="shared" ca="1" si="210"/>
        <v>90.150673263340863</v>
      </c>
      <c r="M231">
        <f t="shared" ca="1" si="210"/>
        <v>86.939506682204055</v>
      </c>
      <c r="N231">
        <f t="shared" ca="1" si="210"/>
        <v>87.397303871432996</v>
      </c>
      <c r="O231">
        <f t="shared" ca="1" si="210"/>
        <v>87.760074937432563</v>
      </c>
      <c r="P231">
        <f t="shared" ca="1" si="210"/>
        <v>92.726280513358574</v>
      </c>
      <c r="Q231">
        <f t="shared" ca="1" si="184"/>
        <v>92.726280513358574</v>
      </c>
      <c r="R231">
        <f t="shared" ca="1" si="185"/>
        <v>0</v>
      </c>
      <c r="S231">
        <f t="shared" ca="1" si="186"/>
        <v>0</v>
      </c>
    </row>
    <row r="232" spans="5:19" x14ac:dyDescent="0.75">
      <c r="E232">
        <v>227</v>
      </c>
      <c r="F232">
        <f t="shared" si="182"/>
        <v>100</v>
      </c>
      <c r="G232">
        <f t="shared" ca="1" si="183"/>
        <v>98.778235939172021</v>
      </c>
      <c r="H232">
        <f t="shared" ca="1" si="183"/>
        <v>94.551725502218076</v>
      </c>
      <c r="I232">
        <f t="shared" ca="1" si="183"/>
        <v>90.494695035726309</v>
      </c>
      <c r="J232">
        <f t="shared" ref="J232:P232" ca="1" si="211">I232*EXP(($C$6-0.5*$C$7^2)*$C$12+$C$7*SQRT($C$12)*NORMINV(RAND(),0,1))</f>
        <v>95.961365226935129</v>
      </c>
      <c r="K232">
        <f t="shared" ca="1" si="211"/>
        <v>86.714075377680999</v>
      </c>
      <c r="L232">
        <f t="shared" ca="1" si="211"/>
        <v>78.991365085070385</v>
      </c>
      <c r="M232">
        <f t="shared" ca="1" si="211"/>
        <v>77.974755252490795</v>
      </c>
      <c r="N232">
        <f t="shared" ca="1" si="211"/>
        <v>84.80538984174035</v>
      </c>
      <c r="O232">
        <f t="shared" ca="1" si="211"/>
        <v>78.256588027100122</v>
      </c>
      <c r="P232">
        <f t="shared" ca="1" si="211"/>
        <v>75.931961956184594</v>
      </c>
      <c r="Q232">
        <f t="shared" ca="1" si="184"/>
        <v>98.778235939172021</v>
      </c>
      <c r="R232">
        <f t="shared" ca="1" si="185"/>
        <v>0</v>
      </c>
      <c r="S232">
        <f t="shared" ca="1" si="186"/>
        <v>0</v>
      </c>
    </row>
    <row r="233" spans="5:19" x14ac:dyDescent="0.75">
      <c r="E233">
        <v>228</v>
      </c>
      <c r="F233">
        <f t="shared" si="182"/>
        <v>100</v>
      </c>
      <c r="G233">
        <f t="shared" ca="1" si="183"/>
        <v>105.06278837528393</v>
      </c>
      <c r="H233">
        <f t="shared" ca="1" si="183"/>
        <v>108.65641447831437</v>
      </c>
      <c r="I233">
        <f t="shared" ca="1" si="183"/>
        <v>106.42439383411346</v>
      </c>
      <c r="J233">
        <f t="shared" ref="J233:P233" ca="1" si="212">I233*EXP(($C$6-0.5*$C$7^2)*$C$12+$C$7*SQRT($C$12)*NORMINV(RAND(),0,1))</f>
        <v>111.95598886105499</v>
      </c>
      <c r="K233">
        <f t="shared" ca="1" si="212"/>
        <v>113.75966037101023</v>
      </c>
      <c r="L233">
        <f t="shared" ca="1" si="212"/>
        <v>120.62331809556619</v>
      </c>
      <c r="M233">
        <f t="shared" ca="1" si="212"/>
        <v>111.96558329178502</v>
      </c>
      <c r="N233">
        <f t="shared" ca="1" si="212"/>
        <v>112.67356408160383</v>
      </c>
      <c r="O233">
        <f t="shared" ca="1" si="212"/>
        <v>114.11031474209547</v>
      </c>
      <c r="P233">
        <f t="shared" ca="1" si="212"/>
        <v>119.13936051856065</v>
      </c>
      <c r="Q233">
        <f t="shared" ca="1" si="184"/>
        <v>120.62331809556619</v>
      </c>
      <c r="R233">
        <f t="shared" ca="1" si="185"/>
        <v>0</v>
      </c>
      <c r="S233">
        <f t="shared" ca="1" si="186"/>
        <v>0</v>
      </c>
    </row>
    <row r="234" spans="5:19" x14ac:dyDescent="0.75">
      <c r="E234">
        <v>229</v>
      </c>
      <c r="F234">
        <f t="shared" si="182"/>
        <v>100</v>
      </c>
      <c r="G234">
        <f t="shared" ca="1" si="183"/>
        <v>106.32272186014143</v>
      </c>
      <c r="H234">
        <f t="shared" ca="1" si="183"/>
        <v>114.91951391072253</v>
      </c>
      <c r="I234">
        <f t="shared" ca="1" si="183"/>
        <v>115.73394394893802</v>
      </c>
      <c r="J234">
        <f t="shared" ref="J234:P234" ca="1" si="213">I234*EXP(($C$6-0.5*$C$7^2)*$C$12+$C$7*SQRT($C$12)*NORMINV(RAND(),0,1))</f>
        <v>119.40247838726184</v>
      </c>
      <c r="K234">
        <f t="shared" ca="1" si="213"/>
        <v>123.38062519201647</v>
      </c>
      <c r="L234">
        <f t="shared" ca="1" si="213"/>
        <v>129.08508306220565</v>
      </c>
      <c r="M234">
        <f t="shared" ca="1" si="213"/>
        <v>133.49264434162222</v>
      </c>
      <c r="N234">
        <f t="shared" ca="1" si="213"/>
        <v>136.00919775724847</v>
      </c>
      <c r="O234">
        <f t="shared" ca="1" si="213"/>
        <v>135.81274033338127</v>
      </c>
      <c r="P234">
        <f t="shared" ca="1" si="213"/>
        <v>132.37430940921917</v>
      </c>
      <c r="Q234">
        <f t="shared" ca="1" si="184"/>
        <v>136.00919775724847</v>
      </c>
      <c r="R234">
        <f t="shared" ca="1" si="185"/>
        <v>0</v>
      </c>
      <c r="S234">
        <f t="shared" ca="1" si="186"/>
        <v>0</v>
      </c>
    </row>
    <row r="235" spans="5:19" x14ac:dyDescent="0.75">
      <c r="E235">
        <v>230</v>
      </c>
      <c r="F235">
        <f t="shared" si="182"/>
        <v>100</v>
      </c>
      <c r="G235">
        <f t="shared" ca="1" si="183"/>
        <v>99.868845187413314</v>
      </c>
      <c r="H235">
        <f t="shared" ca="1" si="183"/>
        <v>106.12826211187281</v>
      </c>
      <c r="I235">
        <f t="shared" ca="1" si="183"/>
        <v>104.75169628979179</v>
      </c>
      <c r="J235">
        <f t="shared" ref="J235:P235" ca="1" si="214">I235*EXP(($C$6-0.5*$C$7^2)*$C$12+$C$7*SQRT($C$12)*NORMINV(RAND(),0,1))</f>
        <v>105.40907818955822</v>
      </c>
      <c r="K235">
        <f t="shared" ca="1" si="214"/>
        <v>99.363378632274049</v>
      </c>
      <c r="L235">
        <f t="shared" ca="1" si="214"/>
        <v>98.960543768686364</v>
      </c>
      <c r="M235">
        <f t="shared" ca="1" si="214"/>
        <v>96.57311102367629</v>
      </c>
      <c r="N235">
        <f t="shared" ca="1" si="214"/>
        <v>92.768136486173475</v>
      </c>
      <c r="O235">
        <f t="shared" ca="1" si="214"/>
        <v>101.86870631458203</v>
      </c>
      <c r="P235">
        <f t="shared" ca="1" si="214"/>
        <v>100.41710143096022</v>
      </c>
      <c r="Q235">
        <f t="shared" ca="1" si="184"/>
        <v>106.12826211187281</v>
      </c>
      <c r="R235">
        <f t="shared" ca="1" si="185"/>
        <v>0</v>
      </c>
      <c r="S235">
        <f t="shared" ca="1" si="186"/>
        <v>0</v>
      </c>
    </row>
    <row r="236" spans="5:19" x14ac:dyDescent="0.75">
      <c r="E236">
        <v>231</v>
      </c>
      <c r="F236">
        <f t="shared" si="182"/>
        <v>100</v>
      </c>
      <c r="G236">
        <f t="shared" ca="1" si="183"/>
        <v>97.845408664792231</v>
      </c>
      <c r="H236">
        <f t="shared" ca="1" si="183"/>
        <v>97.63037800562266</v>
      </c>
      <c r="I236">
        <f t="shared" ca="1" si="183"/>
        <v>94.07360929862088</v>
      </c>
      <c r="J236">
        <f t="shared" ref="J236:P236" ca="1" si="215">I236*EXP(($C$6-0.5*$C$7^2)*$C$12+$C$7*SQRT($C$12)*NORMINV(RAND(),0,1))</f>
        <v>95.480525434477229</v>
      </c>
      <c r="K236">
        <f t="shared" ca="1" si="215"/>
        <v>94.507813533211447</v>
      </c>
      <c r="L236">
        <f t="shared" ca="1" si="215"/>
        <v>94.676702181849279</v>
      </c>
      <c r="M236">
        <f t="shared" ca="1" si="215"/>
        <v>105.08557357411073</v>
      </c>
      <c r="N236">
        <f t="shared" ca="1" si="215"/>
        <v>106.83992641103822</v>
      </c>
      <c r="O236">
        <f t="shared" ca="1" si="215"/>
        <v>101.17804336406618</v>
      </c>
      <c r="P236">
        <f t="shared" ca="1" si="215"/>
        <v>93.824590554630007</v>
      </c>
      <c r="Q236">
        <f t="shared" ca="1" si="184"/>
        <v>106.83992641103822</v>
      </c>
      <c r="R236">
        <f t="shared" ca="1" si="185"/>
        <v>0</v>
      </c>
      <c r="S236">
        <f t="shared" ca="1" si="186"/>
        <v>0</v>
      </c>
    </row>
    <row r="237" spans="5:19" x14ac:dyDescent="0.75">
      <c r="E237">
        <v>232</v>
      </c>
      <c r="F237">
        <f t="shared" si="182"/>
        <v>100</v>
      </c>
      <c r="G237">
        <f t="shared" ca="1" si="183"/>
        <v>98.504953338512735</v>
      </c>
      <c r="H237">
        <f t="shared" ca="1" si="183"/>
        <v>99.337980659150475</v>
      </c>
      <c r="I237">
        <f t="shared" ca="1" si="183"/>
        <v>92.803849071125967</v>
      </c>
      <c r="J237">
        <f t="shared" ref="J237:P237" ca="1" si="216">I237*EXP(($C$6-0.5*$C$7^2)*$C$12+$C$7*SQRT($C$12)*NORMINV(RAND(),0,1))</f>
        <v>90.587678519389357</v>
      </c>
      <c r="K237">
        <f t="shared" ca="1" si="216"/>
        <v>92.358253447479441</v>
      </c>
      <c r="L237">
        <f t="shared" ca="1" si="216"/>
        <v>96.657544706262712</v>
      </c>
      <c r="M237">
        <f t="shared" ca="1" si="216"/>
        <v>98.553180837875971</v>
      </c>
      <c r="N237">
        <f t="shared" ca="1" si="216"/>
        <v>97.797324455779162</v>
      </c>
      <c r="O237">
        <f t="shared" ca="1" si="216"/>
        <v>95.733698179965685</v>
      </c>
      <c r="P237">
        <f t="shared" ca="1" si="216"/>
        <v>95.184340107238341</v>
      </c>
      <c r="Q237">
        <f t="shared" ca="1" si="184"/>
        <v>99.337980659150475</v>
      </c>
      <c r="R237">
        <f t="shared" ca="1" si="185"/>
        <v>0</v>
      </c>
      <c r="S237">
        <f t="shared" ca="1" si="186"/>
        <v>0</v>
      </c>
    </row>
    <row r="238" spans="5:19" x14ac:dyDescent="0.75">
      <c r="E238">
        <v>233</v>
      </c>
      <c r="F238">
        <f t="shared" si="182"/>
        <v>100</v>
      </c>
      <c r="G238">
        <f t="shared" ca="1" si="183"/>
        <v>100.41099837368354</v>
      </c>
      <c r="H238">
        <f t="shared" ca="1" si="183"/>
        <v>97.293581650614826</v>
      </c>
      <c r="I238">
        <f t="shared" ca="1" si="183"/>
        <v>95.746663792265892</v>
      </c>
      <c r="J238">
        <f t="shared" ref="J238:P238" ca="1" si="217">I238*EXP(($C$6-0.5*$C$7^2)*$C$12+$C$7*SQRT($C$12)*NORMINV(RAND(),0,1))</f>
        <v>97.427624947876481</v>
      </c>
      <c r="K238">
        <f t="shared" ca="1" si="217"/>
        <v>92.631539420757278</v>
      </c>
      <c r="L238">
        <f t="shared" ca="1" si="217"/>
        <v>97.623216303489713</v>
      </c>
      <c r="M238">
        <f t="shared" ca="1" si="217"/>
        <v>100.80265676473974</v>
      </c>
      <c r="N238">
        <f t="shared" ca="1" si="217"/>
        <v>103.61046490133394</v>
      </c>
      <c r="O238">
        <f t="shared" ca="1" si="217"/>
        <v>103.21992176726343</v>
      </c>
      <c r="P238">
        <f t="shared" ca="1" si="217"/>
        <v>106.52865227934522</v>
      </c>
      <c r="Q238">
        <f t="shared" ca="1" si="184"/>
        <v>106.52865227934522</v>
      </c>
      <c r="R238">
        <f t="shared" ca="1" si="185"/>
        <v>4.5286522793452235</v>
      </c>
      <c r="S238">
        <f t="shared" ca="1" si="186"/>
        <v>4.4168394561750981</v>
      </c>
    </row>
    <row r="239" spans="5:19" x14ac:dyDescent="0.75">
      <c r="E239">
        <v>234</v>
      </c>
      <c r="F239">
        <f t="shared" si="182"/>
        <v>100</v>
      </c>
      <c r="G239">
        <f t="shared" ca="1" si="183"/>
        <v>107.85089305059302</v>
      </c>
      <c r="H239">
        <f t="shared" ca="1" si="183"/>
        <v>106.91716030851352</v>
      </c>
      <c r="I239">
        <f t="shared" ca="1" si="183"/>
        <v>104.67539346551703</v>
      </c>
      <c r="J239">
        <f t="shared" ref="J239:P239" ca="1" si="218">I239*EXP(($C$6-0.5*$C$7^2)*$C$12+$C$7*SQRT($C$12)*NORMINV(RAND(),0,1))</f>
        <v>108.17278994985062</v>
      </c>
      <c r="K239">
        <f t="shared" ca="1" si="218"/>
        <v>106.76993786704394</v>
      </c>
      <c r="L239">
        <f t="shared" ca="1" si="218"/>
        <v>117.74118901032207</v>
      </c>
      <c r="M239">
        <f t="shared" ca="1" si="218"/>
        <v>119.48348503231004</v>
      </c>
      <c r="N239">
        <f t="shared" ca="1" si="218"/>
        <v>107.02526118943814</v>
      </c>
      <c r="O239">
        <f t="shared" ca="1" si="218"/>
        <v>98.072227736439032</v>
      </c>
      <c r="P239">
        <f t="shared" ca="1" si="218"/>
        <v>95.850588028411849</v>
      </c>
      <c r="Q239">
        <f t="shared" ca="1" si="184"/>
        <v>119.48348503231004</v>
      </c>
      <c r="R239">
        <f t="shared" ca="1" si="185"/>
        <v>0</v>
      </c>
      <c r="S239">
        <f t="shared" ca="1" si="186"/>
        <v>0</v>
      </c>
    </row>
    <row r="240" spans="5:19" x14ac:dyDescent="0.75">
      <c r="E240">
        <v>235</v>
      </c>
      <c r="F240">
        <f t="shared" si="182"/>
        <v>100</v>
      </c>
      <c r="G240">
        <f t="shared" ca="1" si="183"/>
        <v>95.622915404020588</v>
      </c>
      <c r="H240">
        <f t="shared" ca="1" si="183"/>
        <v>96.075170498144971</v>
      </c>
      <c r="I240">
        <f t="shared" ca="1" si="183"/>
        <v>93.677925888727003</v>
      </c>
      <c r="J240">
        <f t="shared" ref="J240:P240" ca="1" si="219">I240*EXP(($C$6-0.5*$C$7^2)*$C$12+$C$7*SQRT($C$12)*NORMINV(RAND(),0,1))</f>
        <v>95.352376542800556</v>
      </c>
      <c r="K240">
        <f t="shared" ca="1" si="219"/>
        <v>98.397663435221489</v>
      </c>
      <c r="L240">
        <f t="shared" ca="1" si="219"/>
        <v>99.029233515871098</v>
      </c>
      <c r="M240">
        <f t="shared" ca="1" si="219"/>
        <v>102.82882143857321</v>
      </c>
      <c r="N240">
        <f t="shared" ca="1" si="219"/>
        <v>105.33327244193605</v>
      </c>
      <c r="O240">
        <f t="shared" ca="1" si="219"/>
        <v>97.027604928717523</v>
      </c>
      <c r="P240">
        <f t="shared" ca="1" si="219"/>
        <v>101.92955066172055</v>
      </c>
      <c r="Q240">
        <f t="shared" ca="1" si="184"/>
        <v>105.33327244193605</v>
      </c>
      <c r="R240">
        <f t="shared" ca="1" si="185"/>
        <v>0</v>
      </c>
      <c r="S240">
        <f t="shared" ca="1" si="186"/>
        <v>0</v>
      </c>
    </row>
    <row r="241" spans="5:19" x14ac:dyDescent="0.75">
      <c r="E241">
        <v>236</v>
      </c>
      <c r="F241">
        <f t="shared" si="182"/>
        <v>100</v>
      </c>
      <c r="G241">
        <f t="shared" ca="1" si="183"/>
        <v>100.1172993671662</v>
      </c>
      <c r="H241">
        <f t="shared" ca="1" si="183"/>
        <v>93.380249853256259</v>
      </c>
      <c r="I241">
        <f t="shared" ca="1" si="183"/>
        <v>96.485035586958844</v>
      </c>
      <c r="J241">
        <f t="shared" ref="J241:P241" ca="1" si="220">I241*EXP(($C$6-0.5*$C$7^2)*$C$12+$C$7*SQRT($C$12)*NORMINV(RAND(),0,1))</f>
        <v>97.064782908523256</v>
      </c>
      <c r="K241">
        <f t="shared" ca="1" si="220"/>
        <v>99.392795801935009</v>
      </c>
      <c r="L241">
        <f t="shared" ca="1" si="220"/>
        <v>96.739491151956031</v>
      </c>
      <c r="M241">
        <f t="shared" ca="1" si="220"/>
        <v>100.53326345533215</v>
      </c>
      <c r="N241">
        <f t="shared" ca="1" si="220"/>
        <v>101.00625194092765</v>
      </c>
      <c r="O241">
        <f t="shared" ca="1" si="220"/>
        <v>101.46735197531309</v>
      </c>
      <c r="P241">
        <f t="shared" ca="1" si="220"/>
        <v>103.77972669284478</v>
      </c>
      <c r="Q241">
        <f t="shared" ca="1" si="184"/>
        <v>103.77972669284478</v>
      </c>
      <c r="R241">
        <f t="shared" ca="1" si="185"/>
        <v>1.7797266928447755</v>
      </c>
      <c r="S241">
        <f t="shared" ca="1" si="186"/>
        <v>1.7357850842329132</v>
      </c>
    </row>
    <row r="242" spans="5:19" x14ac:dyDescent="0.75">
      <c r="E242">
        <v>237</v>
      </c>
      <c r="F242">
        <f t="shared" si="182"/>
        <v>100</v>
      </c>
      <c r="G242">
        <f t="shared" ca="1" si="183"/>
        <v>89.250285494735408</v>
      </c>
      <c r="H242">
        <f t="shared" ca="1" si="183"/>
        <v>91.740695597128251</v>
      </c>
      <c r="I242">
        <f t="shared" ca="1" si="183"/>
        <v>84.072599701568919</v>
      </c>
      <c r="J242">
        <f t="shared" ref="J242:P242" ca="1" si="221">I242*EXP(($C$6-0.5*$C$7^2)*$C$12+$C$7*SQRT($C$12)*NORMINV(RAND(),0,1))</f>
        <v>78.657643786238651</v>
      </c>
      <c r="K242">
        <f t="shared" ca="1" si="221"/>
        <v>77.544434607085392</v>
      </c>
      <c r="L242">
        <f t="shared" ca="1" si="221"/>
        <v>77.572120669080903</v>
      </c>
      <c r="M242">
        <f t="shared" ca="1" si="221"/>
        <v>79.08297723178012</v>
      </c>
      <c r="N242">
        <f t="shared" ca="1" si="221"/>
        <v>81.299711257652731</v>
      </c>
      <c r="O242">
        <f t="shared" ca="1" si="221"/>
        <v>78.689226191433193</v>
      </c>
      <c r="P242">
        <f t="shared" ca="1" si="221"/>
        <v>72.066758213917979</v>
      </c>
      <c r="Q242">
        <f t="shared" ca="1" si="184"/>
        <v>91.740695597128251</v>
      </c>
      <c r="R242">
        <f t="shared" ca="1" si="185"/>
        <v>0</v>
      </c>
      <c r="S242">
        <f t="shared" ca="1" si="186"/>
        <v>0</v>
      </c>
    </row>
    <row r="243" spans="5:19" x14ac:dyDescent="0.75">
      <c r="E243">
        <v>238</v>
      </c>
      <c r="F243">
        <f t="shared" si="182"/>
        <v>100</v>
      </c>
      <c r="G243">
        <f t="shared" ca="1" si="183"/>
        <v>105.05405793773348</v>
      </c>
      <c r="H243">
        <f t="shared" ca="1" si="183"/>
        <v>103.18948577340826</v>
      </c>
      <c r="I243">
        <f t="shared" ca="1" si="183"/>
        <v>104.18719850799881</v>
      </c>
      <c r="J243">
        <f t="shared" ref="J243:P243" ca="1" si="222">I243*EXP(($C$6-0.5*$C$7^2)*$C$12+$C$7*SQRT($C$12)*NORMINV(RAND(),0,1))</f>
        <v>102.14515355202508</v>
      </c>
      <c r="K243">
        <f t="shared" ca="1" si="222"/>
        <v>101.48936783690228</v>
      </c>
      <c r="L243">
        <f t="shared" ca="1" si="222"/>
        <v>99.581180159958393</v>
      </c>
      <c r="M243">
        <f t="shared" ca="1" si="222"/>
        <v>91.387926081056179</v>
      </c>
      <c r="N243">
        <f t="shared" ca="1" si="222"/>
        <v>102.88646457287938</v>
      </c>
      <c r="O243">
        <f t="shared" ca="1" si="222"/>
        <v>94.447186387666889</v>
      </c>
      <c r="P243">
        <f t="shared" ca="1" si="222"/>
        <v>103.99896592664082</v>
      </c>
      <c r="Q243">
        <f t="shared" ca="1" si="184"/>
        <v>105.05405793773348</v>
      </c>
      <c r="R243">
        <f t="shared" ca="1" si="185"/>
        <v>1.9989659266408211</v>
      </c>
      <c r="S243">
        <f t="shared" ca="1" si="186"/>
        <v>1.9496112820596936</v>
      </c>
    </row>
    <row r="244" spans="5:19" x14ac:dyDescent="0.75">
      <c r="E244">
        <v>239</v>
      </c>
      <c r="F244">
        <f t="shared" si="182"/>
        <v>100</v>
      </c>
      <c r="G244">
        <f t="shared" ca="1" si="183"/>
        <v>107.5815107205337</v>
      </c>
      <c r="H244">
        <f t="shared" ca="1" si="183"/>
        <v>103.98221482494355</v>
      </c>
      <c r="I244">
        <f t="shared" ca="1" si="183"/>
        <v>104.05270677211237</v>
      </c>
      <c r="J244">
        <f t="shared" ref="J244:P244" ca="1" si="223">I244*EXP(($C$6-0.5*$C$7^2)*$C$12+$C$7*SQRT($C$12)*NORMINV(RAND(),0,1))</f>
        <v>101.32174908198894</v>
      </c>
      <c r="K244">
        <f t="shared" ca="1" si="223"/>
        <v>98.659156856950773</v>
      </c>
      <c r="L244">
        <f t="shared" ca="1" si="223"/>
        <v>96.784258466914849</v>
      </c>
      <c r="M244">
        <f t="shared" ca="1" si="223"/>
        <v>94.818930200530744</v>
      </c>
      <c r="N244">
        <f t="shared" ca="1" si="223"/>
        <v>93.043978489273769</v>
      </c>
      <c r="O244">
        <f t="shared" ca="1" si="223"/>
        <v>101.00902001422727</v>
      </c>
      <c r="P244">
        <f t="shared" ca="1" si="223"/>
        <v>98.615100178664065</v>
      </c>
      <c r="Q244">
        <f t="shared" ca="1" si="184"/>
        <v>107.5815107205337</v>
      </c>
      <c r="R244">
        <f t="shared" ca="1" si="185"/>
        <v>0</v>
      </c>
      <c r="S244">
        <f t="shared" ca="1" si="186"/>
        <v>0</v>
      </c>
    </row>
    <row r="245" spans="5:19" x14ac:dyDescent="0.75">
      <c r="E245">
        <v>240</v>
      </c>
      <c r="F245">
        <f t="shared" si="182"/>
        <v>100</v>
      </c>
      <c r="G245">
        <f t="shared" ca="1" si="183"/>
        <v>101.81267803032041</v>
      </c>
      <c r="H245">
        <f t="shared" ca="1" si="183"/>
        <v>108.06981329712634</v>
      </c>
      <c r="I245">
        <f t="shared" ca="1" si="183"/>
        <v>96.554561203778476</v>
      </c>
      <c r="J245">
        <f t="shared" ref="J245:P245" ca="1" si="224">I245*EXP(($C$6-0.5*$C$7^2)*$C$12+$C$7*SQRT($C$12)*NORMINV(RAND(),0,1))</f>
        <v>99.368421201540741</v>
      </c>
      <c r="K245">
        <f t="shared" ca="1" si="224"/>
        <v>99.009177257077482</v>
      </c>
      <c r="L245">
        <f t="shared" ca="1" si="224"/>
        <v>96.416477276216412</v>
      </c>
      <c r="M245">
        <f t="shared" ca="1" si="224"/>
        <v>103.70875289864816</v>
      </c>
      <c r="N245">
        <f t="shared" ca="1" si="224"/>
        <v>102.74483322577971</v>
      </c>
      <c r="O245">
        <f t="shared" ca="1" si="224"/>
        <v>107.40167951883001</v>
      </c>
      <c r="P245">
        <f t="shared" ca="1" si="224"/>
        <v>107.31572537608216</v>
      </c>
      <c r="Q245">
        <f t="shared" ca="1" si="184"/>
        <v>108.06981329712634</v>
      </c>
      <c r="R245">
        <f t="shared" ca="1" si="185"/>
        <v>5.3157253760821561</v>
      </c>
      <c r="S245">
        <f t="shared" ca="1" si="186"/>
        <v>5.184479648913463</v>
      </c>
    </row>
    <row r="246" spans="5:19" x14ac:dyDescent="0.75">
      <c r="E246">
        <v>241</v>
      </c>
      <c r="F246">
        <f t="shared" si="182"/>
        <v>100</v>
      </c>
      <c r="G246">
        <f t="shared" ca="1" si="183"/>
        <v>100.31892769021403</v>
      </c>
      <c r="H246">
        <f t="shared" ca="1" si="183"/>
        <v>98.987559617183805</v>
      </c>
      <c r="I246">
        <f t="shared" ca="1" si="183"/>
        <v>102.4068506406239</v>
      </c>
      <c r="J246">
        <f t="shared" ref="J246:P246" ca="1" si="225">I246*EXP(($C$6-0.5*$C$7^2)*$C$12+$C$7*SQRT($C$12)*NORMINV(RAND(),0,1))</f>
        <v>99.439587075318329</v>
      </c>
      <c r="K246">
        <f t="shared" ca="1" si="225"/>
        <v>96.777573821309744</v>
      </c>
      <c r="L246">
        <f t="shared" ca="1" si="225"/>
        <v>100.76167954535285</v>
      </c>
      <c r="M246">
        <f t="shared" ca="1" si="225"/>
        <v>103.62861038883807</v>
      </c>
      <c r="N246">
        <f t="shared" ca="1" si="225"/>
        <v>102.13232653725345</v>
      </c>
      <c r="O246">
        <f t="shared" ca="1" si="225"/>
        <v>111.85890734971619</v>
      </c>
      <c r="P246">
        <f t="shared" ca="1" si="225"/>
        <v>106.06211724760557</v>
      </c>
      <c r="Q246">
        <f t="shared" ca="1" si="184"/>
        <v>111.85890734971619</v>
      </c>
      <c r="R246">
        <f t="shared" ca="1" si="185"/>
        <v>0</v>
      </c>
      <c r="S246">
        <f t="shared" ca="1" si="186"/>
        <v>0</v>
      </c>
    </row>
    <row r="247" spans="5:19" x14ac:dyDescent="0.75">
      <c r="E247">
        <v>242</v>
      </c>
      <c r="F247">
        <f t="shared" si="182"/>
        <v>100</v>
      </c>
      <c r="G247">
        <f t="shared" ca="1" si="183"/>
        <v>99.213061967694969</v>
      </c>
      <c r="H247">
        <f t="shared" ca="1" si="183"/>
        <v>108.61790448835755</v>
      </c>
      <c r="I247">
        <f t="shared" ca="1" si="183"/>
        <v>98.97283941233195</v>
      </c>
      <c r="J247">
        <f t="shared" ref="J247:P247" ca="1" si="226">I247*EXP(($C$6-0.5*$C$7^2)*$C$12+$C$7*SQRT($C$12)*NORMINV(RAND(),0,1))</f>
        <v>98.616212215920115</v>
      </c>
      <c r="K247">
        <f t="shared" ca="1" si="226"/>
        <v>95.59868378822307</v>
      </c>
      <c r="L247">
        <f t="shared" ca="1" si="226"/>
        <v>89.415956448575528</v>
      </c>
      <c r="M247">
        <f t="shared" ca="1" si="226"/>
        <v>88.717136225157688</v>
      </c>
      <c r="N247">
        <f t="shared" ca="1" si="226"/>
        <v>86.658238562924495</v>
      </c>
      <c r="O247">
        <f t="shared" ca="1" si="226"/>
        <v>83.828984044832325</v>
      </c>
      <c r="P247">
        <f t="shared" ca="1" si="226"/>
        <v>81.938401642813176</v>
      </c>
      <c r="Q247">
        <f t="shared" ca="1" si="184"/>
        <v>108.61790448835755</v>
      </c>
      <c r="R247">
        <f t="shared" ca="1" si="185"/>
        <v>0</v>
      </c>
      <c r="S247">
        <f t="shared" ca="1" si="186"/>
        <v>0</v>
      </c>
    </row>
    <row r="248" spans="5:19" x14ac:dyDescent="0.75">
      <c r="E248">
        <v>243</v>
      </c>
      <c r="F248">
        <f t="shared" si="182"/>
        <v>100</v>
      </c>
      <c r="G248">
        <f t="shared" ca="1" si="183"/>
        <v>96.33542019016862</v>
      </c>
      <c r="H248">
        <f t="shared" ca="1" si="183"/>
        <v>96.662941858130452</v>
      </c>
      <c r="I248">
        <f t="shared" ca="1" si="183"/>
        <v>95.610092686112012</v>
      </c>
      <c r="J248">
        <f t="shared" ref="J248:P248" ca="1" si="227">I248*EXP(($C$6-0.5*$C$7^2)*$C$12+$C$7*SQRT($C$12)*NORMINV(RAND(),0,1))</f>
        <v>97.078537410826925</v>
      </c>
      <c r="K248">
        <f t="shared" ca="1" si="227"/>
        <v>97.761322243300938</v>
      </c>
      <c r="L248">
        <f t="shared" ca="1" si="227"/>
        <v>94.519251775869819</v>
      </c>
      <c r="M248">
        <f t="shared" ca="1" si="227"/>
        <v>104.22033861396402</v>
      </c>
      <c r="N248">
        <f t="shared" ca="1" si="227"/>
        <v>101.00833399543296</v>
      </c>
      <c r="O248">
        <f t="shared" ca="1" si="227"/>
        <v>104.39070166593854</v>
      </c>
      <c r="P248">
        <f t="shared" ca="1" si="227"/>
        <v>108.12641332478</v>
      </c>
      <c r="Q248">
        <f t="shared" ca="1" si="184"/>
        <v>108.12641332478</v>
      </c>
      <c r="R248">
        <f t="shared" ca="1" si="185"/>
        <v>6.1264133247800032</v>
      </c>
      <c r="S248">
        <f t="shared" ca="1" si="186"/>
        <v>5.97515164084039</v>
      </c>
    </row>
    <row r="249" spans="5:19" x14ac:dyDescent="0.75">
      <c r="E249">
        <v>244</v>
      </c>
      <c r="F249">
        <f t="shared" si="182"/>
        <v>100</v>
      </c>
      <c r="G249">
        <f t="shared" ca="1" si="183"/>
        <v>101.77383868197319</v>
      </c>
      <c r="H249">
        <f t="shared" ca="1" si="183"/>
        <v>96.435684010471476</v>
      </c>
      <c r="I249">
        <f t="shared" ca="1" si="183"/>
        <v>92.907179799368279</v>
      </c>
      <c r="J249">
        <f t="shared" ref="J249:P249" ca="1" si="228">I249*EXP(($C$6-0.5*$C$7^2)*$C$12+$C$7*SQRT($C$12)*NORMINV(RAND(),0,1))</f>
        <v>92.413695472926975</v>
      </c>
      <c r="K249">
        <f t="shared" ca="1" si="228"/>
        <v>92.528683083417604</v>
      </c>
      <c r="L249">
        <f t="shared" ca="1" si="228"/>
        <v>94.33067167980785</v>
      </c>
      <c r="M249">
        <f t="shared" ca="1" si="228"/>
        <v>93.014008708418046</v>
      </c>
      <c r="N249">
        <f t="shared" ca="1" si="228"/>
        <v>94.030611250005364</v>
      </c>
      <c r="O249">
        <f t="shared" ca="1" si="228"/>
        <v>97.88690857566219</v>
      </c>
      <c r="P249">
        <f t="shared" ca="1" si="228"/>
        <v>102.87138567132091</v>
      </c>
      <c r="Q249">
        <f t="shared" ca="1" si="184"/>
        <v>102.87138567132091</v>
      </c>
      <c r="R249">
        <f t="shared" ca="1" si="185"/>
        <v>0.87138567132090827</v>
      </c>
      <c r="S249">
        <f t="shared" ca="1" si="186"/>
        <v>0.84987108243874465</v>
      </c>
    </row>
    <row r="250" spans="5:19" x14ac:dyDescent="0.75">
      <c r="E250">
        <v>245</v>
      </c>
      <c r="F250">
        <f t="shared" si="182"/>
        <v>100</v>
      </c>
      <c r="G250">
        <f t="shared" ca="1" si="183"/>
        <v>103.16871926576769</v>
      </c>
      <c r="H250">
        <f t="shared" ca="1" si="183"/>
        <v>99.744691561104531</v>
      </c>
      <c r="I250">
        <f t="shared" ca="1" si="183"/>
        <v>101.79853509230441</v>
      </c>
      <c r="J250">
        <f t="shared" ref="J250:P250" ca="1" si="229">I250*EXP(($C$6-0.5*$C$7^2)*$C$12+$C$7*SQRT($C$12)*NORMINV(RAND(),0,1))</f>
        <v>99.28126199095091</v>
      </c>
      <c r="K250">
        <f t="shared" ca="1" si="229"/>
        <v>96.440199976443722</v>
      </c>
      <c r="L250">
        <f t="shared" ca="1" si="229"/>
        <v>97.894176859787066</v>
      </c>
      <c r="M250">
        <f t="shared" ca="1" si="229"/>
        <v>96.98175449561262</v>
      </c>
      <c r="N250">
        <f t="shared" ca="1" si="229"/>
        <v>95.236087586251031</v>
      </c>
      <c r="O250">
        <f t="shared" ca="1" si="229"/>
        <v>99.842361119243975</v>
      </c>
      <c r="P250">
        <f t="shared" ca="1" si="229"/>
        <v>106.34954622535012</v>
      </c>
      <c r="Q250">
        <f t="shared" ca="1" si="184"/>
        <v>106.34954622535012</v>
      </c>
      <c r="R250">
        <f t="shared" ca="1" si="185"/>
        <v>4.3495462253501245</v>
      </c>
      <c r="S250">
        <f t="shared" ca="1" si="186"/>
        <v>4.2421555464093963</v>
      </c>
    </row>
    <row r="251" spans="5:19" x14ac:dyDescent="0.75">
      <c r="E251">
        <v>246</v>
      </c>
      <c r="F251">
        <f t="shared" si="182"/>
        <v>100</v>
      </c>
      <c r="G251">
        <f t="shared" ca="1" si="183"/>
        <v>101.20017233167711</v>
      </c>
      <c r="H251">
        <f t="shared" ca="1" si="183"/>
        <v>111.42200865520162</v>
      </c>
      <c r="I251">
        <f t="shared" ca="1" si="183"/>
        <v>115.1979826838414</v>
      </c>
      <c r="J251">
        <f t="shared" ref="J251:P251" ca="1" si="230">I251*EXP(($C$6-0.5*$C$7^2)*$C$12+$C$7*SQRT($C$12)*NORMINV(RAND(),0,1))</f>
        <v>111.61015742445525</v>
      </c>
      <c r="K251">
        <f t="shared" ca="1" si="230"/>
        <v>114.42413770019948</v>
      </c>
      <c r="L251">
        <f t="shared" ca="1" si="230"/>
        <v>117.99905458189085</v>
      </c>
      <c r="M251">
        <f t="shared" ca="1" si="230"/>
        <v>117.30174376804979</v>
      </c>
      <c r="N251">
        <f t="shared" ca="1" si="230"/>
        <v>120.24962122287732</v>
      </c>
      <c r="O251">
        <f t="shared" ca="1" si="230"/>
        <v>118.30708605644128</v>
      </c>
      <c r="P251">
        <f t="shared" ca="1" si="230"/>
        <v>119.8194196420819</v>
      </c>
      <c r="Q251">
        <f t="shared" ca="1" si="184"/>
        <v>120.24962122287732</v>
      </c>
      <c r="R251">
        <f t="shared" ca="1" si="185"/>
        <v>0</v>
      </c>
      <c r="S251">
        <f t="shared" ca="1" si="186"/>
        <v>0</v>
      </c>
    </row>
    <row r="252" spans="5:19" x14ac:dyDescent="0.75">
      <c r="E252">
        <v>247</v>
      </c>
      <c r="F252">
        <f t="shared" si="182"/>
        <v>100</v>
      </c>
      <c r="G252">
        <f t="shared" ca="1" si="183"/>
        <v>101.20266063047818</v>
      </c>
      <c r="H252">
        <f t="shared" ca="1" si="183"/>
        <v>98.016446378900767</v>
      </c>
      <c r="I252">
        <f t="shared" ca="1" si="183"/>
        <v>98.261908272245421</v>
      </c>
      <c r="J252">
        <f t="shared" ref="J252:P252" ca="1" si="231">I252*EXP(($C$6-0.5*$C$7^2)*$C$12+$C$7*SQRT($C$12)*NORMINV(RAND(),0,1))</f>
        <v>98.936701658618574</v>
      </c>
      <c r="K252">
        <f t="shared" ca="1" si="231"/>
        <v>89.706602161807922</v>
      </c>
      <c r="L252">
        <f t="shared" ca="1" si="231"/>
        <v>98.396455367035927</v>
      </c>
      <c r="M252">
        <f t="shared" ca="1" si="231"/>
        <v>102.13101985207038</v>
      </c>
      <c r="N252">
        <f t="shared" ca="1" si="231"/>
        <v>95.883078129734173</v>
      </c>
      <c r="O252">
        <f t="shared" ca="1" si="231"/>
        <v>98.02590937862692</v>
      </c>
      <c r="P252">
        <f t="shared" ca="1" si="231"/>
        <v>99.663225923045559</v>
      </c>
      <c r="Q252">
        <f t="shared" ca="1" si="184"/>
        <v>102.13101985207038</v>
      </c>
      <c r="R252">
        <f t="shared" ca="1" si="185"/>
        <v>0</v>
      </c>
      <c r="S252">
        <f t="shared" ca="1" si="186"/>
        <v>0</v>
      </c>
    </row>
    <row r="253" spans="5:19" x14ac:dyDescent="0.75">
      <c r="E253">
        <v>248</v>
      </c>
      <c r="F253">
        <f t="shared" si="182"/>
        <v>100</v>
      </c>
      <c r="G253">
        <f t="shared" ca="1" si="183"/>
        <v>106.36136062229164</v>
      </c>
      <c r="H253">
        <f t="shared" ca="1" si="183"/>
        <v>101.53760103056958</v>
      </c>
      <c r="I253">
        <f t="shared" ca="1" si="183"/>
        <v>102.05355036204877</v>
      </c>
      <c r="J253">
        <f t="shared" ref="J253:P253" ca="1" si="232">I253*EXP(($C$6-0.5*$C$7^2)*$C$12+$C$7*SQRT($C$12)*NORMINV(RAND(),0,1))</f>
        <v>104.03786427570229</v>
      </c>
      <c r="K253">
        <f t="shared" ca="1" si="232"/>
        <v>103.93216094139777</v>
      </c>
      <c r="L253">
        <f t="shared" ca="1" si="232"/>
        <v>104.67453551630723</v>
      </c>
      <c r="M253">
        <f t="shared" ca="1" si="232"/>
        <v>98.547172322595785</v>
      </c>
      <c r="N253">
        <f t="shared" ca="1" si="232"/>
        <v>94.113517573900126</v>
      </c>
      <c r="O253">
        <f t="shared" ca="1" si="232"/>
        <v>95.745790443051192</v>
      </c>
      <c r="P253">
        <f t="shared" ca="1" si="232"/>
        <v>105.85482058364005</v>
      </c>
      <c r="Q253">
        <f t="shared" ca="1" si="184"/>
        <v>106.36136062229164</v>
      </c>
      <c r="R253">
        <f t="shared" ca="1" si="185"/>
        <v>3.8548205836400484</v>
      </c>
      <c r="S253">
        <f t="shared" ca="1" si="186"/>
        <v>3.7596447243149815</v>
      </c>
    </row>
    <row r="254" spans="5:19" x14ac:dyDescent="0.75">
      <c r="E254">
        <v>249</v>
      </c>
      <c r="F254">
        <f t="shared" si="182"/>
        <v>100</v>
      </c>
      <c r="G254">
        <f t="shared" ca="1" si="183"/>
        <v>98.643932045840174</v>
      </c>
      <c r="H254">
        <f t="shared" ca="1" si="183"/>
        <v>102.30314303197339</v>
      </c>
      <c r="I254">
        <f t="shared" ca="1" si="183"/>
        <v>104.85363234124772</v>
      </c>
      <c r="J254">
        <f t="shared" ref="J254:P254" ca="1" si="233">I254*EXP(($C$6-0.5*$C$7^2)*$C$12+$C$7*SQRT($C$12)*NORMINV(RAND(),0,1))</f>
        <v>102.97422248540904</v>
      </c>
      <c r="K254">
        <f t="shared" ca="1" si="233"/>
        <v>98.31292418461571</v>
      </c>
      <c r="L254">
        <f t="shared" ca="1" si="233"/>
        <v>101.99777141044326</v>
      </c>
      <c r="M254">
        <f t="shared" ca="1" si="233"/>
        <v>102.59805923237479</v>
      </c>
      <c r="N254">
        <f t="shared" ca="1" si="233"/>
        <v>101.18086668972042</v>
      </c>
      <c r="O254">
        <f t="shared" ca="1" si="233"/>
        <v>106.08396590971265</v>
      </c>
      <c r="P254">
        <f t="shared" ca="1" si="233"/>
        <v>110.05427957771465</v>
      </c>
      <c r="Q254">
        <f t="shared" ca="1" si="184"/>
        <v>110.05427957771465</v>
      </c>
      <c r="R254">
        <f t="shared" ca="1" si="185"/>
        <v>0</v>
      </c>
      <c r="S254">
        <f t="shared" ca="1" si="186"/>
        <v>0</v>
      </c>
    </row>
    <row r="255" spans="5:19" x14ac:dyDescent="0.75">
      <c r="E255">
        <v>250</v>
      </c>
      <c r="F255">
        <f t="shared" si="182"/>
        <v>100</v>
      </c>
      <c r="G255">
        <f t="shared" ca="1" si="183"/>
        <v>99.888692592181698</v>
      </c>
      <c r="H255">
        <f t="shared" ca="1" si="183"/>
        <v>101.11614784962917</v>
      </c>
      <c r="I255">
        <f t="shared" ca="1" si="183"/>
        <v>99.366660451647931</v>
      </c>
      <c r="J255">
        <f t="shared" ref="J255:P255" ca="1" si="234">I255*EXP(($C$6-0.5*$C$7^2)*$C$12+$C$7*SQRT($C$12)*NORMINV(RAND(),0,1))</f>
        <v>99.377451874592765</v>
      </c>
      <c r="K255">
        <f t="shared" ca="1" si="234"/>
        <v>92.89884401384613</v>
      </c>
      <c r="L255">
        <f t="shared" ca="1" si="234"/>
        <v>98.723895814818817</v>
      </c>
      <c r="M255">
        <f t="shared" ca="1" si="234"/>
        <v>110.22838452453468</v>
      </c>
      <c r="N255">
        <f t="shared" ca="1" si="234"/>
        <v>112.62742201210861</v>
      </c>
      <c r="O255">
        <f t="shared" ca="1" si="234"/>
        <v>113.36335382721025</v>
      </c>
      <c r="P255">
        <f t="shared" ca="1" si="234"/>
        <v>111.05936800567702</v>
      </c>
      <c r="Q255">
        <f t="shared" ca="1" si="184"/>
        <v>113.36335382721025</v>
      </c>
      <c r="R255">
        <f t="shared" ca="1" si="185"/>
        <v>0</v>
      </c>
      <c r="S255">
        <f t="shared" ca="1" si="186"/>
        <v>0</v>
      </c>
    </row>
    <row r="256" spans="5:19" x14ac:dyDescent="0.75">
      <c r="E256">
        <v>251</v>
      </c>
      <c r="F256">
        <f t="shared" si="182"/>
        <v>100</v>
      </c>
      <c r="G256">
        <f t="shared" ca="1" si="183"/>
        <v>97.037137687713468</v>
      </c>
      <c r="H256">
        <f t="shared" ca="1" si="183"/>
        <v>95.327982010464893</v>
      </c>
      <c r="I256">
        <f t="shared" ca="1" si="183"/>
        <v>98.296653574906912</v>
      </c>
      <c r="J256">
        <f t="shared" ref="J256:P256" ca="1" si="235">I256*EXP(($C$6-0.5*$C$7^2)*$C$12+$C$7*SQRT($C$12)*NORMINV(RAND(),0,1))</f>
        <v>95.1484203027224</v>
      </c>
      <c r="K256">
        <f t="shared" ca="1" si="235"/>
        <v>91.29486199388991</v>
      </c>
      <c r="L256">
        <f t="shared" ca="1" si="235"/>
        <v>87.623975306819133</v>
      </c>
      <c r="M256">
        <f t="shared" ca="1" si="235"/>
        <v>83.080934367959543</v>
      </c>
      <c r="N256">
        <f t="shared" ca="1" si="235"/>
        <v>85.29047732706556</v>
      </c>
      <c r="O256">
        <f t="shared" ca="1" si="235"/>
        <v>80.313934374847122</v>
      </c>
      <c r="P256">
        <f t="shared" ca="1" si="235"/>
        <v>84.830955185483234</v>
      </c>
      <c r="Q256">
        <f t="shared" ca="1" si="184"/>
        <v>98.296653574906912</v>
      </c>
      <c r="R256">
        <f t="shared" ca="1" si="185"/>
        <v>0</v>
      </c>
      <c r="S256">
        <f t="shared" ca="1" si="186"/>
        <v>0</v>
      </c>
    </row>
    <row r="257" spans="5:19" x14ac:dyDescent="0.75">
      <c r="E257">
        <v>252</v>
      </c>
      <c r="F257">
        <f t="shared" si="182"/>
        <v>100</v>
      </c>
      <c r="G257">
        <f t="shared" ca="1" si="183"/>
        <v>96.25750938887434</v>
      </c>
      <c r="H257">
        <f t="shared" ca="1" si="183"/>
        <v>99.830885433951664</v>
      </c>
      <c r="I257">
        <f t="shared" ca="1" si="183"/>
        <v>106.30051507318629</v>
      </c>
      <c r="J257">
        <f t="shared" ref="J257:P257" ca="1" si="236">I257*EXP(($C$6-0.5*$C$7^2)*$C$12+$C$7*SQRT($C$12)*NORMINV(RAND(),0,1))</f>
        <v>105.17072156079395</v>
      </c>
      <c r="K257">
        <f t="shared" ca="1" si="236"/>
        <v>109.24517918540926</v>
      </c>
      <c r="L257">
        <f t="shared" ca="1" si="236"/>
        <v>112.13237545736332</v>
      </c>
      <c r="M257">
        <f t="shared" ca="1" si="236"/>
        <v>130.41718631792543</v>
      </c>
      <c r="N257">
        <f t="shared" ca="1" si="236"/>
        <v>136.33790706894163</v>
      </c>
      <c r="O257">
        <f t="shared" ca="1" si="236"/>
        <v>136.59772163821802</v>
      </c>
      <c r="P257">
        <f t="shared" ca="1" si="236"/>
        <v>126.80834366315307</v>
      </c>
      <c r="Q257">
        <f t="shared" ca="1" si="184"/>
        <v>136.59772163821802</v>
      </c>
      <c r="R257">
        <f t="shared" ca="1" si="185"/>
        <v>0</v>
      </c>
      <c r="S257">
        <f t="shared" ca="1" si="186"/>
        <v>0</v>
      </c>
    </row>
    <row r="258" spans="5:19" x14ac:dyDescent="0.75">
      <c r="E258">
        <v>253</v>
      </c>
      <c r="F258">
        <f t="shared" si="182"/>
        <v>100</v>
      </c>
      <c r="G258">
        <f t="shared" ca="1" si="183"/>
        <v>96.088302495410801</v>
      </c>
      <c r="H258">
        <f t="shared" ca="1" si="183"/>
        <v>99.521263730158083</v>
      </c>
      <c r="I258">
        <f t="shared" ca="1" si="183"/>
        <v>107.74069363348218</v>
      </c>
      <c r="J258">
        <f t="shared" ref="J258:P258" ca="1" si="237">I258*EXP(($C$6-0.5*$C$7^2)*$C$12+$C$7*SQRT($C$12)*NORMINV(RAND(),0,1))</f>
        <v>106.86359303766177</v>
      </c>
      <c r="K258">
        <f t="shared" ca="1" si="237"/>
        <v>113.16682543221394</v>
      </c>
      <c r="L258">
        <f t="shared" ca="1" si="237"/>
        <v>113.23843338031706</v>
      </c>
      <c r="M258">
        <f t="shared" ca="1" si="237"/>
        <v>118.94090229338897</v>
      </c>
      <c r="N258">
        <f t="shared" ca="1" si="237"/>
        <v>120.06381506973435</v>
      </c>
      <c r="O258">
        <f t="shared" ca="1" si="237"/>
        <v>128.19871133371979</v>
      </c>
      <c r="P258">
        <f t="shared" ca="1" si="237"/>
        <v>134.83707477639732</v>
      </c>
      <c r="Q258">
        <f t="shared" ca="1" si="184"/>
        <v>134.83707477639732</v>
      </c>
      <c r="R258">
        <f t="shared" ca="1" si="185"/>
        <v>0</v>
      </c>
      <c r="S258">
        <f t="shared" ca="1" si="186"/>
        <v>0</v>
      </c>
    </row>
    <row r="259" spans="5:19" x14ac:dyDescent="0.75">
      <c r="E259">
        <v>254</v>
      </c>
      <c r="F259">
        <f t="shared" si="182"/>
        <v>100</v>
      </c>
      <c r="G259">
        <f t="shared" ca="1" si="183"/>
        <v>100.91671453275536</v>
      </c>
      <c r="H259">
        <f t="shared" ca="1" si="183"/>
        <v>103.31206132464646</v>
      </c>
      <c r="I259">
        <f t="shared" ca="1" si="183"/>
        <v>108.37988748592159</v>
      </c>
      <c r="J259">
        <f t="shared" ref="J259:P259" ca="1" si="238">I259*EXP(($C$6-0.5*$C$7^2)*$C$12+$C$7*SQRT($C$12)*NORMINV(RAND(),0,1))</f>
        <v>114.93520772983138</v>
      </c>
      <c r="K259">
        <f t="shared" ca="1" si="238"/>
        <v>108.11571400758687</v>
      </c>
      <c r="L259">
        <f t="shared" ca="1" si="238"/>
        <v>98.331248424150857</v>
      </c>
      <c r="M259">
        <f t="shared" ca="1" si="238"/>
        <v>101.76495670323882</v>
      </c>
      <c r="N259">
        <f t="shared" ca="1" si="238"/>
        <v>103.54242993992715</v>
      </c>
      <c r="O259">
        <f t="shared" ca="1" si="238"/>
        <v>115.34700995355189</v>
      </c>
      <c r="P259">
        <f t="shared" ca="1" si="238"/>
        <v>116.04407454244787</v>
      </c>
      <c r="Q259">
        <f t="shared" ca="1" si="184"/>
        <v>116.04407454244787</v>
      </c>
      <c r="R259">
        <f t="shared" ca="1" si="185"/>
        <v>0</v>
      </c>
      <c r="S259">
        <f t="shared" ca="1" si="186"/>
        <v>0</v>
      </c>
    </row>
    <row r="260" spans="5:19" x14ac:dyDescent="0.75">
      <c r="E260">
        <v>255</v>
      </c>
      <c r="F260">
        <f t="shared" si="182"/>
        <v>100</v>
      </c>
      <c r="G260">
        <f t="shared" ca="1" si="183"/>
        <v>101.08556229659749</v>
      </c>
      <c r="H260">
        <f t="shared" ca="1" si="183"/>
        <v>106.43954229236297</v>
      </c>
      <c r="I260">
        <f t="shared" ca="1" si="183"/>
        <v>112.46704468894457</v>
      </c>
      <c r="J260">
        <f t="shared" ref="J260:P260" ca="1" si="239">I260*EXP(($C$6-0.5*$C$7^2)*$C$12+$C$7*SQRT($C$12)*NORMINV(RAND(),0,1))</f>
        <v>113.77405796159046</v>
      </c>
      <c r="K260">
        <f t="shared" ca="1" si="239"/>
        <v>121.37551262219641</v>
      </c>
      <c r="L260">
        <f t="shared" ca="1" si="239"/>
        <v>119.09167101050306</v>
      </c>
      <c r="M260">
        <f t="shared" ca="1" si="239"/>
        <v>115.310870302426</v>
      </c>
      <c r="N260">
        <f t="shared" ca="1" si="239"/>
        <v>111.70148470648128</v>
      </c>
      <c r="O260">
        <f t="shared" ca="1" si="239"/>
        <v>110.27548347388252</v>
      </c>
      <c r="P260">
        <f t="shared" ca="1" si="239"/>
        <v>106.21992471716703</v>
      </c>
      <c r="Q260">
        <f t="shared" ca="1" si="184"/>
        <v>121.37551262219641</v>
      </c>
      <c r="R260">
        <f t="shared" ca="1" si="185"/>
        <v>0</v>
      </c>
      <c r="S260">
        <f t="shared" ca="1" si="186"/>
        <v>0</v>
      </c>
    </row>
    <row r="261" spans="5:19" x14ac:dyDescent="0.75">
      <c r="E261">
        <v>256</v>
      </c>
      <c r="F261">
        <f t="shared" si="182"/>
        <v>100</v>
      </c>
      <c r="G261">
        <f t="shared" ca="1" si="183"/>
        <v>99.671162086636272</v>
      </c>
      <c r="H261">
        <f t="shared" ca="1" si="183"/>
        <v>98.908026392401538</v>
      </c>
      <c r="I261">
        <f t="shared" ca="1" si="183"/>
        <v>95.964846531147515</v>
      </c>
      <c r="J261">
        <f t="shared" ref="J261:P261" ca="1" si="240">I261*EXP(($C$6-0.5*$C$7^2)*$C$12+$C$7*SQRT($C$12)*NORMINV(RAND(),0,1))</f>
        <v>96.977732262006214</v>
      </c>
      <c r="K261">
        <f t="shared" ca="1" si="240"/>
        <v>96.063386750887105</v>
      </c>
      <c r="L261">
        <f t="shared" ca="1" si="240"/>
        <v>96.955120895821238</v>
      </c>
      <c r="M261">
        <f t="shared" ca="1" si="240"/>
        <v>91.902975868366525</v>
      </c>
      <c r="N261">
        <f t="shared" ca="1" si="240"/>
        <v>101.92553468564331</v>
      </c>
      <c r="O261">
        <f t="shared" ca="1" si="240"/>
        <v>101.02777106236373</v>
      </c>
      <c r="P261">
        <f t="shared" ca="1" si="240"/>
        <v>100.99866431932637</v>
      </c>
      <c r="Q261">
        <f t="shared" ca="1" si="184"/>
        <v>101.92553468564331</v>
      </c>
      <c r="R261">
        <f t="shared" ca="1" si="185"/>
        <v>0</v>
      </c>
      <c r="S261">
        <f t="shared" ca="1" si="186"/>
        <v>0</v>
      </c>
    </row>
    <row r="262" spans="5:19" x14ac:dyDescent="0.75">
      <c r="E262">
        <v>257</v>
      </c>
      <c r="F262">
        <f t="shared" si="182"/>
        <v>100</v>
      </c>
      <c r="G262">
        <f t="shared" ca="1" si="183"/>
        <v>106.00888369270112</v>
      </c>
      <c r="H262">
        <f t="shared" ca="1" si="183"/>
        <v>111.43465734742435</v>
      </c>
      <c r="I262">
        <f t="shared" ca="1" si="183"/>
        <v>111.20546288979024</v>
      </c>
      <c r="J262">
        <f t="shared" ref="J262:P262" ca="1" si="241">I262*EXP(($C$6-0.5*$C$7^2)*$C$12+$C$7*SQRT($C$12)*NORMINV(RAND(),0,1))</f>
        <v>120.6260246385968</v>
      </c>
      <c r="K262">
        <f t="shared" ca="1" si="241"/>
        <v>114.1140272055448</v>
      </c>
      <c r="L262">
        <f t="shared" ca="1" si="241"/>
        <v>125.91630595200918</v>
      </c>
      <c r="M262">
        <f t="shared" ca="1" si="241"/>
        <v>128.6982913876071</v>
      </c>
      <c r="N262">
        <f t="shared" ca="1" si="241"/>
        <v>134.6071907737971</v>
      </c>
      <c r="O262">
        <f t="shared" ca="1" si="241"/>
        <v>131.1482386719569</v>
      </c>
      <c r="P262">
        <f t="shared" ca="1" si="241"/>
        <v>130.49682640629743</v>
      </c>
      <c r="Q262">
        <f t="shared" ca="1" si="184"/>
        <v>134.6071907737971</v>
      </c>
      <c r="R262">
        <f t="shared" ca="1" si="185"/>
        <v>0</v>
      </c>
      <c r="S262">
        <f t="shared" ca="1" si="186"/>
        <v>0</v>
      </c>
    </row>
    <row r="263" spans="5:19" x14ac:dyDescent="0.75">
      <c r="E263">
        <v>258</v>
      </c>
      <c r="F263">
        <f t="shared" ref="F263:F326" si="242">$C$5</f>
        <v>100</v>
      </c>
      <c r="G263">
        <f t="shared" ref="G263:P326" ca="1" si="243">F263*EXP(($C$6-0.5*$C$7^2)*$C$12+$C$7*SQRT($C$12)*NORMINV(RAND(),0,1))</f>
        <v>103.70002127445974</v>
      </c>
      <c r="H263">
        <f t="shared" ca="1" si="243"/>
        <v>106.57699061421862</v>
      </c>
      <c r="I263">
        <f t="shared" ca="1" si="243"/>
        <v>105.87298555776573</v>
      </c>
      <c r="J263">
        <f t="shared" ca="1" si="243"/>
        <v>110.24613203037988</v>
      </c>
      <c r="K263">
        <f t="shared" ca="1" si="243"/>
        <v>113.6906566519028</v>
      </c>
      <c r="L263">
        <f t="shared" ca="1" si="243"/>
        <v>125.10209842763847</v>
      </c>
      <c r="M263">
        <f t="shared" ca="1" si="243"/>
        <v>121.50486964758508</v>
      </c>
      <c r="N263">
        <f t="shared" ca="1" si="243"/>
        <v>112.82808336562914</v>
      </c>
      <c r="O263">
        <f t="shared" ca="1" si="243"/>
        <v>115.61763900240052</v>
      </c>
      <c r="P263">
        <f t="shared" ca="1" si="243"/>
        <v>106.33706615651725</v>
      </c>
      <c r="Q263">
        <f t="shared" ref="Q263:Q326" ca="1" si="244">MAX(G263:P263)</f>
        <v>125.10209842763847</v>
      </c>
      <c r="R263">
        <f t="shared" ref="R263:R326" ca="1" si="245">IF(Q263&gt;=$C$13,0, MAX(P263-$C$9,0))</f>
        <v>0</v>
      </c>
      <c r="S263">
        <f t="shared" ref="S263:S326" ca="1" si="246">EXP(-$C$6*$C$8)*R263</f>
        <v>0</v>
      </c>
    </row>
    <row r="264" spans="5:19" x14ac:dyDescent="0.75">
      <c r="E264">
        <v>259</v>
      </c>
      <c r="F264">
        <f t="shared" si="242"/>
        <v>100</v>
      </c>
      <c r="G264">
        <f t="shared" ca="1" si="243"/>
        <v>103.35886779126974</v>
      </c>
      <c r="H264">
        <f t="shared" ca="1" si="243"/>
        <v>110.92441445918062</v>
      </c>
      <c r="I264">
        <f t="shared" ca="1" si="243"/>
        <v>120.45532695246835</v>
      </c>
      <c r="J264">
        <f t="shared" ca="1" si="243"/>
        <v>118.45926948903583</v>
      </c>
      <c r="K264">
        <f t="shared" ca="1" si="243"/>
        <v>123.95940548196342</v>
      </c>
      <c r="L264">
        <f t="shared" ca="1" si="243"/>
        <v>134.51376706189154</v>
      </c>
      <c r="M264">
        <f t="shared" ca="1" si="243"/>
        <v>132.99894523382511</v>
      </c>
      <c r="N264">
        <f t="shared" ca="1" si="243"/>
        <v>129.55524475332544</v>
      </c>
      <c r="O264">
        <f t="shared" ca="1" si="243"/>
        <v>136.60166471421505</v>
      </c>
      <c r="P264">
        <f t="shared" ca="1" si="243"/>
        <v>133.04638511696444</v>
      </c>
      <c r="Q264">
        <f t="shared" ca="1" si="244"/>
        <v>136.60166471421505</v>
      </c>
      <c r="R264">
        <f t="shared" ca="1" si="245"/>
        <v>0</v>
      </c>
      <c r="S264">
        <f t="shared" ca="1" si="246"/>
        <v>0</v>
      </c>
    </row>
    <row r="265" spans="5:19" x14ac:dyDescent="0.75">
      <c r="E265">
        <v>260</v>
      </c>
      <c r="F265">
        <f t="shared" si="242"/>
        <v>100</v>
      </c>
      <c r="G265">
        <f t="shared" ca="1" si="243"/>
        <v>96.309338750262015</v>
      </c>
      <c r="H265">
        <f t="shared" ca="1" si="243"/>
        <v>93.264007279921444</v>
      </c>
      <c r="I265">
        <f t="shared" ca="1" si="243"/>
        <v>92.5648710573291</v>
      </c>
      <c r="J265">
        <f t="shared" ca="1" si="243"/>
        <v>95.49383128804574</v>
      </c>
      <c r="K265">
        <f t="shared" ca="1" si="243"/>
        <v>93.119972032581643</v>
      </c>
      <c r="L265">
        <f t="shared" ca="1" si="243"/>
        <v>94.550870880792985</v>
      </c>
      <c r="M265">
        <f t="shared" ca="1" si="243"/>
        <v>99.865721621597501</v>
      </c>
      <c r="N265">
        <f t="shared" ca="1" si="243"/>
        <v>100.08925989969758</v>
      </c>
      <c r="O265">
        <f t="shared" ca="1" si="243"/>
        <v>93.035391641136854</v>
      </c>
      <c r="P265">
        <f t="shared" ca="1" si="243"/>
        <v>91.616870979169306</v>
      </c>
      <c r="Q265">
        <f t="shared" ca="1" si="244"/>
        <v>100.08925989969758</v>
      </c>
      <c r="R265">
        <f t="shared" ca="1" si="245"/>
        <v>0</v>
      </c>
      <c r="S265">
        <f t="shared" ca="1" si="246"/>
        <v>0</v>
      </c>
    </row>
    <row r="266" spans="5:19" x14ac:dyDescent="0.75">
      <c r="E266">
        <v>261</v>
      </c>
      <c r="F266">
        <f t="shared" si="242"/>
        <v>100</v>
      </c>
      <c r="G266">
        <f t="shared" ca="1" si="243"/>
        <v>99.146041036184556</v>
      </c>
      <c r="H266">
        <f t="shared" ca="1" si="243"/>
        <v>94.700331087191259</v>
      </c>
      <c r="I266">
        <f t="shared" ca="1" si="243"/>
        <v>95.657653092534304</v>
      </c>
      <c r="J266">
        <f t="shared" ca="1" si="243"/>
        <v>90.381657578756545</v>
      </c>
      <c r="K266">
        <f t="shared" ca="1" si="243"/>
        <v>91.774073392598041</v>
      </c>
      <c r="L266">
        <f t="shared" ca="1" si="243"/>
        <v>92.803010871515369</v>
      </c>
      <c r="M266">
        <f t="shared" ca="1" si="243"/>
        <v>94.660555144610555</v>
      </c>
      <c r="N266">
        <f t="shared" ca="1" si="243"/>
        <v>93.430932903114424</v>
      </c>
      <c r="O266">
        <f t="shared" ca="1" si="243"/>
        <v>96.515946407432338</v>
      </c>
      <c r="P266">
        <f t="shared" ca="1" si="243"/>
        <v>103.41235096438827</v>
      </c>
      <c r="Q266">
        <f t="shared" ca="1" si="244"/>
        <v>103.41235096438827</v>
      </c>
      <c r="R266">
        <f t="shared" ca="1" si="245"/>
        <v>1.412350964388267</v>
      </c>
      <c r="S266">
        <f t="shared" ca="1" si="246"/>
        <v>1.3774798948306515</v>
      </c>
    </row>
    <row r="267" spans="5:19" x14ac:dyDescent="0.75">
      <c r="E267">
        <v>262</v>
      </c>
      <c r="F267">
        <f t="shared" si="242"/>
        <v>100</v>
      </c>
      <c r="G267">
        <f t="shared" ca="1" si="243"/>
        <v>104.96998536372821</v>
      </c>
      <c r="H267">
        <f t="shared" ca="1" si="243"/>
        <v>100.77493957397017</v>
      </c>
      <c r="I267">
        <f t="shared" ca="1" si="243"/>
        <v>94.543520971847073</v>
      </c>
      <c r="J267">
        <f t="shared" ca="1" si="243"/>
        <v>96.67294130782966</v>
      </c>
      <c r="K267">
        <f t="shared" ca="1" si="243"/>
        <v>98.092567284485696</v>
      </c>
      <c r="L267">
        <f t="shared" ca="1" si="243"/>
        <v>106.87043009554493</v>
      </c>
      <c r="M267">
        <f t="shared" ca="1" si="243"/>
        <v>111.63873585535337</v>
      </c>
      <c r="N267">
        <f t="shared" ca="1" si="243"/>
        <v>105.42843945481198</v>
      </c>
      <c r="O267">
        <f t="shared" ca="1" si="243"/>
        <v>115.62620394489149</v>
      </c>
      <c r="P267">
        <f t="shared" ca="1" si="243"/>
        <v>116.01082078909388</v>
      </c>
      <c r="Q267">
        <f t="shared" ca="1" si="244"/>
        <v>116.01082078909388</v>
      </c>
      <c r="R267">
        <f t="shared" ca="1" si="245"/>
        <v>0</v>
      </c>
      <c r="S267">
        <f t="shared" ca="1" si="246"/>
        <v>0</v>
      </c>
    </row>
    <row r="268" spans="5:19" x14ac:dyDescent="0.75">
      <c r="E268">
        <v>263</v>
      </c>
      <c r="F268">
        <f t="shared" si="242"/>
        <v>100</v>
      </c>
      <c r="G268">
        <f t="shared" ca="1" si="243"/>
        <v>100.28252225997309</v>
      </c>
      <c r="H268">
        <f t="shared" ca="1" si="243"/>
        <v>100.43913592904431</v>
      </c>
      <c r="I268">
        <f t="shared" ca="1" si="243"/>
        <v>91.950588352600207</v>
      </c>
      <c r="J268">
        <f t="shared" ca="1" si="243"/>
        <v>89.68019680011102</v>
      </c>
      <c r="K268">
        <f t="shared" ca="1" si="243"/>
        <v>86.084399145428819</v>
      </c>
      <c r="L268">
        <f t="shared" ca="1" si="243"/>
        <v>87.007272747644464</v>
      </c>
      <c r="M268">
        <f t="shared" ca="1" si="243"/>
        <v>85.131626582283488</v>
      </c>
      <c r="N268">
        <f t="shared" ca="1" si="243"/>
        <v>87.28309761708006</v>
      </c>
      <c r="O268">
        <f t="shared" ca="1" si="243"/>
        <v>82.122796944330403</v>
      </c>
      <c r="P268">
        <f t="shared" ca="1" si="243"/>
        <v>89.587924752939074</v>
      </c>
      <c r="Q268">
        <f t="shared" ca="1" si="244"/>
        <v>100.43913592904431</v>
      </c>
      <c r="R268">
        <f t="shared" ca="1" si="245"/>
        <v>0</v>
      </c>
      <c r="S268">
        <f t="shared" ca="1" si="246"/>
        <v>0</v>
      </c>
    </row>
    <row r="269" spans="5:19" x14ac:dyDescent="0.75">
      <c r="E269">
        <v>264</v>
      </c>
      <c r="F269">
        <f t="shared" si="242"/>
        <v>100</v>
      </c>
      <c r="G269">
        <f t="shared" ca="1" si="243"/>
        <v>91.84796296009317</v>
      </c>
      <c r="H269">
        <f t="shared" ca="1" si="243"/>
        <v>98.209709834741588</v>
      </c>
      <c r="I269">
        <f t="shared" ca="1" si="243"/>
        <v>99.979791107724452</v>
      </c>
      <c r="J269">
        <f t="shared" ca="1" si="243"/>
        <v>94.946270218923658</v>
      </c>
      <c r="K269">
        <f t="shared" ca="1" si="243"/>
        <v>88.84468057532942</v>
      </c>
      <c r="L269">
        <f t="shared" ca="1" si="243"/>
        <v>87.109375010893743</v>
      </c>
      <c r="M269">
        <f t="shared" ca="1" si="243"/>
        <v>89.02734803264876</v>
      </c>
      <c r="N269">
        <f t="shared" ca="1" si="243"/>
        <v>86.260150800485263</v>
      </c>
      <c r="O269">
        <f t="shared" ca="1" si="243"/>
        <v>84.519151773734706</v>
      </c>
      <c r="P269">
        <f t="shared" ca="1" si="243"/>
        <v>77.792201984232108</v>
      </c>
      <c r="Q269">
        <f t="shared" ca="1" si="244"/>
        <v>99.979791107724452</v>
      </c>
      <c r="R269">
        <f t="shared" ca="1" si="245"/>
        <v>0</v>
      </c>
      <c r="S269">
        <f t="shared" ca="1" si="246"/>
        <v>0</v>
      </c>
    </row>
    <row r="270" spans="5:19" x14ac:dyDescent="0.75">
      <c r="E270">
        <v>265</v>
      </c>
      <c r="F270">
        <f t="shared" si="242"/>
        <v>100</v>
      </c>
      <c r="G270">
        <f t="shared" ca="1" si="243"/>
        <v>92.697703651547528</v>
      </c>
      <c r="H270">
        <f t="shared" ca="1" si="243"/>
        <v>88.397464982245296</v>
      </c>
      <c r="I270">
        <f t="shared" ca="1" si="243"/>
        <v>91.832735572297082</v>
      </c>
      <c r="J270">
        <f t="shared" ca="1" si="243"/>
        <v>91.501061736040427</v>
      </c>
      <c r="K270">
        <f t="shared" ca="1" si="243"/>
        <v>94.885739600148469</v>
      </c>
      <c r="L270">
        <f t="shared" ca="1" si="243"/>
        <v>92.553368943200368</v>
      </c>
      <c r="M270">
        <f t="shared" ca="1" si="243"/>
        <v>90.685729043266605</v>
      </c>
      <c r="N270">
        <f t="shared" ca="1" si="243"/>
        <v>97.33314626756767</v>
      </c>
      <c r="O270">
        <f t="shared" ca="1" si="243"/>
        <v>91.48275683287423</v>
      </c>
      <c r="P270">
        <f t="shared" ca="1" si="243"/>
        <v>93.173036578598925</v>
      </c>
      <c r="Q270">
        <f t="shared" ca="1" si="244"/>
        <v>97.33314626756767</v>
      </c>
      <c r="R270">
        <f t="shared" ca="1" si="245"/>
        <v>0</v>
      </c>
      <c r="S270">
        <f t="shared" ca="1" si="246"/>
        <v>0</v>
      </c>
    </row>
    <row r="271" spans="5:19" x14ac:dyDescent="0.75">
      <c r="E271">
        <v>266</v>
      </c>
      <c r="F271">
        <f t="shared" si="242"/>
        <v>100</v>
      </c>
      <c r="G271">
        <f t="shared" ca="1" si="243"/>
        <v>102.93202100270464</v>
      </c>
      <c r="H271">
        <f t="shared" ca="1" si="243"/>
        <v>94.667694226888514</v>
      </c>
      <c r="I271">
        <f t="shared" ca="1" si="243"/>
        <v>96.931136790237673</v>
      </c>
      <c r="J271">
        <f t="shared" ca="1" si="243"/>
        <v>97.956676601580682</v>
      </c>
      <c r="K271">
        <f t="shared" ca="1" si="243"/>
        <v>95.181206897646419</v>
      </c>
      <c r="L271">
        <f t="shared" ca="1" si="243"/>
        <v>102.04080389868002</v>
      </c>
      <c r="M271">
        <f t="shared" ca="1" si="243"/>
        <v>109.54290225889756</v>
      </c>
      <c r="N271">
        <f t="shared" ca="1" si="243"/>
        <v>112.06300700037066</v>
      </c>
      <c r="O271">
        <f t="shared" ca="1" si="243"/>
        <v>111.89143313412019</v>
      </c>
      <c r="P271">
        <f t="shared" ca="1" si="243"/>
        <v>111.87261851361774</v>
      </c>
      <c r="Q271">
        <f t="shared" ca="1" si="244"/>
        <v>112.06300700037066</v>
      </c>
      <c r="R271">
        <f t="shared" ca="1" si="245"/>
        <v>0</v>
      </c>
      <c r="S271">
        <f t="shared" ca="1" si="246"/>
        <v>0</v>
      </c>
    </row>
    <row r="272" spans="5:19" x14ac:dyDescent="0.75">
      <c r="E272">
        <v>267</v>
      </c>
      <c r="F272">
        <f t="shared" si="242"/>
        <v>100</v>
      </c>
      <c r="G272">
        <f t="shared" ca="1" si="243"/>
        <v>95.436950044257657</v>
      </c>
      <c r="H272">
        <f t="shared" ca="1" si="243"/>
        <v>91.582779626559827</v>
      </c>
      <c r="I272">
        <f t="shared" ca="1" si="243"/>
        <v>95.212488670175688</v>
      </c>
      <c r="J272">
        <f t="shared" ref="J272:P272" ca="1" si="247">I272*EXP(($C$6-0.5*$C$7^2)*$C$12+$C$7*SQRT($C$12)*NORMINV(RAND(),0,1))</f>
        <v>85.065769247934313</v>
      </c>
      <c r="K272">
        <f t="shared" ca="1" si="247"/>
        <v>81.943694456597399</v>
      </c>
      <c r="L272">
        <f t="shared" ca="1" si="247"/>
        <v>84.520172484966409</v>
      </c>
      <c r="M272">
        <f t="shared" ca="1" si="247"/>
        <v>87.070865449113526</v>
      </c>
      <c r="N272">
        <f t="shared" ca="1" si="247"/>
        <v>90.39438504717674</v>
      </c>
      <c r="O272">
        <f t="shared" ca="1" si="247"/>
        <v>96.674720026654043</v>
      </c>
      <c r="P272">
        <f t="shared" ca="1" si="247"/>
        <v>106.14431739771308</v>
      </c>
      <c r="Q272">
        <f t="shared" ca="1" si="244"/>
        <v>106.14431739771308</v>
      </c>
      <c r="R272">
        <f t="shared" ca="1" si="245"/>
        <v>4.1443173977130812</v>
      </c>
      <c r="S272">
        <f t="shared" ca="1" si="246"/>
        <v>4.0419938365810335</v>
      </c>
    </row>
    <row r="273" spans="5:19" x14ac:dyDescent="0.75">
      <c r="E273">
        <v>268</v>
      </c>
      <c r="F273">
        <f t="shared" si="242"/>
        <v>100</v>
      </c>
      <c r="G273">
        <f t="shared" ca="1" si="243"/>
        <v>97.523818159070714</v>
      </c>
      <c r="H273">
        <f t="shared" ca="1" si="243"/>
        <v>90.194437141920346</v>
      </c>
      <c r="I273">
        <f t="shared" ca="1" si="243"/>
        <v>94.907889264936003</v>
      </c>
      <c r="J273">
        <f t="shared" ref="J273:P273" ca="1" si="248">I273*EXP(($C$6-0.5*$C$7^2)*$C$12+$C$7*SQRT($C$12)*NORMINV(RAND(),0,1))</f>
        <v>102.37339354301176</v>
      </c>
      <c r="K273">
        <f t="shared" ca="1" si="248"/>
        <v>103.716223069273</v>
      </c>
      <c r="L273">
        <f t="shared" ca="1" si="248"/>
        <v>105.97836680989424</v>
      </c>
      <c r="M273">
        <f t="shared" ca="1" si="248"/>
        <v>105.89148863706367</v>
      </c>
      <c r="N273">
        <f t="shared" ca="1" si="248"/>
        <v>104.98511092209544</v>
      </c>
      <c r="O273">
        <f t="shared" ca="1" si="248"/>
        <v>108.16439962537503</v>
      </c>
      <c r="P273">
        <f t="shared" ca="1" si="248"/>
        <v>112.21390836650411</v>
      </c>
      <c r="Q273">
        <f t="shared" ca="1" si="244"/>
        <v>112.21390836650411</v>
      </c>
      <c r="R273">
        <f t="shared" ca="1" si="245"/>
        <v>0</v>
      </c>
      <c r="S273">
        <f t="shared" ca="1" si="246"/>
        <v>0</v>
      </c>
    </row>
    <row r="274" spans="5:19" x14ac:dyDescent="0.75">
      <c r="E274">
        <v>269</v>
      </c>
      <c r="F274">
        <f t="shared" si="242"/>
        <v>100</v>
      </c>
      <c r="G274">
        <f t="shared" ca="1" si="243"/>
        <v>103.1393437122933</v>
      </c>
      <c r="H274">
        <f t="shared" ca="1" si="243"/>
        <v>101.55839718441462</v>
      </c>
      <c r="I274">
        <f t="shared" ca="1" si="243"/>
        <v>93.105689865091549</v>
      </c>
      <c r="J274">
        <f t="shared" ref="J274:P274" ca="1" si="249">I274*EXP(($C$6-0.5*$C$7^2)*$C$12+$C$7*SQRT($C$12)*NORMINV(RAND(),0,1))</f>
        <v>95.623700565112188</v>
      </c>
      <c r="K274">
        <f t="shared" ca="1" si="249"/>
        <v>91.655530972398466</v>
      </c>
      <c r="L274">
        <f t="shared" ca="1" si="249"/>
        <v>80.848197668601671</v>
      </c>
      <c r="M274">
        <f t="shared" ca="1" si="249"/>
        <v>85.895254187297311</v>
      </c>
      <c r="N274">
        <f t="shared" ca="1" si="249"/>
        <v>82.600805712525741</v>
      </c>
      <c r="O274">
        <f t="shared" ca="1" si="249"/>
        <v>83.869100667926205</v>
      </c>
      <c r="P274">
        <f t="shared" ca="1" si="249"/>
        <v>84.143589652443424</v>
      </c>
      <c r="Q274">
        <f t="shared" ca="1" si="244"/>
        <v>103.1393437122933</v>
      </c>
      <c r="R274">
        <f t="shared" ca="1" si="245"/>
        <v>0</v>
      </c>
      <c r="S274">
        <f t="shared" ca="1" si="246"/>
        <v>0</v>
      </c>
    </row>
    <row r="275" spans="5:19" x14ac:dyDescent="0.75">
      <c r="E275">
        <v>270</v>
      </c>
      <c r="F275">
        <f t="shared" si="242"/>
        <v>100</v>
      </c>
      <c r="G275">
        <f t="shared" ca="1" si="243"/>
        <v>103.71769351715147</v>
      </c>
      <c r="H275">
        <f t="shared" ca="1" si="243"/>
        <v>95.823798744160314</v>
      </c>
      <c r="I275">
        <f t="shared" ca="1" si="243"/>
        <v>97.973199304603625</v>
      </c>
      <c r="J275">
        <f t="shared" ref="J275:P275" ca="1" si="250">I275*EXP(($C$6-0.5*$C$7^2)*$C$12+$C$7*SQRT($C$12)*NORMINV(RAND(),0,1))</f>
        <v>97.075948848263238</v>
      </c>
      <c r="K275">
        <f t="shared" ca="1" si="250"/>
        <v>103.02698503544147</v>
      </c>
      <c r="L275">
        <f t="shared" ca="1" si="250"/>
        <v>98.059962445827253</v>
      </c>
      <c r="M275">
        <f t="shared" ca="1" si="250"/>
        <v>102.66751027522039</v>
      </c>
      <c r="N275">
        <f t="shared" ca="1" si="250"/>
        <v>102.61982369783975</v>
      </c>
      <c r="O275">
        <f t="shared" ca="1" si="250"/>
        <v>103.3655273290145</v>
      </c>
      <c r="P275">
        <f t="shared" ca="1" si="250"/>
        <v>96.555281183284407</v>
      </c>
      <c r="Q275">
        <f t="shared" ca="1" si="244"/>
        <v>103.71769351715147</v>
      </c>
      <c r="R275">
        <f t="shared" ca="1" si="245"/>
        <v>0</v>
      </c>
      <c r="S275">
        <f t="shared" ca="1" si="246"/>
        <v>0</v>
      </c>
    </row>
    <row r="276" spans="5:19" x14ac:dyDescent="0.75">
      <c r="E276">
        <v>271</v>
      </c>
      <c r="F276">
        <f t="shared" si="242"/>
        <v>100</v>
      </c>
      <c r="G276">
        <f t="shared" ca="1" si="243"/>
        <v>103.55033963493653</v>
      </c>
      <c r="H276">
        <f t="shared" ca="1" si="243"/>
        <v>100.86336851691803</v>
      </c>
      <c r="I276">
        <f t="shared" ca="1" si="243"/>
        <v>106.38983089337768</v>
      </c>
      <c r="J276">
        <f t="shared" ref="J276:P276" ca="1" si="251">I276*EXP(($C$6-0.5*$C$7^2)*$C$12+$C$7*SQRT($C$12)*NORMINV(RAND(),0,1))</f>
        <v>103.87957805767735</v>
      </c>
      <c r="K276">
        <f t="shared" ca="1" si="251"/>
        <v>103.96319642901891</v>
      </c>
      <c r="L276">
        <f t="shared" ca="1" si="251"/>
        <v>101.96576595429691</v>
      </c>
      <c r="M276">
        <f t="shared" ca="1" si="251"/>
        <v>102.35974857584476</v>
      </c>
      <c r="N276">
        <f t="shared" ca="1" si="251"/>
        <v>96.01790267646733</v>
      </c>
      <c r="O276">
        <f t="shared" ca="1" si="251"/>
        <v>91.497216711356359</v>
      </c>
      <c r="P276">
        <f t="shared" ca="1" si="251"/>
        <v>95.747995243398435</v>
      </c>
      <c r="Q276">
        <f t="shared" ca="1" si="244"/>
        <v>106.38983089337768</v>
      </c>
      <c r="R276">
        <f t="shared" ca="1" si="245"/>
        <v>0</v>
      </c>
      <c r="S276">
        <f t="shared" ca="1" si="246"/>
        <v>0</v>
      </c>
    </row>
    <row r="277" spans="5:19" x14ac:dyDescent="0.75">
      <c r="E277">
        <v>272</v>
      </c>
      <c r="F277">
        <f t="shared" si="242"/>
        <v>100</v>
      </c>
      <c r="G277">
        <f t="shared" ca="1" si="243"/>
        <v>100.05317951820871</v>
      </c>
      <c r="H277">
        <f t="shared" ca="1" si="243"/>
        <v>108.20967826448899</v>
      </c>
      <c r="I277">
        <f t="shared" ca="1" si="243"/>
        <v>109.9110835887226</v>
      </c>
      <c r="J277">
        <f t="shared" ref="J277:P277" ca="1" si="252">I277*EXP(($C$6-0.5*$C$7^2)*$C$12+$C$7*SQRT($C$12)*NORMINV(RAND(),0,1))</f>
        <v>116.58085707402581</v>
      </c>
      <c r="K277">
        <f t="shared" ca="1" si="252"/>
        <v>106.90041935353723</v>
      </c>
      <c r="L277">
        <f t="shared" ca="1" si="252"/>
        <v>107.47011306272705</v>
      </c>
      <c r="M277">
        <f t="shared" ca="1" si="252"/>
        <v>111.46772103555705</v>
      </c>
      <c r="N277">
        <f t="shared" ca="1" si="252"/>
        <v>109.5353545515684</v>
      </c>
      <c r="O277">
        <f t="shared" ca="1" si="252"/>
        <v>104.04111292839296</v>
      </c>
      <c r="P277">
        <f t="shared" ca="1" si="252"/>
        <v>108.14151515609616</v>
      </c>
      <c r="Q277">
        <f t="shared" ca="1" si="244"/>
        <v>116.58085707402581</v>
      </c>
      <c r="R277">
        <f t="shared" ca="1" si="245"/>
        <v>0</v>
      </c>
      <c r="S277">
        <f t="shared" ca="1" si="246"/>
        <v>0</v>
      </c>
    </row>
    <row r="278" spans="5:19" x14ac:dyDescent="0.75">
      <c r="E278">
        <v>273</v>
      </c>
      <c r="F278">
        <f t="shared" si="242"/>
        <v>100</v>
      </c>
      <c r="G278">
        <f t="shared" ca="1" si="243"/>
        <v>97.02252268573956</v>
      </c>
      <c r="H278">
        <f t="shared" ca="1" si="243"/>
        <v>105.30271244368234</v>
      </c>
      <c r="I278">
        <f t="shared" ca="1" si="243"/>
        <v>109.34755485040344</v>
      </c>
      <c r="J278">
        <f t="shared" ref="J278:P278" ca="1" si="253">I278*EXP(($C$6-0.5*$C$7^2)*$C$12+$C$7*SQRT($C$12)*NORMINV(RAND(),0,1))</f>
        <v>112.43177868580395</v>
      </c>
      <c r="K278">
        <f t="shared" ca="1" si="253"/>
        <v>118.27144398496418</v>
      </c>
      <c r="L278">
        <f t="shared" ca="1" si="253"/>
        <v>119.33316126813281</v>
      </c>
      <c r="M278">
        <f t="shared" ca="1" si="253"/>
        <v>115.35198059066374</v>
      </c>
      <c r="N278">
        <f t="shared" ca="1" si="253"/>
        <v>121.13083371553981</v>
      </c>
      <c r="O278">
        <f t="shared" ca="1" si="253"/>
        <v>127.39135452895955</v>
      </c>
      <c r="P278">
        <f t="shared" ca="1" si="253"/>
        <v>124.8846218725598</v>
      </c>
      <c r="Q278">
        <f t="shared" ca="1" si="244"/>
        <v>127.39135452895955</v>
      </c>
      <c r="R278">
        <f t="shared" ca="1" si="245"/>
        <v>0</v>
      </c>
      <c r="S278">
        <f t="shared" ca="1" si="246"/>
        <v>0</v>
      </c>
    </row>
    <row r="279" spans="5:19" x14ac:dyDescent="0.75">
      <c r="E279">
        <v>274</v>
      </c>
      <c r="F279">
        <f t="shared" si="242"/>
        <v>100</v>
      </c>
      <c r="G279">
        <f t="shared" ca="1" si="243"/>
        <v>102.06693900856277</v>
      </c>
      <c r="H279">
        <f t="shared" ca="1" si="243"/>
        <v>93.895017616321908</v>
      </c>
      <c r="I279">
        <f t="shared" ca="1" si="243"/>
        <v>90.663914909409314</v>
      </c>
      <c r="J279">
        <f t="shared" ref="J279:P279" ca="1" si="254">I279*EXP(($C$6-0.5*$C$7^2)*$C$12+$C$7*SQRT($C$12)*NORMINV(RAND(),0,1))</f>
        <v>96.832418356757813</v>
      </c>
      <c r="K279">
        <f t="shared" ca="1" si="254"/>
        <v>99.436692430409224</v>
      </c>
      <c r="L279">
        <f t="shared" ca="1" si="254"/>
        <v>97.153739019586169</v>
      </c>
      <c r="M279">
        <f t="shared" ca="1" si="254"/>
        <v>96.889375939020198</v>
      </c>
      <c r="N279">
        <f t="shared" ca="1" si="254"/>
        <v>93.313007400987019</v>
      </c>
      <c r="O279">
        <f t="shared" ca="1" si="254"/>
        <v>98.607947935071095</v>
      </c>
      <c r="P279">
        <f t="shared" ca="1" si="254"/>
        <v>94.150148181776657</v>
      </c>
      <c r="Q279">
        <f t="shared" ca="1" si="244"/>
        <v>102.06693900856277</v>
      </c>
      <c r="R279">
        <f t="shared" ca="1" si="245"/>
        <v>0</v>
      </c>
      <c r="S279">
        <f t="shared" ca="1" si="246"/>
        <v>0</v>
      </c>
    </row>
    <row r="280" spans="5:19" x14ac:dyDescent="0.75">
      <c r="E280">
        <v>275</v>
      </c>
      <c r="F280">
        <f t="shared" si="242"/>
        <v>100</v>
      </c>
      <c r="G280">
        <f t="shared" ca="1" si="243"/>
        <v>100.2379996503344</v>
      </c>
      <c r="H280">
        <f t="shared" ca="1" si="243"/>
        <v>110.86396863112026</v>
      </c>
      <c r="I280">
        <f t="shared" ca="1" si="243"/>
        <v>105.80708633944177</v>
      </c>
      <c r="J280">
        <f t="shared" ref="J280:P280" ca="1" si="255">I280*EXP(($C$6-0.5*$C$7^2)*$C$12+$C$7*SQRT($C$12)*NORMINV(RAND(),0,1))</f>
        <v>108.99949553002428</v>
      </c>
      <c r="K280">
        <f t="shared" ca="1" si="255"/>
        <v>110.16983954824789</v>
      </c>
      <c r="L280">
        <f t="shared" ca="1" si="255"/>
        <v>107.13316011651054</v>
      </c>
      <c r="M280">
        <f t="shared" ca="1" si="255"/>
        <v>100.38939582761672</v>
      </c>
      <c r="N280">
        <f t="shared" ca="1" si="255"/>
        <v>100.88338523376184</v>
      </c>
      <c r="O280">
        <f t="shared" ca="1" si="255"/>
        <v>93.446567388754957</v>
      </c>
      <c r="P280">
        <f t="shared" ca="1" si="255"/>
        <v>97.029599266389724</v>
      </c>
      <c r="Q280">
        <f t="shared" ca="1" si="244"/>
        <v>110.86396863112026</v>
      </c>
      <c r="R280">
        <f t="shared" ca="1" si="245"/>
        <v>0</v>
      </c>
      <c r="S280">
        <f t="shared" ca="1" si="246"/>
        <v>0</v>
      </c>
    </row>
    <row r="281" spans="5:19" x14ac:dyDescent="0.75">
      <c r="E281">
        <v>276</v>
      </c>
      <c r="F281">
        <f t="shared" si="242"/>
        <v>100</v>
      </c>
      <c r="G281">
        <f t="shared" ca="1" si="243"/>
        <v>98.850293991384774</v>
      </c>
      <c r="H281">
        <f t="shared" ca="1" si="243"/>
        <v>97.395559418325348</v>
      </c>
      <c r="I281">
        <f t="shared" ca="1" si="243"/>
        <v>97.672075930772138</v>
      </c>
      <c r="J281">
        <f t="shared" ref="J281:P281" ca="1" si="256">I281*EXP(($C$6-0.5*$C$7^2)*$C$12+$C$7*SQRT($C$12)*NORMINV(RAND(),0,1))</f>
        <v>92.676600173375292</v>
      </c>
      <c r="K281">
        <f t="shared" ca="1" si="256"/>
        <v>90.286384403446533</v>
      </c>
      <c r="L281">
        <f t="shared" ca="1" si="256"/>
        <v>89.185860766724772</v>
      </c>
      <c r="M281">
        <f t="shared" ca="1" si="256"/>
        <v>86.479036862879056</v>
      </c>
      <c r="N281">
        <f t="shared" ca="1" si="256"/>
        <v>90.96746883746772</v>
      </c>
      <c r="O281">
        <f t="shared" ca="1" si="256"/>
        <v>88.303006514290871</v>
      </c>
      <c r="P281">
        <f t="shared" ca="1" si="256"/>
        <v>93.619913213786575</v>
      </c>
      <c r="Q281">
        <f t="shared" ca="1" si="244"/>
        <v>98.850293991384774</v>
      </c>
      <c r="R281">
        <f t="shared" ca="1" si="245"/>
        <v>0</v>
      </c>
      <c r="S281">
        <f t="shared" ca="1" si="246"/>
        <v>0</v>
      </c>
    </row>
    <row r="282" spans="5:19" x14ac:dyDescent="0.75">
      <c r="E282">
        <v>277</v>
      </c>
      <c r="F282">
        <f t="shared" si="242"/>
        <v>100</v>
      </c>
      <c r="G282">
        <f t="shared" ca="1" si="243"/>
        <v>94.914919714259412</v>
      </c>
      <c r="H282">
        <f t="shared" ca="1" si="243"/>
        <v>91.162022995244257</v>
      </c>
      <c r="I282">
        <f t="shared" ca="1" si="243"/>
        <v>91.879844604015091</v>
      </c>
      <c r="J282">
        <f t="shared" ref="J282:P282" ca="1" si="257">I282*EXP(($C$6-0.5*$C$7^2)*$C$12+$C$7*SQRT($C$12)*NORMINV(RAND(),0,1))</f>
        <v>93.091068866718331</v>
      </c>
      <c r="K282">
        <f t="shared" ca="1" si="257"/>
        <v>93.648862457963929</v>
      </c>
      <c r="L282">
        <f t="shared" ca="1" si="257"/>
        <v>98.486609484973044</v>
      </c>
      <c r="M282">
        <f t="shared" ca="1" si="257"/>
        <v>93.965659102866397</v>
      </c>
      <c r="N282">
        <f t="shared" ca="1" si="257"/>
        <v>99.219647429688067</v>
      </c>
      <c r="O282">
        <f t="shared" ca="1" si="257"/>
        <v>102.90338364459095</v>
      </c>
      <c r="P282">
        <f t="shared" ca="1" si="257"/>
        <v>107.29342794617811</v>
      </c>
      <c r="Q282">
        <f t="shared" ca="1" si="244"/>
        <v>107.29342794617811</v>
      </c>
      <c r="R282">
        <f t="shared" ca="1" si="245"/>
        <v>5.2934279461781131</v>
      </c>
      <c r="S282">
        <f t="shared" ca="1" si="246"/>
        <v>5.1627327445152931</v>
      </c>
    </row>
    <row r="283" spans="5:19" x14ac:dyDescent="0.75">
      <c r="E283">
        <v>278</v>
      </c>
      <c r="F283">
        <f t="shared" si="242"/>
        <v>100</v>
      </c>
      <c r="G283">
        <f t="shared" ca="1" si="243"/>
        <v>98.195360559355294</v>
      </c>
      <c r="H283">
        <f t="shared" ca="1" si="243"/>
        <v>95.896509613056097</v>
      </c>
      <c r="I283">
        <f t="shared" ca="1" si="243"/>
        <v>97.522087445495799</v>
      </c>
      <c r="J283">
        <f t="shared" ref="J283:P283" ca="1" si="258">I283*EXP(($C$6-0.5*$C$7^2)*$C$12+$C$7*SQRT($C$12)*NORMINV(RAND(),0,1))</f>
        <v>100.5657208995198</v>
      </c>
      <c r="K283">
        <f t="shared" ca="1" si="258"/>
        <v>107.49322473713738</v>
      </c>
      <c r="L283">
        <f t="shared" ca="1" si="258"/>
        <v>117.35346306753169</v>
      </c>
      <c r="M283">
        <f t="shared" ca="1" si="258"/>
        <v>118.85343875075604</v>
      </c>
      <c r="N283">
        <f t="shared" ca="1" si="258"/>
        <v>120.31350307098478</v>
      </c>
      <c r="O283">
        <f t="shared" ca="1" si="258"/>
        <v>122.81690850906533</v>
      </c>
      <c r="P283">
        <f t="shared" ca="1" si="258"/>
        <v>129.04876561316593</v>
      </c>
      <c r="Q283">
        <f t="shared" ca="1" si="244"/>
        <v>129.04876561316593</v>
      </c>
      <c r="R283">
        <f t="shared" ca="1" si="245"/>
        <v>0</v>
      </c>
      <c r="S283">
        <f t="shared" ca="1" si="246"/>
        <v>0</v>
      </c>
    </row>
    <row r="284" spans="5:19" x14ac:dyDescent="0.75">
      <c r="E284">
        <v>279</v>
      </c>
      <c r="F284">
        <f t="shared" si="242"/>
        <v>100</v>
      </c>
      <c r="G284">
        <f t="shared" ca="1" si="243"/>
        <v>104.25592343589101</v>
      </c>
      <c r="H284">
        <f t="shared" ca="1" si="243"/>
        <v>106.45885255107865</v>
      </c>
      <c r="I284">
        <f t="shared" ca="1" si="243"/>
        <v>99.783352124637787</v>
      </c>
      <c r="J284">
        <f t="shared" ref="J284:P284" ca="1" si="259">I284*EXP(($C$6-0.5*$C$7^2)*$C$12+$C$7*SQRT($C$12)*NORMINV(RAND(),0,1))</f>
        <v>99.392438957443659</v>
      </c>
      <c r="K284">
        <f t="shared" ca="1" si="259"/>
        <v>96.285695276017634</v>
      </c>
      <c r="L284">
        <f t="shared" ca="1" si="259"/>
        <v>95.686439948362889</v>
      </c>
      <c r="M284">
        <f t="shared" ca="1" si="259"/>
        <v>95.552324863659052</v>
      </c>
      <c r="N284">
        <f t="shared" ca="1" si="259"/>
        <v>90.232084757737894</v>
      </c>
      <c r="O284">
        <f t="shared" ca="1" si="259"/>
        <v>90.980427346676464</v>
      </c>
      <c r="P284">
        <f t="shared" ca="1" si="259"/>
        <v>91.982899611855103</v>
      </c>
      <c r="Q284">
        <f t="shared" ca="1" si="244"/>
        <v>106.45885255107865</v>
      </c>
      <c r="R284">
        <f t="shared" ca="1" si="245"/>
        <v>0</v>
      </c>
      <c r="S284">
        <f t="shared" ca="1" si="246"/>
        <v>0</v>
      </c>
    </row>
    <row r="285" spans="5:19" x14ac:dyDescent="0.75">
      <c r="E285">
        <v>280</v>
      </c>
      <c r="F285">
        <f t="shared" si="242"/>
        <v>100</v>
      </c>
      <c r="G285">
        <f t="shared" ca="1" si="243"/>
        <v>101.81966456139169</v>
      </c>
      <c r="H285">
        <f t="shared" ca="1" si="243"/>
        <v>99.515929197639622</v>
      </c>
      <c r="I285">
        <f t="shared" ca="1" si="243"/>
        <v>98.052678525150952</v>
      </c>
      <c r="J285">
        <f t="shared" ref="J285:P285" ca="1" si="260">I285*EXP(($C$6-0.5*$C$7^2)*$C$12+$C$7*SQRT($C$12)*NORMINV(RAND(),0,1))</f>
        <v>98.018119227230372</v>
      </c>
      <c r="K285">
        <f t="shared" ca="1" si="260"/>
        <v>95.894654750147069</v>
      </c>
      <c r="L285">
        <f t="shared" ca="1" si="260"/>
        <v>100.3844138785625</v>
      </c>
      <c r="M285">
        <f t="shared" ca="1" si="260"/>
        <v>104.88960867721759</v>
      </c>
      <c r="N285">
        <f t="shared" ca="1" si="260"/>
        <v>109.62097175973823</v>
      </c>
      <c r="O285">
        <f t="shared" ca="1" si="260"/>
        <v>107.39978585982466</v>
      </c>
      <c r="P285">
        <f t="shared" ca="1" si="260"/>
        <v>110.91192110550337</v>
      </c>
      <c r="Q285">
        <f t="shared" ca="1" si="244"/>
        <v>110.91192110550337</v>
      </c>
      <c r="R285">
        <f t="shared" ca="1" si="245"/>
        <v>0</v>
      </c>
      <c r="S285">
        <f t="shared" ca="1" si="246"/>
        <v>0</v>
      </c>
    </row>
    <row r="286" spans="5:19" x14ac:dyDescent="0.75">
      <c r="E286">
        <v>281</v>
      </c>
      <c r="F286">
        <f t="shared" si="242"/>
        <v>100</v>
      </c>
      <c r="G286">
        <f t="shared" ca="1" si="243"/>
        <v>104.75670670385288</v>
      </c>
      <c r="H286">
        <f t="shared" ca="1" si="243"/>
        <v>109.89609588604728</v>
      </c>
      <c r="I286">
        <f t="shared" ca="1" si="243"/>
        <v>103.33863827372569</v>
      </c>
      <c r="J286">
        <f t="shared" ref="J286:P286" ca="1" si="261">I286*EXP(($C$6-0.5*$C$7^2)*$C$12+$C$7*SQRT($C$12)*NORMINV(RAND(),0,1))</f>
        <v>103.30528596407265</v>
      </c>
      <c r="K286">
        <f t="shared" ca="1" si="261"/>
        <v>111.63395142787975</v>
      </c>
      <c r="L286">
        <f t="shared" ca="1" si="261"/>
        <v>115.9398534130387</v>
      </c>
      <c r="M286">
        <f t="shared" ca="1" si="261"/>
        <v>109.27614602483135</v>
      </c>
      <c r="N286">
        <f t="shared" ca="1" si="261"/>
        <v>115.26312456109386</v>
      </c>
      <c r="O286">
        <f t="shared" ca="1" si="261"/>
        <v>120.48414079346929</v>
      </c>
      <c r="P286">
        <f t="shared" ca="1" si="261"/>
        <v>122.91338184546055</v>
      </c>
      <c r="Q286">
        <f t="shared" ca="1" si="244"/>
        <v>122.91338184546055</v>
      </c>
      <c r="R286">
        <f t="shared" ca="1" si="245"/>
        <v>0</v>
      </c>
      <c r="S286">
        <f t="shared" ca="1" si="246"/>
        <v>0</v>
      </c>
    </row>
    <row r="287" spans="5:19" x14ac:dyDescent="0.75">
      <c r="E287">
        <v>282</v>
      </c>
      <c r="F287">
        <f t="shared" si="242"/>
        <v>100</v>
      </c>
      <c r="G287">
        <f t="shared" ca="1" si="243"/>
        <v>99.033436377179186</v>
      </c>
      <c r="H287">
        <f t="shared" ca="1" si="243"/>
        <v>104.51033836616601</v>
      </c>
      <c r="I287">
        <f t="shared" ca="1" si="243"/>
        <v>106.22277325401744</v>
      </c>
      <c r="J287">
        <f t="shared" ref="J287:P287" ca="1" si="262">I287*EXP(($C$6-0.5*$C$7^2)*$C$12+$C$7*SQRT($C$12)*NORMINV(RAND(),0,1))</f>
        <v>103.59891709530775</v>
      </c>
      <c r="K287">
        <f t="shared" ca="1" si="262"/>
        <v>102.99754040189666</v>
      </c>
      <c r="L287">
        <f t="shared" ca="1" si="262"/>
        <v>108.70386417633999</v>
      </c>
      <c r="M287">
        <f t="shared" ca="1" si="262"/>
        <v>110.49640457241075</v>
      </c>
      <c r="N287">
        <f t="shared" ca="1" si="262"/>
        <v>115.02244877405681</v>
      </c>
      <c r="O287">
        <f t="shared" ca="1" si="262"/>
        <v>119.87638363690502</v>
      </c>
      <c r="P287">
        <f t="shared" ca="1" si="262"/>
        <v>111.24550062862171</v>
      </c>
      <c r="Q287">
        <f t="shared" ca="1" si="244"/>
        <v>119.87638363690502</v>
      </c>
      <c r="R287">
        <f t="shared" ca="1" si="245"/>
        <v>0</v>
      </c>
      <c r="S287">
        <f t="shared" ca="1" si="246"/>
        <v>0</v>
      </c>
    </row>
    <row r="288" spans="5:19" x14ac:dyDescent="0.75">
      <c r="E288">
        <v>283</v>
      </c>
      <c r="F288">
        <f t="shared" si="242"/>
        <v>100</v>
      </c>
      <c r="G288">
        <f t="shared" ca="1" si="243"/>
        <v>98.145005964000134</v>
      </c>
      <c r="H288">
        <f t="shared" ca="1" si="243"/>
        <v>97.467621521865524</v>
      </c>
      <c r="I288">
        <f t="shared" ca="1" si="243"/>
        <v>97.768449265324975</v>
      </c>
      <c r="J288">
        <f t="shared" ref="J288:P288" ca="1" si="263">I288*EXP(($C$6-0.5*$C$7^2)*$C$12+$C$7*SQRT($C$12)*NORMINV(RAND(),0,1))</f>
        <v>88.698728589809392</v>
      </c>
      <c r="K288">
        <f t="shared" ca="1" si="263"/>
        <v>94.678821208765044</v>
      </c>
      <c r="L288">
        <f t="shared" ca="1" si="263"/>
        <v>90.268141156799373</v>
      </c>
      <c r="M288">
        <f t="shared" ca="1" si="263"/>
        <v>95.696745908017988</v>
      </c>
      <c r="N288">
        <f t="shared" ca="1" si="263"/>
        <v>91.330375178156686</v>
      </c>
      <c r="O288">
        <f t="shared" ca="1" si="263"/>
        <v>88.409717158790784</v>
      </c>
      <c r="P288">
        <f t="shared" ca="1" si="263"/>
        <v>86.902271374989766</v>
      </c>
      <c r="Q288">
        <f t="shared" ca="1" si="244"/>
        <v>98.145005964000134</v>
      </c>
      <c r="R288">
        <f t="shared" ca="1" si="245"/>
        <v>0</v>
      </c>
      <c r="S288">
        <f t="shared" ca="1" si="246"/>
        <v>0</v>
      </c>
    </row>
    <row r="289" spans="5:19" x14ac:dyDescent="0.75">
      <c r="E289">
        <v>284</v>
      </c>
      <c r="F289">
        <f t="shared" si="242"/>
        <v>100</v>
      </c>
      <c r="G289">
        <f t="shared" ca="1" si="243"/>
        <v>95.766380861842009</v>
      </c>
      <c r="H289">
        <f t="shared" ca="1" si="243"/>
        <v>97.068984645642999</v>
      </c>
      <c r="I289">
        <f t="shared" ca="1" si="243"/>
        <v>93.687514326383038</v>
      </c>
      <c r="J289">
        <f t="shared" ref="J289:P289" ca="1" si="264">I289*EXP(($C$6-0.5*$C$7^2)*$C$12+$C$7*SQRT($C$12)*NORMINV(RAND(),0,1))</f>
        <v>100.40036589392031</v>
      </c>
      <c r="K289">
        <f t="shared" ca="1" si="264"/>
        <v>100.91258232163345</v>
      </c>
      <c r="L289">
        <f t="shared" ca="1" si="264"/>
        <v>99.421007529336734</v>
      </c>
      <c r="M289">
        <f t="shared" ca="1" si="264"/>
        <v>95.988393878711477</v>
      </c>
      <c r="N289">
        <f t="shared" ca="1" si="264"/>
        <v>100.73559377730886</v>
      </c>
      <c r="O289">
        <f t="shared" ca="1" si="264"/>
        <v>101.57989006868981</v>
      </c>
      <c r="P289">
        <f t="shared" ca="1" si="264"/>
        <v>101.42093203535759</v>
      </c>
      <c r="Q289">
        <f t="shared" ca="1" si="244"/>
        <v>101.57989006868981</v>
      </c>
      <c r="R289">
        <f t="shared" ca="1" si="245"/>
        <v>0</v>
      </c>
      <c r="S289">
        <f t="shared" ca="1" si="246"/>
        <v>0</v>
      </c>
    </row>
    <row r="290" spans="5:19" x14ac:dyDescent="0.75">
      <c r="E290">
        <v>285</v>
      </c>
      <c r="F290">
        <f t="shared" si="242"/>
        <v>100</v>
      </c>
      <c r="G290">
        <f t="shared" ca="1" si="243"/>
        <v>97.969665988460662</v>
      </c>
      <c r="H290">
        <f t="shared" ca="1" si="243"/>
        <v>100.13815343454075</v>
      </c>
      <c r="I290">
        <f t="shared" ca="1" si="243"/>
        <v>96.470352119407096</v>
      </c>
      <c r="J290">
        <f t="shared" ref="J290:P290" ca="1" si="265">I290*EXP(($C$6-0.5*$C$7^2)*$C$12+$C$7*SQRT($C$12)*NORMINV(RAND(),0,1))</f>
        <v>95.051327344370321</v>
      </c>
      <c r="K290">
        <f t="shared" ca="1" si="265"/>
        <v>98.877781535045372</v>
      </c>
      <c r="L290">
        <f t="shared" ca="1" si="265"/>
        <v>95.758269699043339</v>
      </c>
      <c r="M290">
        <f t="shared" ca="1" si="265"/>
        <v>99.807701672122917</v>
      </c>
      <c r="N290">
        <f t="shared" ca="1" si="265"/>
        <v>103.34392035427595</v>
      </c>
      <c r="O290">
        <f t="shared" ca="1" si="265"/>
        <v>119.30445031750152</v>
      </c>
      <c r="P290">
        <f t="shared" ca="1" si="265"/>
        <v>115.48454147875573</v>
      </c>
      <c r="Q290">
        <f t="shared" ca="1" si="244"/>
        <v>119.30445031750152</v>
      </c>
      <c r="R290">
        <f t="shared" ca="1" si="245"/>
        <v>0</v>
      </c>
      <c r="S290">
        <f t="shared" ca="1" si="246"/>
        <v>0</v>
      </c>
    </row>
    <row r="291" spans="5:19" x14ac:dyDescent="0.75">
      <c r="E291">
        <v>286</v>
      </c>
      <c r="F291">
        <f t="shared" si="242"/>
        <v>100</v>
      </c>
      <c r="G291">
        <f t="shared" ca="1" si="243"/>
        <v>100.38593552686893</v>
      </c>
      <c r="H291">
        <f t="shared" ca="1" si="243"/>
        <v>101.26690942521674</v>
      </c>
      <c r="I291">
        <f t="shared" ca="1" si="243"/>
        <v>104.37821246060329</v>
      </c>
      <c r="J291">
        <f t="shared" ref="J291:P291" ca="1" si="266">I291*EXP(($C$6-0.5*$C$7^2)*$C$12+$C$7*SQRT($C$12)*NORMINV(RAND(),0,1))</f>
        <v>107.49731171066405</v>
      </c>
      <c r="K291">
        <f t="shared" ca="1" si="266"/>
        <v>105.30169365300496</v>
      </c>
      <c r="L291">
        <f t="shared" ca="1" si="266"/>
        <v>104.48135356400208</v>
      </c>
      <c r="M291">
        <f t="shared" ca="1" si="266"/>
        <v>106.23822404576431</v>
      </c>
      <c r="N291">
        <f t="shared" ca="1" si="266"/>
        <v>96.024009038472983</v>
      </c>
      <c r="O291">
        <f t="shared" ca="1" si="266"/>
        <v>95.67028802425277</v>
      </c>
      <c r="P291">
        <f t="shared" ca="1" si="266"/>
        <v>100.63806691596844</v>
      </c>
      <c r="Q291">
        <f t="shared" ca="1" si="244"/>
        <v>107.49731171066405</v>
      </c>
      <c r="R291">
        <f t="shared" ca="1" si="245"/>
        <v>0</v>
      </c>
      <c r="S291">
        <f t="shared" ca="1" si="246"/>
        <v>0</v>
      </c>
    </row>
    <row r="292" spans="5:19" x14ac:dyDescent="0.75">
      <c r="E292">
        <v>287</v>
      </c>
      <c r="F292">
        <f t="shared" si="242"/>
        <v>100</v>
      </c>
      <c r="G292">
        <f t="shared" ca="1" si="243"/>
        <v>103.21431962920077</v>
      </c>
      <c r="H292">
        <f t="shared" ca="1" si="243"/>
        <v>108.4690259954731</v>
      </c>
      <c r="I292">
        <f t="shared" ca="1" si="243"/>
        <v>107.65582377909963</v>
      </c>
      <c r="J292">
        <f t="shared" ref="J292:P292" ca="1" si="267">I292*EXP(($C$6-0.5*$C$7^2)*$C$12+$C$7*SQRT($C$12)*NORMINV(RAND(),0,1))</f>
        <v>111.86971748803408</v>
      </c>
      <c r="K292">
        <f t="shared" ca="1" si="267"/>
        <v>111.97181952078748</v>
      </c>
      <c r="L292">
        <f t="shared" ca="1" si="267"/>
        <v>117.13641800193585</v>
      </c>
      <c r="M292">
        <f t="shared" ca="1" si="267"/>
        <v>113.50823430152788</v>
      </c>
      <c r="N292">
        <f t="shared" ca="1" si="267"/>
        <v>113.21138765048343</v>
      </c>
      <c r="O292">
        <f t="shared" ca="1" si="267"/>
        <v>122.78013704539798</v>
      </c>
      <c r="P292">
        <f t="shared" ca="1" si="267"/>
        <v>119.37159213630508</v>
      </c>
      <c r="Q292">
        <f t="shared" ca="1" si="244"/>
        <v>122.78013704539798</v>
      </c>
      <c r="R292">
        <f t="shared" ca="1" si="245"/>
        <v>0</v>
      </c>
      <c r="S292">
        <f t="shared" ca="1" si="246"/>
        <v>0</v>
      </c>
    </row>
    <row r="293" spans="5:19" x14ac:dyDescent="0.75">
      <c r="E293">
        <v>288</v>
      </c>
      <c r="F293">
        <f t="shared" si="242"/>
        <v>100</v>
      </c>
      <c r="G293">
        <f t="shared" ca="1" si="243"/>
        <v>94.492052857331913</v>
      </c>
      <c r="H293">
        <f t="shared" ca="1" si="243"/>
        <v>94.953215039535564</v>
      </c>
      <c r="I293">
        <f t="shared" ca="1" si="243"/>
        <v>101.91904601914632</v>
      </c>
      <c r="J293">
        <f t="shared" ref="J293:P293" ca="1" si="268">I293*EXP(($C$6-0.5*$C$7^2)*$C$12+$C$7*SQRT($C$12)*NORMINV(RAND(),0,1))</f>
        <v>102.58357773138349</v>
      </c>
      <c r="K293">
        <f t="shared" ca="1" si="268"/>
        <v>98.388233391928992</v>
      </c>
      <c r="L293">
        <f t="shared" ca="1" si="268"/>
        <v>93.188308106163859</v>
      </c>
      <c r="M293">
        <f t="shared" ca="1" si="268"/>
        <v>91.992224721910773</v>
      </c>
      <c r="N293">
        <f t="shared" ca="1" si="268"/>
        <v>87.897149371903041</v>
      </c>
      <c r="O293">
        <f t="shared" ca="1" si="268"/>
        <v>87.519240310161322</v>
      </c>
      <c r="P293">
        <f t="shared" ca="1" si="268"/>
        <v>93.084099822460104</v>
      </c>
      <c r="Q293">
        <f t="shared" ca="1" si="244"/>
        <v>102.58357773138349</v>
      </c>
      <c r="R293">
        <f t="shared" ca="1" si="245"/>
        <v>0</v>
      </c>
      <c r="S293">
        <f t="shared" ca="1" si="246"/>
        <v>0</v>
      </c>
    </row>
    <row r="294" spans="5:19" x14ac:dyDescent="0.75">
      <c r="E294">
        <v>289</v>
      </c>
      <c r="F294">
        <f t="shared" si="242"/>
        <v>100</v>
      </c>
      <c r="G294">
        <f t="shared" ca="1" si="243"/>
        <v>101.1549564529532</v>
      </c>
      <c r="H294">
        <f t="shared" ca="1" si="243"/>
        <v>107.05799824885429</v>
      </c>
      <c r="I294">
        <f t="shared" ca="1" si="243"/>
        <v>106.47918554546537</v>
      </c>
      <c r="J294">
        <f t="shared" ref="J294:P294" ca="1" si="269">I294*EXP(($C$6-0.5*$C$7^2)*$C$12+$C$7*SQRT($C$12)*NORMINV(RAND(),0,1))</f>
        <v>110.11951374427647</v>
      </c>
      <c r="K294">
        <f t="shared" ca="1" si="269"/>
        <v>104.02002293935865</v>
      </c>
      <c r="L294">
        <f t="shared" ca="1" si="269"/>
        <v>101.10231418958958</v>
      </c>
      <c r="M294">
        <f t="shared" ca="1" si="269"/>
        <v>99.682436765867749</v>
      </c>
      <c r="N294">
        <f t="shared" ca="1" si="269"/>
        <v>106.34017276526386</v>
      </c>
      <c r="O294">
        <f t="shared" ca="1" si="269"/>
        <v>111.06678947353218</v>
      </c>
      <c r="P294">
        <f t="shared" ca="1" si="269"/>
        <v>112.60213198255985</v>
      </c>
      <c r="Q294">
        <f t="shared" ca="1" si="244"/>
        <v>112.60213198255985</v>
      </c>
      <c r="R294">
        <f t="shared" ca="1" si="245"/>
        <v>0</v>
      </c>
      <c r="S294">
        <f t="shared" ca="1" si="246"/>
        <v>0</v>
      </c>
    </row>
    <row r="295" spans="5:19" x14ac:dyDescent="0.75">
      <c r="E295">
        <v>290</v>
      </c>
      <c r="F295">
        <f t="shared" si="242"/>
        <v>100</v>
      </c>
      <c r="G295">
        <f t="shared" ca="1" si="243"/>
        <v>95.064255957615401</v>
      </c>
      <c r="H295">
        <f t="shared" ca="1" si="243"/>
        <v>92.989981839415009</v>
      </c>
      <c r="I295">
        <f t="shared" ca="1" si="243"/>
        <v>94.174097405597749</v>
      </c>
      <c r="J295">
        <f t="shared" ref="J295:P295" ca="1" si="270">I295*EXP(($C$6-0.5*$C$7^2)*$C$12+$C$7*SQRT($C$12)*NORMINV(RAND(),0,1))</f>
        <v>93.657791854984367</v>
      </c>
      <c r="K295">
        <f t="shared" ca="1" si="270"/>
        <v>96.905775392361448</v>
      </c>
      <c r="L295">
        <f t="shared" ca="1" si="270"/>
        <v>100.52478606692038</v>
      </c>
      <c r="M295">
        <f t="shared" ca="1" si="270"/>
        <v>99.944011127697237</v>
      </c>
      <c r="N295">
        <f t="shared" ca="1" si="270"/>
        <v>98.751618180580707</v>
      </c>
      <c r="O295">
        <f t="shared" ca="1" si="270"/>
        <v>99.545313678458044</v>
      </c>
      <c r="P295">
        <f t="shared" ca="1" si="270"/>
        <v>107.48150424868102</v>
      </c>
      <c r="Q295">
        <f t="shared" ca="1" si="244"/>
        <v>107.48150424868102</v>
      </c>
      <c r="R295">
        <f t="shared" ca="1" si="245"/>
        <v>5.4815042486810199</v>
      </c>
      <c r="S295">
        <f t="shared" ca="1" si="246"/>
        <v>5.3461654265640171</v>
      </c>
    </row>
    <row r="296" spans="5:19" x14ac:dyDescent="0.75">
      <c r="E296">
        <v>291</v>
      </c>
      <c r="F296">
        <f t="shared" si="242"/>
        <v>100</v>
      </c>
      <c r="G296">
        <f t="shared" ca="1" si="243"/>
        <v>100.42788900371717</v>
      </c>
      <c r="H296">
        <f t="shared" ca="1" si="243"/>
        <v>96.533361068511894</v>
      </c>
      <c r="I296">
        <f t="shared" ca="1" si="243"/>
        <v>94.986261830549253</v>
      </c>
      <c r="J296">
        <f t="shared" ref="J296:P296" ca="1" si="271">I296*EXP(($C$6-0.5*$C$7^2)*$C$12+$C$7*SQRT($C$12)*NORMINV(RAND(),0,1))</f>
        <v>92.995287373706233</v>
      </c>
      <c r="K296">
        <f t="shared" ca="1" si="271"/>
        <v>93.965590538731334</v>
      </c>
      <c r="L296">
        <f t="shared" ca="1" si="271"/>
        <v>100.77818658882346</v>
      </c>
      <c r="M296">
        <f t="shared" ca="1" si="271"/>
        <v>98.518801481229659</v>
      </c>
      <c r="N296">
        <f t="shared" ca="1" si="271"/>
        <v>96.258754861191463</v>
      </c>
      <c r="O296">
        <f t="shared" ca="1" si="271"/>
        <v>89.100372106183556</v>
      </c>
      <c r="P296">
        <f t="shared" ca="1" si="271"/>
        <v>78.830833234484928</v>
      </c>
      <c r="Q296">
        <f t="shared" ca="1" si="244"/>
        <v>100.77818658882346</v>
      </c>
      <c r="R296">
        <f t="shared" ca="1" si="245"/>
        <v>0</v>
      </c>
      <c r="S296">
        <f t="shared" ca="1" si="246"/>
        <v>0</v>
      </c>
    </row>
    <row r="297" spans="5:19" x14ac:dyDescent="0.75">
      <c r="E297">
        <v>292</v>
      </c>
      <c r="F297">
        <f t="shared" si="242"/>
        <v>100</v>
      </c>
      <c r="G297">
        <f t="shared" ca="1" si="243"/>
        <v>97.129073465264057</v>
      </c>
      <c r="H297">
        <f t="shared" ca="1" si="243"/>
        <v>94.550572450000331</v>
      </c>
      <c r="I297">
        <f t="shared" ca="1" si="243"/>
        <v>96.235441522732529</v>
      </c>
      <c r="J297">
        <f t="shared" ref="J297:P297" ca="1" si="272">I297*EXP(($C$6-0.5*$C$7^2)*$C$12+$C$7*SQRT($C$12)*NORMINV(RAND(),0,1))</f>
        <v>84.453678173153932</v>
      </c>
      <c r="K297">
        <f t="shared" ca="1" si="272"/>
        <v>85.903618399975798</v>
      </c>
      <c r="L297">
        <f t="shared" ca="1" si="272"/>
        <v>83.54146894496408</v>
      </c>
      <c r="M297">
        <f t="shared" ca="1" si="272"/>
        <v>82.192732801149575</v>
      </c>
      <c r="N297">
        <f t="shared" ca="1" si="272"/>
        <v>84.052693203750437</v>
      </c>
      <c r="O297">
        <f t="shared" ca="1" si="272"/>
        <v>83.019837640100206</v>
      </c>
      <c r="P297">
        <f t="shared" ca="1" si="272"/>
        <v>79.560793362296025</v>
      </c>
      <c r="Q297">
        <f t="shared" ca="1" si="244"/>
        <v>97.129073465264057</v>
      </c>
      <c r="R297">
        <f t="shared" ca="1" si="245"/>
        <v>0</v>
      </c>
      <c r="S297">
        <f t="shared" ca="1" si="246"/>
        <v>0</v>
      </c>
    </row>
    <row r="298" spans="5:19" x14ac:dyDescent="0.75">
      <c r="E298">
        <v>293</v>
      </c>
      <c r="F298">
        <f t="shared" si="242"/>
        <v>100</v>
      </c>
      <c r="G298">
        <f t="shared" ca="1" si="243"/>
        <v>91.834617225625024</v>
      </c>
      <c r="H298">
        <f t="shared" ca="1" si="243"/>
        <v>93.147467606494459</v>
      </c>
      <c r="I298">
        <f t="shared" ca="1" si="243"/>
        <v>93.208816534903946</v>
      </c>
      <c r="J298">
        <f t="shared" ref="J298:P298" ca="1" si="273">I298*EXP(($C$6-0.5*$C$7^2)*$C$12+$C$7*SQRT($C$12)*NORMINV(RAND(),0,1))</f>
        <v>93.845039684054385</v>
      </c>
      <c r="K298">
        <f t="shared" ca="1" si="273"/>
        <v>93.826993219735854</v>
      </c>
      <c r="L298">
        <f t="shared" ca="1" si="273"/>
        <v>95.490565547446252</v>
      </c>
      <c r="M298">
        <f t="shared" ca="1" si="273"/>
        <v>95.55646136824133</v>
      </c>
      <c r="N298">
        <f t="shared" ca="1" si="273"/>
        <v>103.08835585286771</v>
      </c>
      <c r="O298">
        <f t="shared" ca="1" si="273"/>
        <v>109.67989781895557</v>
      </c>
      <c r="P298">
        <f t="shared" ca="1" si="273"/>
        <v>113.48750272859999</v>
      </c>
      <c r="Q298">
        <f t="shared" ca="1" si="244"/>
        <v>113.48750272859999</v>
      </c>
      <c r="R298">
        <f t="shared" ca="1" si="245"/>
        <v>0</v>
      </c>
      <c r="S298">
        <f t="shared" ca="1" si="246"/>
        <v>0</v>
      </c>
    </row>
    <row r="299" spans="5:19" x14ac:dyDescent="0.75">
      <c r="E299">
        <v>294</v>
      </c>
      <c r="F299">
        <f t="shared" si="242"/>
        <v>100</v>
      </c>
      <c r="G299">
        <f t="shared" ca="1" si="243"/>
        <v>109.73607920020308</v>
      </c>
      <c r="H299">
        <f t="shared" ca="1" si="243"/>
        <v>115.08810933354144</v>
      </c>
      <c r="I299">
        <f t="shared" ca="1" si="243"/>
        <v>111.54878555549597</v>
      </c>
      <c r="J299">
        <f t="shared" ref="J299:P299" ca="1" si="274">I299*EXP(($C$6-0.5*$C$7^2)*$C$12+$C$7*SQRT($C$12)*NORMINV(RAND(),0,1))</f>
        <v>101.67534366997843</v>
      </c>
      <c r="K299">
        <f t="shared" ca="1" si="274"/>
        <v>102.79799538554097</v>
      </c>
      <c r="L299">
        <f t="shared" ca="1" si="274"/>
        <v>101.53796722909944</v>
      </c>
      <c r="M299">
        <f t="shared" ca="1" si="274"/>
        <v>107.08593957808151</v>
      </c>
      <c r="N299">
        <f t="shared" ca="1" si="274"/>
        <v>111.13158561624182</v>
      </c>
      <c r="O299">
        <f t="shared" ca="1" si="274"/>
        <v>107.74684717076208</v>
      </c>
      <c r="P299">
        <f t="shared" ca="1" si="274"/>
        <v>97.248125726654621</v>
      </c>
      <c r="Q299">
        <f t="shared" ca="1" si="244"/>
        <v>115.08810933354144</v>
      </c>
      <c r="R299">
        <f t="shared" ca="1" si="245"/>
        <v>0</v>
      </c>
      <c r="S299">
        <f t="shared" ca="1" si="246"/>
        <v>0</v>
      </c>
    </row>
    <row r="300" spans="5:19" x14ac:dyDescent="0.75">
      <c r="E300">
        <v>295</v>
      </c>
      <c r="F300">
        <f t="shared" si="242"/>
        <v>100</v>
      </c>
      <c r="G300">
        <f t="shared" ca="1" si="243"/>
        <v>100.04780065201922</v>
      </c>
      <c r="H300">
        <f t="shared" ca="1" si="243"/>
        <v>101.77143947201448</v>
      </c>
      <c r="I300">
        <f t="shared" ca="1" si="243"/>
        <v>102.2486190817343</v>
      </c>
      <c r="J300">
        <f t="shared" ref="J300:P300" ca="1" si="275">I300*EXP(($C$6-0.5*$C$7^2)*$C$12+$C$7*SQRT($C$12)*NORMINV(RAND(),0,1))</f>
        <v>101.39050753893902</v>
      </c>
      <c r="K300">
        <f t="shared" ca="1" si="275"/>
        <v>97.674344689623112</v>
      </c>
      <c r="L300">
        <f t="shared" ca="1" si="275"/>
        <v>100.48270871947109</v>
      </c>
      <c r="M300">
        <f t="shared" ca="1" si="275"/>
        <v>96.968198126348184</v>
      </c>
      <c r="N300">
        <f t="shared" ca="1" si="275"/>
        <v>101.9732167959113</v>
      </c>
      <c r="O300">
        <f t="shared" ca="1" si="275"/>
        <v>100.801320726314</v>
      </c>
      <c r="P300">
        <f t="shared" ca="1" si="275"/>
        <v>106.39447968090901</v>
      </c>
      <c r="Q300">
        <f t="shared" ca="1" si="244"/>
        <v>106.39447968090901</v>
      </c>
      <c r="R300">
        <f t="shared" ca="1" si="245"/>
        <v>4.394479680909015</v>
      </c>
      <c r="S300">
        <f t="shared" ca="1" si="246"/>
        <v>4.285979590997667</v>
      </c>
    </row>
    <row r="301" spans="5:19" x14ac:dyDescent="0.75">
      <c r="E301">
        <v>296</v>
      </c>
      <c r="F301">
        <f t="shared" si="242"/>
        <v>100</v>
      </c>
      <c r="G301">
        <f t="shared" ca="1" si="243"/>
        <v>98.80623834052605</v>
      </c>
      <c r="H301">
        <f t="shared" ca="1" si="243"/>
        <v>97.98186913370175</v>
      </c>
      <c r="I301">
        <f t="shared" ca="1" si="243"/>
        <v>102.24178301906255</v>
      </c>
      <c r="J301">
        <f t="shared" ref="J301:P301" ca="1" si="276">I301*EXP(($C$6-0.5*$C$7^2)*$C$12+$C$7*SQRT($C$12)*NORMINV(RAND(),0,1))</f>
        <v>98.57880818888691</v>
      </c>
      <c r="K301">
        <f t="shared" ca="1" si="276"/>
        <v>94.046823835829045</v>
      </c>
      <c r="L301">
        <f t="shared" ca="1" si="276"/>
        <v>95.161151950658279</v>
      </c>
      <c r="M301">
        <f t="shared" ca="1" si="276"/>
        <v>100.15275008830977</v>
      </c>
      <c r="N301">
        <f t="shared" ca="1" si="276"/>
        <v>98.332317441278519</v>
      </c>
      <c r="O301">
        <f t="shared" ca="1" si="276"/>
        <v>96.677810870539659</v>
      </c>
      <c r="P301">
        <f t="shared" ca="1" si="276"/>
        <v>98.110272771048088</v>
      </c>
      <c r="Q301">
        <f t="shared" ca="1" si="244"/>
        <v>102.24178301906255</v>
      </c>
      <c r="R301">
        <f t="shared" ca="1" si="245"/>
        <v>0</v>
      </c>
      <c r="S301">
        <f t="shared" ca="1" si="246"/>
        <v>0</v>
      </c>
    </row>
    <row r="302" spans="5:19" x14ac:dyDescent="0.75">
      <c r="E302">
        <v>297</v>
      </c>
      <c r="F302">
        <f t="shared" si="242"/>
        <v>100</v>
      </c>
      <c r="G302">
        <f t="shared" ca="1" si="243"/>
        <v>92.52363526087214</v>
      </c>
      <c r="H302">
        <f t="shared" ca="1" si="243"/>
        <v>88.675551255776938</v>
      </c>
      <c r="I302">
        <f t="shared" ca="1" si="243"/>
        <v>86.303903428661002</v>
      </c>
      <c r="J302">
        <f t="shared" ref="J302:P302" ca="1" si="277">I302*EXP(($C$6-0.5*$C$7^2)*$C$12+$C$7*SQRT($C$12)*NORMINV(RAND(),0,1))</f>
        <v>89.019934460075021</v>
      </c>
      <c r="K302">
        <f t="shared" ca="1" si="277"/>
        <v>93.486920600879159</v>
      </c>
      <c r="L302">
        <f t="shared" ca="1" si="277"/>
        <v>90.984712560271134</v>
      </c>
      <c r="M302">
        <f t="shared" ca="1" si="277"/>
        <v>97.819632573199428</v>
      </c>
      <c r="N302">
        <f t="shared" ca="1" si="277"/>
        <v>99.023411279815321</v>
      </c>
      <c r="O302">
        <f t="shared" ca="1" si="277"/>
        <v>100.44091813900607</v>
      </c>
      <c r="P302">
        <f t="shared" ca="1" si="277"/>
        <v>96.705223138930464</v>
      </c>
      <c r="Q302">
        <f t="shared" ca="1" si="244"/>
        <v>100.44091813900607</v>
      </c>
      <c r="R302">
        <f t="shared" ca="1" si="245"/>
        <v>0</v>
      </c>
      <c r="S302">
        <f t="shared" ca="1" si="246"/>
        <v>0</v>
      </c>
    </row>
    <row r="303" spans="5:19" x14ac:dyDescent="0.75">
      <c r="E303">
        <v>298</v>
      </c>
      <c r="F303">
        <f t="shared" si="242"/>
        <v>100</v>
      </c>
      <c r="G303">
        <f t="shared" ca="1" si="243"/>
        <v>92.139623562290737</v>
      </c>
      <c r="H303">
        <f t="shared" ca="1" si="243"/>
        <v>91.567188003712289</v>
      </c>
      <c r="I303">
        <f t="shared" ca="1" si="243"/>
        <v>92.546584764687665</v>
      </c>
      <c r="J303">
        <f t="shared" ref="J303:P303" ca="1" si="278">I303*EXP(($C$6-0.5*$C$7^2)*$C$12+$C$7*SQRT($C$12)*NORMINV(RAND(),0,1))</f>
        <v>91.848181283265077</v>
      </c>
      <c r="K303">
        <f t="shared" ca="1" si="278"/>
        <v>91.382139364485823</v>
      </c>
      <c r="L303">
        <f t="shared" ca="1" si="278"/>
        <v>89.69782555545639</v>
      </c>
      <c r="M303">
        <f t="shared" ca="1" si="278"/>
        <v>88.475485904251499</v>
      </c>
      <c r="N303">
        <f t="shared" ca="1" si="278"/>
        <v>93.294654807417999</v>
      </c>
      <c r="O303">
        <f t="shared" ca="1" si="278"/>
        <v>92.869469739564792</v>
      </c>
      <c r="P303">
        <f t="shared" ca="1" si="278"/>
        <v>85.724701607422148</v>
      </c>
      <c r="Q303">
        <f t="shared" ca="1" si="244"/>
        <v>93.294654807417999</v>
      </c>
      <c r="R303">
        <f t="shared" ca="1" si="245"/>
        <v>0</v>
      </c>
      <c r="S303">
        <f t="shared" ca="1" si="246"/>
        <v>0</v>
      </c>
    </row>
    <row r="304" spans="5:19" x14ac:dyDescent="0.75">
      <c r="E304">
        <v>299</v>
      </c>
      <c r="F304">
        <f t="shared" si="242"/>
        <v>100</v>
      </c>
      <c r="G304">
        <f t="shared" ca="1" si="243"/>
        <v>99.488543457298064</v>
      </c>
      <c r="H304">
        <f t="shared" ca="1" si="243"/>
        <v>100.71305030971227</v>
      </c>
      <c r="I304">
        <f t="shared" ca="1" si="243"/>
        <v>107.62867661428164</v>
      </c>
      <c r="J304">
        <f t="shared" ref="J304:P304" ca="1" si="279">I304*EXP(($C$6-0.5*$C$7^2)*$C$12+$C$7*SQRT($C$12)*NORMINV(RAND(),0,1))</f>
        <v>105.81666560858933</v>
      </c>
      <c r="K304">
        <f t="shared" ca="1" si="279"/>
        <v>101.15574789797354</v>
      </c>
      <c r="L304">
        <f t="shared" ca="1" si="279"/>
        <v>98.46143673128951</v>
      </c>
      <c r="M304">
        <f t="shared" ca="1" si="279"/>
        <v>108.80063058372583</v>
      </c>
      <c r="N304">
        <f t="shared" ca="1" si="279"/>
        <v>104.23689192554332</v>
      </c>
      <c r="O304">
        <f t="shared" ca="1" si="279"/>
        <v>107.0711781634126</v>
      </c>
      <c r="P304">
        <f t="shared" ca="1" si="279"/>
        <v>112.54465121708162</v>
      </c>
      <c r="Q304">
        <f t="shared" ca="1" si="244"/>
        <v>112.54465121708162</v>
      </c>
      <c r="R304">
        <f t="shared" ca="1" si="245"/>
        <v>0</v>
      </c>
      <c r="S304">
        <f t="shared" ca="1" si="246"/>
        <v>0</v>
      </c>
    </row>
    <row r="305" spans="5:19" x14ac:dyDescent="0.75">
      <c r="E305">
        <v>300</v>
      </c>
      <c r="F305">
        <f t="shared" si="242"/>
        <v>100</v>
      </c>
      <c r="G305">
        <f t="shared" ca="1" si="243"/>
        <v>96.805456431529251</v>
      </c>
      <c r="H305">
        <f t="shared" ca="1" si="243"/>
        <v>93.734487663575564</v>
      </c>
      <c r="I305">
        <f t="shared" ca="1" si="243"/>
        <v>95.573064805285284</v>
      </c>
      <c r="J305">
        <f t="shared" ref="J305:P305" ca="1" si="280">I305*EXP(($C$6-0.5*$C$7^2)*$C$12+$C$7*SQRT($C$12)*NORMINV(RAND(),0,1))</f>
        <v>98.875759306142982</v>
      </c>
      <c r="K305">
        <f t="shared" ca="1" si="280"/>
        <v>95.692423687933044</v>
      </c>
      <c r="L305">
        <f t="shared" ca="1" si="280"/>
        <v>102.57843025878623</v>
      </c>
      <c r="M305">
        <f t="shared" ca="1" si="280"/>
        <v>109.54347313124961</v>
      </c>
      <c r="N305">
        <f t="shared" ca="1" si="280"/>
        <v>106.0227613166299</v>
      </c>
      <c r="O305">
        <f t="shared" ca="1" si="280"/>
        <v>106.81004543983738</v>
      </c>
      <c r="P305">
        <f t="shared" ca="1" si="280"/>
        <v>102.09179112579136</v>
      </c>
      <c r="Q305">
        <f t="shared" ca="1" si="244"/>
        <v>109.54347313124961</v>
      </c>
      <c r="R305">
        <f t="shared" ca="1" si="245"/>
        <v>9.1791125791360173E-2</v>
      </c>
      <c r="S305">
        <f t="shared" ca="1" si="246"/>
        <v>8.9524794820553102E-2</v>
      </c>
    </row>
    <row r="306" spans="5:19" x14ac:dyDescent="0.75">
      <c r="E306">
        <v>301</v>
      </c>
      <c r="F306">
        <f t="shared" si="242"/>
        <v>100</v>
      </c>
      <c r="G306">
        <f t="shared" ca="1" si="243"/>
        <v>103.93000757710686</v>
      </c>
      <c r="H306">
        <f t="shared" ca="1" si="243"/>
        <v>103.58043399614886</v>
      </c>
      <c r="I306">
        <f t="shared" ca="1" si="243"/>
        <v>106.17674223351818</v>
      </c>
      <c r="J306">
        <f t="shared" ref="J306:P306" ca="1" si="281">I306*EXP(($C$6-0.5*$C$7^2)*$C$12+$C$7*SQRT($C$12)*NORMINV(RAND(),0,1))</f>
        <v>104.99049269329136</v>
      </c>
      <c r="K306">
        <f t="shared" ca="1" si="281"/>
        <v>105.82003661151137</v>
      </c>
      <c r="L306">
        <f t="shared" ca="1" si="281"/>
        <v>106.45431847760034</v>
      </c>
      <c r="M306">
        <f t="shared" ca="1" si="281"/>
        <v>113.05990280554018</v>
      </c>
      <c r="N306">
        <f t="shared" ca="1" si="281"/>
        <v>113.42154157209978</v>
      </c>
      <c r="O306">
        <f t="shared" ca="1" si="281"/>
        <v>109.66134010193311</v>
      </c>
      <c r="P306">
        <f t="shared" ca="1" si="281"/>
        <v>118.00263852830497</v>
      </c>
      <c r="Q306">
        <f t="shared" ca="1" si="244"/>
        <v>118.00263852830497</v>
      </c>
      <c r="R306">
        <f t="shared" ca="1" si="245"/>
        <v>0</v>
      </c>
      <c r="S306">
        <f t="shared" ca="1" si="246"/>
        <v>0</v>
      </c>
    </row>
    <row r="307" spans="5:19" x14ac:dyDescent="0.75">
      <c r="E307">
        <v>302</v>
      </c>
      <c r="F307">
        <f t="shared" si="242"/>
        <v>100</v>
      </c>
      <c r="G307">
        <f t="shared" ca="1" si="243"/>
        <v>101.00671669244655</v>
      </c>
      <c r="H307">
        <f t="shared" ca="1" si="243"/>
        <v>120.96848537215297</v>
      </c>
      <c r="I307">
        <f t="shared" ca="1" si="243"/>
        <v>120.71867141911365</v>
      </c>
      <c r="J307">
        <f t="shared" ref="J307:P307" ca="1" si="282">I307*EXP(($C$6-0.5*$C$7^2)*$C$12+$C$7*SQRT($C$12)*NORMINV(RAND(),0,1))</f>
        <v>120.4551457427834</v>
      </c>
      <c r="K307">
        <f t="shared" ca="1" si="282"/>
        <v>123.34423834404973</v>
      </c>
      <c r="L307">
        <f t="shared" ca="1" si="282"/>
        <v>122.27558895876776</v>
      </c>
      <c r="M307">
        <f t="shared" ca="1" si="282"/>
        <v>130.81680213082771</v>
      </c>
      <c r="N307">
        <f t="shared" ca="1" si="282"/>
        <v>130.99053431713995</v>
      </c>
      <c r="O307">
        <f t="shared" ca="1" si="282"/>
        <v>131.027724721852</v>
      </c>
      <c r="P307">
        <f t="shared" ca="1" si="282"/>
        <v>125.10580264812461</v>
      </c>
      <c r="Q307">
        <f t="shared" ca="1" si="244"/>
        <v>131.027724721852</v>
      </c>
      <c r="R307">
        <f t="shared" ca="1" si="245"/>
        <v>0</v>
      </c>
      <c r="S307">
        <f t="shared" ca="1" si="246"/>
        <v>0</v>
      </c>
    </row>
    <row r="308" spans="5:19" x14ac:dyDescent="0.75">
      <c r="E308">
        <v>303</v>
      </c>
      <c r="F308">
        <f t="shared" si="242"/>
        <v>100</v>
      </c>
      <c r="G308">
        <f t="shared" ca="1" si="243"/>
        <v>102.91027608126409</v>
      </c>
      <c r="H308">
        <f t="shared" ca="1" si="243"/>
        <v>100.27347539714069</v>
      </c>
      <c r="I308">
        <f t="shared" ca="1" si="243"/>
        <v>99.184136721139666</v>
      </c>
      <c r="J308">
        <f t="shared" ref="J308:P308" ca="1" si="283">I308*EXP(($C$6-0.5*$C$7^2)*$C$12+$C$7*SQRT($C$12)*NORMINV(RAND(),0,1))</f>
        <v>94.880765522272512</v>
      </c>
      <c r="K308">
        <f t="shared" ca="1" si="283"/>
        <v>105.9181266366493</v>
      </c>
      <c r="L308">
        <f t="shared" ca="1" si="283"/>
        <v>105.85150365575828</v>
      </c>
      <c r="M308">
        <f t="shared" ca="1" si="283"/>
        <v>111.73304079987714</v>
      </c>
      <c r="N308">
        <f t="shared" ca="1" si="283"/>
        <v>113.63921427912793</v>
      </c>
      <c r="O308">
        <f t="shared" ca="1" si="283"/>
        <v>122.48686969093441</v>
      </c>
      <c r="P308">
        <f t="shared" ca="1" si="283"/>
        <v>121.67945533355234</v>
      </c>
      <c r="Q308">
        <f t="shared" ca="1" si="244"/>
        <v>122.48686969093441</v>
      </c>
      <c r="R308">
        <f t="shared" ca="1" si="245"/>
        <v>0</v>
      </c>
      <c r="S308">
        <f t="shared" ca="1" si="246"/>
        <v>0</v>
      </c>
    </row>
    <row r="309" spans="5:19" x14ac:dyDescent="0.75">
      <c r="E309">
        <v>304</v>
      </c>
      <c r="F309">
        <f t="shared" si="242"/>
        <v>100</v>
      </c>
      <c r="G309">
        <f t="shared" ca="1" si="243"/>
        <v>106.541578359803</v>
      </c>
      <c r="H309">
        <f t="shared" ca="1" si="243"/>
        <v>107.03482798200696</v>
      </c>
      <c r="I309">
        <f t="shared" ca="1" si="243"/>
        <v>105.24754869065477</v>
      </c>
      <c r="J309">
        <f t="shared" ref="J309:P309" ca="1" si="284">I309*EXP(($C$6-0.5*$C$7^2)*$C$12+$C$7*SQRT($C$12)*NORMINV(RAND(),0,1))</f>
        <v>111.85664052614472</v>
      </c>
      <c r="K309">
        <f t="shared" ca="1" si="284"/>
        <v>117.33752099526961</v>
      </c>
      <c r="L309">
        <f t="shared" ca="1" si="284"/>
        <v>120.55563549812318</v>
      </c>
      <c r="M309">
        <f t="shared" ca="1" si="284"/>
        <v>118.40422288246853</v>
      </c>
      <c r="N309">
        <f t="shared" ca="1" si="284"/>
        <v>120.47038168031139</v>
      </c>
      <c r="O309">
        <f t="shared" ca="1" si="284"/>
        <v>124.63369075530838</v>
      </c>
      <c r="P309">
        <f t="shared" ca="1" si="284"/>
        <v>129.9704705573225</v>
      </c>
      <c r="Q309">
        <f t="shared" ca="1" si="244"/>
        <v>129.9704705573225</v>
      </c>
      <c r="R309">
        <f t="shared" ca="1" si="245"/>
        <v>0</v>
      </c>
      <c r="S309">
        <f t="shared" ca="1" si="246"/>
        <v>0</v>
      </c>
    </row>
    <row r="310" spans="5:19" x14ac:dyDescent="0.75">
      <c r="E310">
        <v>305</v>
      </c>
      <c r="F310">
        <f t="shared" si="242"/>
        <v>100</v>
      </c>
      <c r="G310">
        <f t="shared" ca="1" si="243"/>
        <v>105.80565130433131</v>
      </c>
      <c r="H310">
        <f t="shared" ca="1" si="243"/>
        <v>103.67657584229489</v>
      </c>
      <c r="I310">
        <f t="shared" ca="1" si="243"/>
        <v>97.866110941696817</v>
      </c>
      <c r="J310">
        <f t="shared" ref="J310:P310" ca="1" si="285">I310*EXP(($C$6-0.5*$C$7^2)*$C$12+$C$7*SQRT($C$12)*NORMINV(RAND(),0,1))</f>
        <v>93.428979462114626</v>
      </c>
      <c r="K310">
        <f t="shared" ca="1" si="285"/>
        <v>96.384001396607729</v>
      </c>
      <c r="L310">
        <f t="shared" ca="1" si="285"/>
        <v>100.73387961617108</v>
      </c>
      <c r="M310">
        <f t="shared" ca="1" si="285"/>
        <v>104.11490343528966</v>
      </c>
      <c r="N310">
        <f t="shared" ca="1" si="285"/>
        <v>99.525218271394095</v>
      </c>
      <c r="O310">
        <f t="shared" ca="1" si="285"/>
        <v>99.725523044265913</v>
      </c>
      <c r="P310">
        <f t="shared" ca="1" si="285"/>
        <v>101.33666185202372</v>
      </c>
      <c r="Q310">
        <f t="shared" ca="1" si="244"/>
        <v>105.80565130433131</v>
      </c>
      <c r="R310">
        <f t="shared" ca="1" si="245"/>
        <v>0</v>
      </c>
      <c r="S310">
        <f t="shared" ca="1" si="246"/>
        <v>0</v>
      </c>
    </row>
    <row r="311" spans="5:19" x14ac:dyDescent="0.75">
      <c r="E311">
        <v>306</v>
      </c>
      <c r="F311">
        <f t="shared" si="242"/>
        <v>100</v>
      </c>
      <c r="G311">
        <f t="shared" ca="1" si="243"/>
        <v>103.89514293899551</v>
      </c>
      <c r="H311">
        <f t="shared" ca="1" si="243"/>
        <v>105.88561164845858</v>
      </c>
      <c r="I311">
        <f t="shared" ca="1" si="243"/>
        <v>104.54640485233888</v>
      </c>
      <c r="J311">
        <f t="shared" ref="J311:P311" ca="1" si="286">I311*EXP(($C$6-0.5*$C$7^2)*$C$12+$C$7*SQRT($C$12)*NORMINV(RAND(),0,1))</f>
        <v>108.31071701820446</v>
      </c>
      <c r="K311">
        <f t="shared" ca="1" si="286"/>
        <v>115.81409359791573</v>
      </c>
      <c r="L311">
        <f t="shared" ca="1" si="286"/>
        <v>117.38405497432956</v>
      </c>
      <c r="M311">
        <f t="shared" ca="1" si="286"/>
        <v>123.70282901922101</v>
      </c>
      <c r="N311">
        <f t="shared" ca="1" si="286"/>
        <v>129.62338413130755</v>
      </c>
      <c r="O311">
        <f t="shared" ca="1" si="286"/>
        <v>120.06526386170592</v>
      </c>
      <c r="P311">
        <f t="shared" ca="1" si="286"/>
        <v>116.64412162277878</v>
      </c>
      <c r="Q311">
        <f t="shared" ca="1" si="244"/>
        <v>129.62338413130755</v>
      </c>
      <c r="R311">
        <f t="shared" ca="1" si="245"/>
        <v>0</v>
      </c>
      <c r="S311">
        <f t="shared" ca="1" si="246"/>
        <v>0</v>
      </c>
    </row>
    <row r="312" spans="5:19" x14ac:dyDescent="0.75">
      <c r="E312">
        <v>307</v>
      </c>
      <c r="F312">
        <f t="shared" si="242"/>
        <v>100</v>
      </c>
      <c r="G312">
        <f t="shared" ca="1" si="243"/>
        <v>101.63243494066276</v>
      </c>
      <c r="H312">
        <f t="shared" ca="1" si="243"/>
        <v>100.94019349457439</v>
      </c>
      <c r="I312">
        <f t="shared" ca="1" si="243"/>
        <v>100.42249800843686</v>
      </c>
      <c r="J312">
        <f t="shared" ref="J312:P312" ca="1" si="287">I312*EXP(($C$6-0.5*$C$7^2)*$C$12+$C$7*SQRT($C$12)*NORMINV(RAND(),0,1))</f>
        <v>104.06737636231132</v>
      </c>
      <c r="K312">
        <f t="shared" ca="1" si="287"/>
        <v>102.16745699684445</v>
      </c>
      <c r="L312">
        <f t="shared" ca="1" si="287"/>
        <v>106.85580961495707</v>
      </c>
      <c r="M312">
        <f t="shared" ca="1" si="287"/>
        <v>108.13203900121671</v>
      </c>
      <c r="N312">
        <f t="shared" ca="1" si="287"/>
        <v>110.73616808688053</v>
      </c>
      <c r="O312">
        <f t="shared" ca="1" si="287"/>
        <v>103.54887388661194</v>
      </c>
      <c r="P312">
        <f t="shared" ca="1" si="287"/>
        <v>109.65922296534846</v>
      </c>
      <c r="Q312">
        <f t="shared" ca="1" si="244"/>
        <v>110.73616808688053</v>
      </c>
      <c r="R312">
        <f t="shared" ca="1" si="245"/>
        <v>0</v>
      </c>
      <c r="S312">
        <f t="shared" ca="1" si="246"/>
        <v>0</v>
      </c>
    </row>
    <row r="313" spans="5:19" x14ac:dyDescent="0.75">
      <c r="E313">
        <v>308</v>
      </c>
      <c r="F313">
        <f t="shared" si="242"/>
        <v>100</v>
      </c>
      <c r="G313">
        <f t="shared" ca="1" si="243"/>
        <v>102.58110992898584</v>
      </c>
      <c r="H313">
        <f t="shared" ca="1" si="243"/>
        <v>102.45231807868748</v>
      </c>
      <c r="I313">
        <f t="shared" ca="1" si="243"/>
        <v>99.266777153202867</v>
      </c>
      <c r="J313">
        <f t="shared" ref="J313:P313" ca="1" si="288">I313*EXP(($C$6-0.5*$C$7^2)*$C$12+$C$7*SQRT($C$12)*NORMINV(RAND(),0,1))</f>
        <v>97.090233266788715</v>
      </c>
      <c r="K313">
        <f t="shared" ca="1" si="288"/>
        <v>92.23666187488999</v>
      </c>
      <c r="L313">
        <f t="shared" ca="1" si="288"/>
        <v>92.835830609634854</v>
      </c>
      <c r="M313">
        <f t="shared" ca="1" si="288"/>
        <v>89.079462769065472</v>
      </c>
      <c r="N313">
        <f t="shared" ca="1" si="288"/>
        <v>92.557241950084887</v>
      </c>
      <c r="O313">
        <f t="shared" ca="1" si="288"/>
        <v>79.52181007001866</v>
      </c>
      <c r="P313">
        <f t="shared" ca="1" si="288"/>
        <v>76.943369187994904</v>
      </c>
      <c r="Q313">
        <f t="shared" ca="1" si="244"/>
        <v>102.58110992898584</v>
      </c>
      <c r="R313">
        <f t="shared" ca="1" si="245"/>
        <v>0</v>
      </c>
      <c r="S313">
        <f t="shared" ca="1" si="246"/>
        <v>0</v>
      </c>
    </row>
    <row r="314" spans="5:19" x14ac:dyDescent="0.75">
      <c r="E314">
        <v>309</v>
      </c>
      <c r="F314">
        <f t="shared" si="242"/>
        <v>100</v>
      </c>
      <c r="G314">
        <f t="shared" ca="1" si="243"/>
        <v>99.357769811759397</v>
      </c>
      <c r="H314">
        <f t="shared" ca="1" si="243"/>
        <v>94.891571882587868</v>
      </c>
      <c r="I314">
        <f t="shared" ca="1" si="243"/>
        <v>91.819412509586641</v>
      </c>
      <c r="J314">
        <f t="shared" ref="J314:P314" ca="1" si="289">I314*EXP(($C$6-0.5*$C$7^2)*$C$12+$C$7*SQRT($C$12)*NORMINV(RAND(),0,1))</f>
        <v>88.584407557851407</v>
      </c>
      <c r="K314">
        <f t="shared" ca="1" si="289"/>
        <v>85.452332798276501</v>
      </c>
      <c r="L314">
        <f t="shared" ca="1" si="289"/>
        <v>86.509388507427801</v>
      </c>
      <c r="M314">
        <f t="shared" ca="1" si="289"/>
        <v>89.969898088856397</v>
      </c>
      <c r="N314">
        <f t="shared" ca="1" si="289"/>
        <v>91.522032695380148</v>
      </c>
      <c r="O314">
        <f t="shared" ca="1" si="289"/>
        <v>85.826366285510957</v>
      </c>
      <c r="P314">
        <f t="shared" ca="1" si="289"/>
        <v>87.728102584152339</v>
      </c>
      <c r="Q314">
        <f t="shared" ca="1" si="244"/>
        <v>99.357769811759397</v>
      </c>
      <c r="R314">
        <f t="shared" ca="1" si="245"/>
        <v>0</v>
      </c>
      <c r="S314">
        <f t="shared" ca="1" si="246"/>
        <v>0</v>
      </c>
    </row>
    <row r="315" spans="5:19" x14ac:dyDescent="0.75">
      <c r="E315">
        <v>310</v>
      </c>
      <c r="F315">
        <f t="shared" si="242"/>
        <v>100</v>
      </c>
      <c r="G315">
        <f t="shared" ca="1" si="243"/>
        <v>95.550231445152988</v>
      </c>
      <c r="H315">
        <f t="shared" ca="1" si="243"/>
        <v>100.73348088269209</v>
      </c>
      <c r="I315">
        <f t="shared" ca="1" si="243"/>
        <v>98.089004625618486</v>
      </c>
      <c r="J315">
        <f t="shared" ref="J315:P315" ca="1" si="290">I315*EXP(($C$6-0.5*$C$7^2)*$C$12+$C$7*SQRT($C$12)*NORMINV(RAND(),0,1))</f>
        <v>102.22275935119367</v>
      </c>
      <c r="K315">
        <f t="shared" ca="1" si="290"/>
        <v>104.49692515232526</v>
      </c>
      <c r="L315">
        <f t="shared" ca="1" si="290"/>
        <v>99.835096527725057</v>
      </c>
      <c r="M315">
        <f t="shared" ca="1" si="290"/>
        <v>90.073661144372778</v>
      </c>
      <c r="N315">
        <f t="shared" ca="1" si="290"/>
        <v>85.306734925422134</v>
      </c>
      <c r="O315">
        <f t="shared" ca="1" si="290"/>
        <v>80.129910171685438</v>
      </c>
      <c r="P315">
        <f t="shared" ca="1" si="290"/>
        <v>74.304398858589053</v>
      </c>
      <c r="Q315">
        <f t="shared" ca="1" si="244"/>
        <v>104.49692515232526</v>
      </c>
      <c r="R315">
        <f t="shared" ca="1" si="245"/>
        <v>0</v>
      </c>
      <c r="S315">
        <f t="shared" ca="1" si="246"/>
        <v>0</v>
      </c>
    </row>
    <row r="316" spans="5:19" x14ac:dyDescent="0.75">
      <c r="E316">
        <v>311</v>
      </c>
      <c r="F316">
        <f t="shared" si="242"/>
        <v>100</v>
      </c>
      <c r="G316">
        <f t="shared" ca="1" si="243"/>
        <v>99.573640745734124</v>
      </c>
      <c r="H316">
        <f t="shared" ca="1" si="243"/>
        <v>97.269946467653256</v>
      </c>
      <c r="I316">
        <f t="shared" ca="1" si="243"/>
        <v>99.56961982984825</v>
      </c>
      <c r="J316">
        <f t="shared" ref="J316:P316" ca="1" si="291">I316*EXP(($C$6-0.5*$C$7^2)*$C$12+$C$7*SQRT($C$12)*NORMINV(RAND(),0,1))</f>
        <v>94.660483453415694</v>
      </c>
      <c r="K316">
        <f t="shared" ca="1" si="291"/>
        <v>100.15054526841938</v>
      </c>
      <c r="L316">
        <f t="shared" ca="1" si="291"/>
        <v>102.19361883438852</v>
      </c>
      <c r="M316">
        <f t="shared" ca="1" si="291"/>
        <v>111.53689248557359</v>
      </c>
      <c r="N316">
        <f t="shared" ca="1" si="291"/>
        <v>114.76700871233402</v>
      </c>
      <c r="O316">
        <f t="shared" ca="1" si="291"/>
        <v>114.1646701211277</v>
      </c>
      <c r="P316">
        <f t="shared" ca="1" si="291"/>
        <v>110.30513291551722</v>
      </c>
      <c r="Q316">
        <f t="shared" ca="1" si="244"/>
        <v>114.76700871233402</v>
      </c>
      <c r="R316">
        <f t="shared" ca="1" si="245"/>
        <v>0</v>
      </c>
      <c r="S316">
        <f t="shared" ca="1" si="246"/>
        <v>0</v>
      </c>
    </row>
    <row r="317" spans="5:19" x14ac:dyDescent="0.75">
      <c r="E317">
        <v>312</v>
      </c>
      <c r="F317">
        <f t="shared" si="242"/>
        <v>100</v>
      </c>
      <c r="G317">
        <f t="shared" ca="1" si="243"/>
        <v>94.252467134840572</v>
      </c>
      <c r="H317">
        <f t="shared" ca="1" si="243"/>
        <v>91.328394882666501</v>
      </c>
      <c r="I317">
        <f t="shared" ca="1" si="243"/>
        <v>92.428698679316298</v>
      </c>
      <c r="J317">
        <f t="shared" ref="J317:P317" ca="1" si="292">I317*EXP(($C$6-0.5*$C$7^2)*$C$12+$C$7*SQRT($C$12)*NORMINV(RAND(),0,1))</f>
        <v>90.582750941777107</v>
      </c>
      <c r="K317">
        <f t="shared" ca="1" si="292"/>
        <v>90.982467095694389</v>
      </c>
      <c r="L317">
        <f t="shared" ca="1" si="292"/>
        <v>96.487584059389405</v>
      </c>
      <c r="M317">
        <f t="shared" ca="1" si="292"/>
        <v>103.99831292129036</v>
      </c>
      <c r="N317">
        <f t="shared" ca="1" si="292"/>
        <v>98.980804281788892</v>
      </c>
      <c r="O317">
        <f t="shared" ca="1" si="292"/>
        <v>91.719221363978107</v>
      </c>
      <c r="P317">
        <f t="shared" ca="1" si="292"/>
        <v>101.21894198045929</v>
      </c>
      <c r="Q317">
        <f t="shared" ca="1" si="244"/>
        <v>103.99831292129036</v>
      </c>
      <c r="R317">
        <f t="shared" ca="1" si="245"/>
        <v>0</v>
      </c>
      <c r="S317">
        <f t="shared" ca="1" si="246"/>
        <v>0</v>
      </c>
    </row>
    <row r="318" spans="5:19" x14ac:dyDescent="0.75">
      <c r="E318">
        <v>313</v>
      </c>
      <c r="F318">
        <f t="shared" si="242"/>
        <v>100</v>
      </c>
      <c r="G318">
        <f t="shared" ca="1" si="243"/>
        <v>103.49238328044395</v>
      </c>
      <c r="H318">
        <f t="shared" ca="1" si="243"/>
        <v>101.73965152643348</v>
      </c>
      <c r="I318">
        <f t="shared" ca="1" si="243"/>
        <v>106.50425182744647</v>
      </c>
      <c r="J318">
        <f t="shared" ref="J318:P318" ca="1" si="293">I318*EXP(($C$6-0.5*$C$7^2)*$C$12+$C$7*SQRT($C$12)*NORMINV(RAND(),0,1))</f>
        <v>99.939950742838704</v>
      </c>
      <c r="K318">
        <f t="shared" ca="1" si="293"/>
        <v>100.68316757485607</v>
      </c>
      <c r="L318">
        <f t="shared" ca="1" si="293"/>
        <v>104.57895701154528</v>
      </c>
      <c r="M318">
        <f t="shared" ca="1" si="293"/>
        <v>96.737643328390433</v>
      </c>
      <c r="N318">
        <f t="shared" ca="1" si="293"/>
        <v>105.04844421392986</v>
      </c>
      <c r="O318">
        <f t="shared" ca="1" si="293"/>
        <v>110.45028881059747</v>
      </c>
      <c r="P318">
        <f t="shared" ca="1" si="293"/>
        <v>119.06176790583632</v>
      </c>
      <c r="Q318">
        <f t="shared" ca="1" si="244"/>
        <v>119.06176790583632</v>
      </c>
      <c r="R318">
        <f t="shared" ca="1" si="245"/>
        <v>0</v>
      </c>
      <c r="S318">
        <f t="shared" ca="1" si="246"/>
        <v>0</v>
      </c>
    </row>
    <row r="319" spans="5:19" x14ac:dyDescent="0.75">
      <c r="E319">
        <v>314</v>
      </c>
      <c r="F319">
        <f t="shared" si="242"/>
        <v>100</v>
      </c>
      <c r="G319">
        <f t="shared" ca="1" si="243"/>
        <v>98.236923487121771</v>
      </c>
      <c r="H319">
        <f t="shared" ca="1" si="243"/>
        <v>104.81258447003098</v>
      </c>
      <c r="I319">
        <f t="shared" ca="1" si="243"/>
        <v>102.87856656233615</v>
      </c>
      <c r="J319">
        <f t="shared" ref="J319:P319" ca="1" si="294">I319*EXP(($C$6-0.5*$C$7^2)*$C$12+$C$7*SQRT($C$12)*NORMINV(RAND(),0,1))</f>
        <v>104.19284028244034</v>
      </c>
      <c r="K319">
        <f t="shared" ca="1" si="294"/>
        <v>104.378749049552</v>
      </c>
      <c r="L319">
        <f t="shared" ca="1" si="294"/>
        <v>106.20583428371376</v>
      </c>
      <c r="M319">
        <f t="shared" ca="1" si="294"/>
        <v>99.135099549929961</v>
      </c>
      <c r="N319">
        <f t="shared" ca="1" si="294"/>
        <v>105.09576923346235</v>
      </c>
      <c r="O319">
        <f t="shared" ca="1" si="294"/>
        <v>106.6114059911791</v>
      </c>
      <c r="P319">
        <f t="shared" ca="1" si="294"/>
        <v>110.89650956175001</v>
      </c>
      <c r="Q319">
        <f t="shared" ca="1" si="244"/>
        <v>110.89650956175001</v>
      </c>
      <c r="R319">
        <f t="shared" ca="1" si="245"/>
        <v>0</v>
      </c>
      <c r="S319">
        <f t="shared" ca="1" si="246"/>
        <v>0</v>
      </c>
    </row>
    <row r="320" spans="5:19" x14ac:dyDescent="0.75">
      <c r="E320">
        <v>315</v>
      </c>
      <c r="F320">
        <f t="shared" si="242"/>
        <v>100</v>
      </c>
      <c r="G320">
        <f t="shared" ca="1" si="243"/>
        <v>100.42512133404695</v>
      </c>
      <c r="H320">
        <f t="shared" ca="1" si="243"/>
        <v>102.98191006763605</v>
      </c>
      <c r="I320">
        <f t="shared" ca="1" si="243"/>
        <v>105.41979039871146</v>
      </c>
      <c r="J320">
        <f t="shared" ref="J320:P320" ca="1" si="295">I320*EXP(($C$6-0.5*$C$7^2)*$C$12+$C$7*SQRT($C$12)*NORMINV(RAND(),0,1))</f>
        <v>103.29558970651135</v>
      </c>
      <c r="K320">
        <f t="shared" ca="1" si="295"/>
        <v>96.445531039110122</v>
      </c>
      <c r="L320">
        <f t="shared" ca="1" si="295"/>
        <v>96.369556608855262</v>
      </c>
      <c r="M320">
        <f t="shared" ca="1" si="295"/>
        <v>97.457475098656346</v>
      </c>
      <c r="N320">
        <f t="shared" ca="1" si="295"/>
        <v>100.43108555191333</v>
      </c>
      <c r="O320">
        <f t="shared" ca="1" si="295"/>
        <v>108.91826853853335</v>
      </c>
      <c r="P320">
        <f t="shared" ca="1" si="295"/>
        <v>112.88384752889804</v>
      </c>
      <c r="Q320">
        <f t="shared" ca="1" si="244"/>
        <v>112.88384752889804</v>
      </c>
      <c r="R320">
        <f t="shared" ca="1" si="245"/>
        <v>0</v>
      </c>
      <c r="S320">
        <f t="shared" ca="1" si="246"/>
        <v>0</v>
      </c>
    </row>
    <row r="321" spans="5:19" x14ac:dyDescent="0.75">
      <c r="E321">
        <v>316</v>
      </c>
      <c r="F321">
        <f t="shared" si="242"/>
        <v>100</v>
      </c>
      <c r="G321">
        <f t="shared" ca="1" si="243"/>
        <v>89.846645163081746</v>
      </c>
      <c r="H321">
        <f t="shared" ca="1" si="243"/>
        <v>88.952214981735594</v>
      </c>
      <c r="I321">
        <f t="shared" ca="1" si="243"/>
        <v>90.060679268139481</v>
      </c>
      <c r="J321">
        <f t="shared" ref="J321:P321" ca="1" si="296">I321*EXP(($C$6-0.5*$C$7^2)*$C$12+$C$7*SQRT($C$12)*NORMINV(RAND(),0,1))</f>
        <v>84.855011452651027</v>
      </c>
      <c r="K321">
        <f t="shared" ca="1" si="296"/>
        <v>85.944372443845651</v>
      </c>
      <c r="L321">
        <f t="shared" ca="1" si="296"/>
        <v>87.747651379997237</v>
      </c>
      <c r="M321">
        <f t="shared" ca="1" si="296"/>
        <v>91.947021368408343</v>
      </c>
      <c r="N321">
        <f t="shared" ca="1" si="296"/>
        <v>94.82308882875239</v>
      </c>
      <c r="O321">
        <f t="shared" ca="1" si="296"/>
        <v>86.734996846517987</v>
      </c>
      <c r="P321">
        <f t="shared" ca="1" si="296"/>
        <v>82.903339758466672</v>
      </c>
      <c r="Q321">
        <f t="shared" ca="1" si="244"/>
        <v>94.82308882875239</v>
      </c>
      <c r="R321">
        <f t="shared" ca="1" si="245"/>
        <v>0</v>
      </c>
      <c r="S321">
        <f t="shared" ca="1" si="246"/>
        <v>0</v>
      </c>
    </row>
    <row r="322" spans="5:19" x14ac:dyDescent="0.75">
      <c r="E322">
        <v>317</v>
      </c>
      <c r="F322">
        <f t="shared" si="242"/>
        <v>100</v>
      </c>
      <c r="G322">
        <f t="shared" ca="1" si="243"/>
        <v>95.382326782915442</v>
      </c>
      <c r="H322">
        <f t="shared" ca="1" si="243"/>
        <v>94.312114415027708</v>
      </c>
      <c r="I322">
        <f t="shared" ca="1" si="243"/>
        <v>85.259202567995658</v>
      </c>
      <c r="J322">
        <f t="shared" ref="J322:P322" ca="1" si="297">I322*EXP(($C$6-0.5*$C$7^2)*$C$12+$C$7*SQRT($C$12)*NORMINV(RAND(),0,1))</f>
        <v>84.090390523746677</v>
      </c>
      <c r="K322">
        <f t="shared" ca="1" si="297"/>
        <v>80.019081835189226</v>
      </c>
      <c r="L322">
        <f t="shared" ca="1" si="297"/>
        <v>75.203767597163747</v>
      </c>
      <c r="M322">
        <f t="shared" ca="1" si="297"/>
        <v>71.528730144349439</v>
      </c>
      <c r="N322">
        <f t="shared" ca="1" si="297"/>
        <v>73.876709583068489</v>
      </c>
      <c r="O322">
        <f t="shared" ca="1" si="297"/>
        <v>75.405544555434687</v>
      </c>
      <c r="P322">
        <f t="shared" ca="1" si="297"/>
        <v>75.809107047132613</v>
      </c>
      <c r="Q322">
        <f t="shared" ca="1" si="244"/>
        <v>95.382326782915442</v>
      </c>
      <c r="R322">
        <f t="shared" ca="1" si="245"/>
        <v>0</v>
      </c>
      <c r="S322">
        <f t="shared" ca="1" si="246"/>
        <v>0</v>
      </c>
    </row>
    <row r="323" spans="5:19" x14ac:dyDescent="0.75">
      <c r="E323">
        <v>318</v>
      </c>
      <c r="F323">
        <f t="shared" si="242"/>
        <v>100</v>
      </c>
      <c r="G323">
        <f t="shared" ca="1" si="243"/>
        <v>94.936640804688764</v>
      </c>
      <c r="H323">
        <f t="shared" ca="1" si="243"/>
        <v>94.192307868972364</v>
      </c>
      <c r="I323">
        <f t="shared" ca="1" si="243"/>
        <v>100.71939929197018</v>
      </c>
      <c r="J323">
        <f t="shared" ref="J323:P323" ca="1" si="298">I323*EXP(($C$6-0.5*$C$7^2)*$C$12+$C$7*SQRT($C$12)*NORMINV(RAND(),0,1))</f>
        <v>95.067958972628759</v>
      </c>
      <c r="K323">
        <f t="shared" ca="1" si="298"/>
        <v>95.343401215566232</v>
      </c>
      <c r="L323">
        <f t="shared" ca="1" si="298"/>
        <v>91.413804990250796</v>
      </c>
      <c r="M323">
        <f t="shared" ca="1" si="298"/>
        <v>94.667302082514453</v>
      </c>
      <c r="N323">
        <f t="shared" ca="1" si="298"/>
        <v>91.046080923889775</v>
      </c>
      <c r="O323">
        <f t="shared" ca="1" si="298"/>
        <v>90.719650019007972</v>
      </c>
      <c r="P323">
        <f t="shared" ca="1" si="298"/>
        <v>91.307610091595464</v>
      </c>
      <c r="Q323">
        <f t="shared" ca="1" si="244"/>
        <v>100.71939929197018</v>
      </c>
      <c r="R323">
        <f t="shared" ca="1" si="245"/>
        <v>0</v>
      </c>
      <c r="S323">
        <f t="shared" ca="1" si="246"/>
        <v>0</v>
      </c>
    </row>
    <row r="324" spans="5:19" x14ac:dyDescent="0.75">
      <c r="E324">
        <v>319</v>
      </c>
      <c r="F324">
        <f t="shared" si="242"/>
        <v>100</v>
      </c>
      <c r="G324">
        <f t="shared" ca="1" si="243"/>
        <v>99.652433739162547</v>
      </c>
      <c r="H324">
        <f t="shared" ca="1" si="243"/>
        <v>98.179835548533418</v>
      </c>
      <c r="I324">
        <f t="shared" ca="1" si="243"/>
        <v>103.53206379659252</v>
      </c>
      <c r="J324">
        <f t="shared" ref="J324:P324" ca="1" si="299">I324*EXP(($C$6-0.5*$C$7^2)*$C$12+$C$7*SQRT($C$12)*NORMINV(RAND(),0,1))</f>
        <v>100.83904108641897</v>
      </c>
      <c r="K324">
        <f t="shared" ca="1" si="299"/>
        <v>95.988267081526587</v>
      </c>
      <c r="L324">
        <f t="shared" ca="1" si="299"/>
        <v>96.913511403963767</v>
      </c>
      <c r="M324">
        <f t="shared" ca="1" si="299"/>
        <v>94.563028312947949</v>
      </c>
      <c r="N324">
        <f t="shared" ca="1" si="299"/>
        <v>104.05693833956943</v>
      </c>
      <c r="O324">
        <f t="shared" ca="1" si="299"/>
        <v>104.9508048451091</v>
      </c>
      <c r="P324">
        <f t="shared" ca="1" si="299"/>
        <v>102.64590213097765</v>
      </c>
      <c r="Q324">
        <f t="shared" ca="1" si="244"/>
        <v>104.9508048451091</v>
      </c>
      <c r="R324">
        <f t="shared" ca="1" si="245"/>
        <v>0.64590213097764604</v>
      </c>
      <c r="S324">
        <f t="shared" ca="1" si="246"/>
        <v>0.62995475054272054</v>
      </c>
    </row>
    <row r="325" spans="5:19" x14ac:dyDescent="0.75">
      <c r="E325">
        <v>320</v>
      </c>
      <c r="F325">
        <f t="shared" si="242"/>
        <v>100</v>
      </c>
      <c r="G325">
        <f t="shared" ca="1" si="243"/>
        <v>99.776905846147329</v>
      </c>
      <c r="H325">
        <f t="shared" ca="1" si="243"/>
        <v>97.936642203015381</v>
      </c>
      <c r="I325">
        <f t="shared" ca="1" si="243"/>
        <v>100.66906111966074</v>
      </c>
      <c r="J325">
        <f t="shared" ref="J325:P325" ca="1" si="300">I325*EXP(($C$6-0.5*$C$7^2)*$C$12+$C$7*SQRT($C$12)*NORMINV(RAND(),0,1))</f>
        <v>99.346333865085441</v>
      </c>
      <c r="K325">
        <f t="shared" ca="1" si="300"/>
        <v>112.48810830953006</v>
      </c>
      <c r="L325">
        <f t="shared" ca="1" si="300"/>
        <v>115.22976995866249</v>
      </c>
      <c r="M325">
        <f t="shared" ca="1" si="300"/>
        <v>113.26236902472881</v>
      </c>
      <c r="N325">
        <f t="shared" ca="1" si="300"/>
        <v>113.56958674223317</v>
      </c>
      <c r="O325">
        <f t="shared" ca="1" si="300"/>
        <v>111.55907699324983</v>
      </c>
      <c r="P325">
        <f t="shared" ca="1" si="300"/>
        <v>118.76241040308035</v>
      </c>
      <c r="Q325">
        <f t="shared" ca="1" si="244"/>
        <v>118.76241040308035</v>
      </c>
      <c r="R325">
        <f t="shared" ca="1" si="245"/>
        <v>0</v>
      </c>
      <c r="S325">
        <f t="shared" ca="1" si="246"/>
        <v>0</v>
      </c>
    </row>
    <row r="326" spans="5:19" x14ac:dyDescent="0.75">
      <c r="E326">
        <v>321</v>
      </c>
      <c r="F326">
        <f t="shared" si="242"/>
        <v>100</v>
      </c>
      <c r="G326">
        <f t="shared" ca="1" si="243"/>
        <v>99.630278190759768</v>
      </c>
      <c r="H326">
        <f t="shared" ca="1" si="243"/>
        <v>101.94565837148133</v>
      </c>
      <c r="I326">
        <f t="shared" ca="1" si="243"/>
        <v>100.55599822556117</v>
      </c>
      <c r="J326">
        <f t="shared" ref="J326:P326" ca="1" si="301">I326*EXP(($C$6-0.5*$C$7^2)*$C$12+$C$7*SQRT($C$12)*NORMINV(RAND(),0,1))</f>
        <v>99.418596360865948</v>
      </c>
      <c r="K326">
        <f t="shared" ca="1" si="301"/>
        <v>105.31631735995788</v>
      </c>
      <c r="L326">
        <f t="shared" ca="1" si="301"/>
        <v>105.71823539672199</v>
      </c>
      <c r="M326">
        <f t="shared" ca="1" si="301"/>
        <v>101.47893161363061</v>
      </c>
      <c r="N326">
        <f t="shared" ca="1" si="301"/>
        <v>111.28867115541746</v>
      </c>
      <c r="O326">
        <f t="shared" ca="1" si="301"/>
        <v>112.03041793722326</v>
      </c>
      <c r="P326">
        <f t="shared" ca="1" si="301"/>
        <v>114.1860146581309</v>
      </c>
      <c r="Q326">
        <f t="shared" ca="1" si="244"/>
        <v>114.1860146581309</v>
      </c>
      <c r="R326">
        <f t="shared" ca="1" si="245"/>
        <v>0</v>
      </c>
      <c r="S326">
        <f t="shared" ca="1" si="246"/>
        <v>0</v>
      </c>
    </row>
    <row r="327" spans="5:19" x14ac:dyDescent="0.75">
      <c r="E327">
        <v>322</v>
      </c>
      <c r="F327">
        <f t="shared" ref="F327:F390" si="302">$C$5</f>
        <v>100</v>
      </c>
      <c r="G327">
        <f t="shared" ref="G327:P390" ca="1" si="303">F327*EXP(($C$6-0.5*$C$7^2)*$C$12+$C$7*SQRT($C$12)*NORMINV(RAND(),0,1))</f>
        <v>107.43008596731447</v>
      </c>
      <c r="H327">
        <f t="shared" ca="1" si="303"/>
        <v>111.14859021439582</v>
      </c>
      <c r="I327">
        <f t="shared" ca="1" si="303"/>
        <v>109.9579774067569</v>
      </c>
      <c r="J327">
        <f t="shared" ca="1" si="303"/>
        <v>118.04821887061092</v>
      </c>
      <c r="K327">
        <f t="shared" ca="1" si="303"/>
        <v>124.05531057680341</v>
      </c>
      <c r="L327">
        <f t="shared" ca="1" si="303"/>
        <v>117.22309309197711</v>
      </c>
      <c r="M327">
        <f t="shared" ca="1" si="303"/>
        <v>125.47089866790817</v>
      </c>
      <c r="N327">
        <f t="shared" ca="1" si="303"/>
        <v>119.36610753620211</v>
      </c>
      <c r="O327">
        <f t="shared" ca="1" si="303"/>
        <v>123.27470896431757</v>
      </c>
      <c r="P327">
        <f t="shared" ca="1" si="303"/>
        <v>132.23591013566954</v>
      </c>
      <c r="Q327">
        <f t="shared" ref="Q327:Q390" ca="1" si="304">MAX(G327:P327)</f>
        <v>132.23591013566954</v>
      </c>
      <c r="R327">
        <f t="shared" ref="R327:R390" ca="1" si="305">IF(Q327&gt;=$C$13,0, MAX(P327-$C$9,0))</f>
        <v>0</v>
      </c>
      <c r="S327">
        <f t="shared" ref="S327:S390" ca="1" si="306">EXP(-$C$6*$C$8)*R327</f>
        <v>0</v>
      </c>
    </row>
    <row r="328" spans="5:19" x14ac:dyDescent="0.75">
      <c r="E328">
        <v>323</v>
      </c>
      <c r="F328">
        <f t="shared" si="302"/>
        <v>100</v>
      </c>
      <c r="G328">
        <f t="shared" ca="1" si="303"/>
        <v>94.867512645805036</v>
      </c>
      <c r="H328">
        <f t="shared" ca="1" si="303"/>
        <v>95.361202318922366</v>
      </c>
      <c r="I328">
        <f t="shared" ca="1" si="303"/>
        <v>96.003762743434976</v>
      </c>
      <c r="J328">
        <f t="shared" ca="1" si="303"/>
        <v>95.945359715051211</v>
      </c>
      <c r="K328">
        <f t="shared" ca="1" si="303"/>
        <v>96.11828082843698</v>
      </c>
      <c r="L328">
        <f t="shared" ca="1" si="303"/>
        <v>99.542582362163529</v>
      </c>
      <c r="M328">
        <f t="shared" ca="1" si="303"/>
        <v>96.137600222807293</v>
      </c>
      <c r="N328">
        <f t="shared" ca="1" si="303"/>
        <v>96.268802207978609</v>
      </c>
      <c r="O328">
        <f t="shared" ca="1" si="303"/>
        <v>97.556493085175163</v>
      </c>
      <c r="P328">
        <f t="shared" ca="1" si="303"/>
        <v>98.488027668110362</v>
      </c>
      <c r="Q328">
        <f t="shared" ca="1" si="304"/>
        <v>99.542582362163529</v>
      </c>
      <c r="R328">
        <f t="shared" ca="1" si="305"/>
        <v>0</v>
      </c>
      <c r="S328">
        <f t="shared" ca="1" si="306"/>
        <v>0</v>
      </c>
    </row>
    <row r="329" spans="5:19" x14ac:dyDescent="0.75">
      <c r="E329">
        <v>324</v>
      </c>
      <c r="F329">
        <f t="shared" si="302"/>
        <v>100</v>
      </c>
      <c r="G329">
        <f t="shared" ca="1" si="303"/>
        <v>101.4581781178951</v>
      </c>
      <c r="H329">
        <f t="shared" ca="1" si="303"/>
        <v>111.19508915262247</v>
      </c>
      <c r="I329">
        <f t="shared" ca="1" si="303"/>
        <v>116.21920881422038</v>
      </c>
      <c r="J329">
        <f t="shared" ca="1" si="303"/>
        <v>112.27724026625566</v>
      </c>
      <c r="K329">
        <f t="shared" ca="1" si="303"/>
        <v>123.78579372389241</v>
      </c>
      <c r="L329">
        <f t="shared" ca="1" si="303"/>
        <v>123.52077793306971</v>
      </c>
      <c r="M329">
        <f t="shared" ca="1" si="303"/>
        <v>128.4369276274264</v>
      </c>
      <c r="N329">
        <f t="shared" ca="1" si="303"/>
        <v>133.88676785159228</v>
      </c>
      <c r="O329">
        <f t="shared" ca="1" si="303"/>
        <v>127.43311227330493</v>
      </c>
      <c r="P329">
        <f t="shared" ca="1" si="303"/>
        <v>118.79584728806027</v>
      </c>
      <c r="Q329">
        <f t="shared" ca="1" si="304"/>
        <v>133.88676785159228</v>
      </c>
      <c r="R329">
        <f t="shared" ca="1" si="305"/>
        <v>0</v>
      </c>
      <c r="S329">
        <f t="shared" ca="1" si="306"/>
        <v>0</v>
      </c>
    </row>
    <row r="330" spans="5:19" x14ac:dyDescent="0.75">
      <c r="E330">
        <v>325</v>
      </c>
      <c r="F330">
        <f t="shared" si="302"/>
        <v>100</v>
      </c>
      <c r="G330">
        <f t="shared" ca="1" si="303"/>
        <v>95.000720070368445</v>
      </c>
      <c r="H330">
        <f t="shared" ca="1" si="303"/>
        <v>91.114331581753319</v>
      </c>
      <c r="I330">
        <f t="shared" ca="1" si="303"/>
        <v>94.536208095763484</v>
      </c>
      <c r="J330">
        <f t="shared" ca="1" si="303"/>
        <v>97.426630892579496</v>
      </c>
      <c r="K330">
        <f t="shared" ca="1" si="303"/>
        <v>95.274405054224232</v>
      </c>
      <c r="L330">
        <f t="shared" ca="1" si="303"/>
        <v>97.873980499426835</v>
      </c>
      <c r="M330">
        <f t="shared" ca="1" si="303"/>
        <v>101.81222703363018</v>
      </c>
      <c r="N330">
        <f t="shared" ca="1" si="303"/>
        <v>103.26935236691938</v>
      </c>
      <c r="O330">
        <f t="shared" ca="1" si="303"/>
        <v>102.97461926578653</v>
      </c>
      <c r="P330">
        <f t="shared" ca="1" si="303"/>
        <v>99.71493616531329</v>
      </c>
      <c r="Q330">
        <f t="shared" ca="1" si="304"/>
        <v>103.26935236691938</v>
      </c>
      <c r="R330">
        <f t="shared" ca="1" si="305"/>
        <v>0</v>
      </c>
      <c r="S330">
        <f t="shared" ca="1" si="306"/>
        <v>0</v>
      </c>
    </row>
    <row r="331" spans="5:19" x14ac:dyDescent="0.75">
      <c r="E331">
        <v>326</v>
      </c>
      <c r="F331">
        <f t="shared" si="302"/>
        <v>100</v>
      </c>
      <c r="G331">
        <f t="shared" ca="1" si="303"/>
        <v>101.19722654008405</v>
      </c>
      <c r="H331">
        <f t="shared" ca="1" si="303"/>
        <v>99.813457697186436</v>
      </c>
      <c r="I331">
        <f t="shared" ca="1" si="303"/>
        <v>98.307212001343473</v>
      </c>
      <c r="J331">
        <f t="shared" ca="1" si="303"/>
        <v>94.276526422141387</v>
      </c>
      <c r="K331">
        <f t="shared" ca="1" si="303"/>
        <v>92.96573470396693</v>
      </c>
      <c r="L331">
        <f t="shared" ca="1" si="303"/>
        <v>98.579254852134781</v>
      </c>
      <c r="M331">
        <f t="shared" ca="1" si="303"/>
        <v>98.66345608175186</v>
      </c>
      <c r="N331">
        <f t="shared" ca="1" si="303"/>
        <v>96.495706824445577</v>
      </c>
      <c r="O331">
        <f t="shared" ca="1" si="303"/>
        <v>94.379919856089202</v>
      </c>
      <c r="P331">
        <f t="shared" ca="1" si="303"/>
        <v>93.144140649042811</v>
      </c>
      <c r="Q331">
        <f t="shared" ca="1" si="304"/>
        <v>101.19722654008405</v>
      </c>
      <c r="R331">
        <f t="shared" ca="1" si="305"/>
        <v>0</v>
      </c>
      <c r="S331">
        <f t="shared" ca="1" si="306"/>
        <v>0</v>
      </c>
    </row>
    <row r="332" spans="5:19" x14ac:dyDescent="0.75">
      <c r="E332">
        <v>327</v>
      </c>
      <c r="F332">
        <f t="shared" si="302"/>
        <v>100</v>
      </c>
      <c r="G332">
        <f t="shared" ca="1" si="303"/>
        <v>100.57187090085445</v>
      </c>
      <c r="H332">
        <f t="shared" ca="1" si="303"/>
        <v>108.37999869225449</v>
      </c>
      <c r="I332">
        <f t="shared" ca="1" si="303"/>
        <v>112.4325181932188</v>
      </c>
      <c r="J332">
        <f t="shared" ca="1" si="303"/>
        <v>116.60120455874616</v>
      </c>
      <c r="K332">
        <f t="shared" ca="1" si="303"/>
        <v>114.59607058705446</v>
      </c>
      <c r="L332">
        <f t="shared" ca="1" si="303"/>
        <v>119.17157448773089</v>
      </c>
      <c r="M332">
        <f t="shared" ca="1" si="303"/>
        <v>125.14901961219563</v>
      </c>
      <c r="N332">
        <f t="shared" ca="1" si="303"/>
        <v>123.56860832339063</v>
      </c>
      <c r="O332">
        <f t="shared" ca="1" si="303"/>
        <v>115.01247426952233</v>
      </c>
      <c r="P332">
        <f t="shared" ca="1" si="303"/>
        <v>118.04435439587084</v>
      </c>
      <c r="Q332">
        <f t="shared" ca="1" si="304"/>
        <v>125.14901961219563</v>
      </c>
      <c r="R332">
        <f t="shared" ca="1" si="305"/>
        <v>0</v>
      </c>
      <c r="S332">
        <f t="shared" ca="1" si="306"/>
        <v>0</v>
      </c>
    </row>
    <row r="333" spans="5:19" x14ac:dyDescent="0.75">
      <c r="E333">
        <v>328</v>
      </c>
      <c r="F333">
        <f t="shared" si="302"/>
        <v>100</v>
      </c>
      <c r="G333">
        <f t="shared" ca="1" si="303"/>
        <v>102.10493583832169</v>
      </c>
      <c r="H333">
        <f t="shared" ca="1" si="303"/>
        <v>100.63221666752537</v>
      </c>
      <c r="I333">
        <f t="shared" ca="1" si="303"/>
        <v>102.39240887548671</v>
      </c>
      <c r="J333">
        <f t="shared" ca="1" si="303"/>
        <v>93.404464616886543</v>
      </c>
      <c r="K333">
        <f t="shared" ca="1" si="303"/>
        <v>96.197885174892193</v>
      </c>
      <c r="L333">
        <f t="shared" ca="1" si="303"/>
        <v>99.524681278467085</v>
      </c>
      <c r="M333">
        <f t="shared" ca="1" si="303"/>
        <v>96.00340780827436</v>
      </c>
      <c r="N333">
        <f t="shared" ca="1" si="303"/>
        <v>94.793650562480138</v>
      </c>
      <c r="O333">
        <f t="shared" ca="1" si="303"/>
        <v>88.295446605020288</v>
      </c>
      <c r="P333">
        <f t="shared" ca="1" si="303"/>
        <v>94.875076754626505</v>
      </c>
      <c r="Q333">
        <f t="shared" ca="1" si="304"/>
        <v>102.39240887548671</v>
      </c>
      <c r="R333">
        <f t="shared" ca="1" si="305"/>
        <v>0</v>
      </c>
      <c r="S333">
        <f t="shared" ca="1" si="306"/>
        <v>0</v>
      </c>
    </row>
    <row r="334" spans="5:19" x14ac:dyDescent="0.75">
      <c r="E334">
        <v>329</v>
      </c>
      <c r="F334">
        <f t="shared" si="302"/>
        <v>100</v>
      </c>
      <c r="G334">
        <f t="shared" ca="1" si="303"/>
        <v>103.32586136340296</v>
      </c>
      <c r="H334">
        <f t="shared" ca="1" si="303"/>
        <v>102.91044865096656</v>
      </c>
      <c r="I334">
        <f t="shared" ca="1" si="303"/>
        <v>101.2609932129029</v>
      </c>
      <c r="J334">
        <f t="shared" ca="1" si="303"/>
        <v>96.392296826594162</v>
      </c>
      <c r="K334">
        <f t="shared" ca="1" si="303"/>
        <v>94.489280526405977</v>
      </c>
      <c r="L334">
        <f t="shared" ca="1" si="303"/>
        <v>96.824661166185422</v>
      </c>
      <c r="M334">
        <f t="shared" ca="1" si="303"/>
        <v>101.5698272789284</v>
      </c>
      <c r="N334">
        <f t="shared" ca="1" si="303"/>
        <v>98.055816185812787</v>
      </c>
      <c r="O334">
        <f t="shared" ca="1" si="303"/>
        <v>95.857299783867973</v>
      </c>
      <c r="P334">
        <f t="shared" ca="1" si="303"/>
        <v>106.945879147767</v>
      </c>
      <c r="Q334">
        <f t="shared" ca="1" si="304"/>
        <v>106.945879147767</v>
      </c>
      <c r="R334">
        <f t="shared" ca="1" si="305"/>
        <v>4.9458791477670019</v>
      </c>
      <c r="S334">
        <f t="shared" ca="1" si="306"/>
        <v>4.8237649565113996</v>
      </c>
    </row>
    <row r="335" spans="5:19" x14ac:dyDescent="0.75">
      <c r="E335">
        <v>330</v>
      </c>
      <c r="F335">
        <f t="shared" si="302"/>
        <v>100</v>
      </c>
      <c r="G335">
        <f t="shared" ca="1" si="303"/>
        <v>101.08075291449707</v>
      </c>
      <c r="H335">
        <f t="shared" ca="1" si="303"/>
        <v>108.24219304559324</v>
      </c>
      <c r="I335">
        <f t="shared" ca="1" si="303"/>
        <v>115.16760732638878</v>
      </c>
      <c r="J335">
        <f t="shared" ca="1" si="303"/>
        <v>117.96444250736103</v>
      </c>
      <c r="K335">
        <f t="shared" ca="1" si="303"/>
        <v>119.23988751907294</v>
      </c>
      <c r="L335">
        <f t="shared" ca="1" si="303"/>
        <v>120.22081338732427</v>
      </c>
      <c r="M335">
        <f t="shared" ca="1" si="303"/>
        <v>120.43226138113283</v>
      </c>
      <c r="N335">
        <f t="shared" ca="1" si="303"/>
        <v>119.67348878893903</v>
      </c>
      <c r="O335">
        <f t="shared" ca="1" si="303"/>
        <v>121.35561439910354</v>
      </c>
      <c r="P335">
        <f t="shared" ca="1" si="303"/>
        <v>121.70172301316941</v>
      </c>
      <c r="Q335">
        <f t="shared" ca="1" si="304"/>
        <v>121.70172301316941</v>
      </c>
      <c r="R335">
        <f t="shared" ca="1" si="305"/>
        <v>0</v>
      </c>
      <c r="S335">
        <f t="shared" ca="1" si="306"/>
        <v>0</v>
      </c>
    </row>
    <row r="336" spans="5:19" x14ac:dyDescent="0.75">
      <c r="E336">
        <v>331</v>
      </c>
      <c r="F336">
        <f t="shared" si="302"/>
        <v>100</v>
      </c>
      <c r="G336">
        <f t="shared" ca="1" si="303"/>
        <v>93.495476852255294</v>
      </c>
      <c r="H336">
        <f t="shared" ca="1" si="303"/>
        <v>93.871444901946731</v>
      </c>
      <c r="I336">
        <f t="shared" ca="1" si="303"/>
        <v>90.530970102698888</v>
      </c>
      <c r="J336">
        <f t="shared" ref="J336:P336" ca="1" si="307">I336*EXP(($C$6-0.5*$C$7^2)*$C$12+$C$7*SQRT($C$12)*NORMINV(RAND(),0,1))</f>
        <v>91.606640048953665</v>
      </c>
      <c r="K336">
        <f t="shared" ca="1" si="307"/>
        <v>88.206916124898811</v>
      </c>
      <c r="L336">
        <f t="shared" ca="1" si="307"/>
        <v>90.328610822216703</v>
      </c>
      <c r="M336">
        <f t="shared" ca="1" si="307"/>
        <v>97.046860914961428</v>
      </c>
      <c r="N336">
        <f t="shared" ca="1" si="307"/>
        <v>94.902080012931975</v>
      </c>
      <c r="O336">
        <f t="shared" ca="1" si="307"/>
        <v>99.730109262665607</v>
      </c>
      <c r="P336">
        <f t="shared" ca="1" si="307"/>
        <v>99.045823050698843</v>
      </c>
      <c r="Q336">
        <f t="shared" ca="1" si="304"/>
        <v>99.730109262665607</v>
      </c>
      <c r="R336">
        <f t="shared" ca="1" si="305"/>
        <v>0</v>
      </c>
      <c r="S336">
        <f t="shared" ca="1" si="306"/>
        <v>0</v>
      </c>
    </row>
    <row r="337" spans="5:19" x14ac:dyDescent="0.75">
      <c r="E337">
        <v>332</v>
      </c>
      <c r="F337">
        <f t="shared" si="302"/>
        <v>100</v>
      </c>
      <c r="G337">
        <f t="shared" ca="1" si="303"/>
        <v>93.77930615525986</v>
      </c>
      <c r="H337">
        <f t="shared" ca="1" si="303"/>
        <v>90.016462283226417</v>
      </c>
      <c r="I337">
        <f t="shared" ca="1" si="303"/>
        <v>84.305215873933221</v>
      </c>
      <c r="J337">
        <f t="shared" ref="J337:P337" ca="1" si="308">I337*EXP(($C$6-0.5*$C$7^2)*$C$12+$C$7*SQRT($C$12)*NORMINV(RAND(),0,1))</f>
        <v>83.125069511862492</v>
      </c>
      <c r="K337">
        <f t="shared" ca="1" si="308"/>
        <v>76.673193252055171</v>
      </c>
      <c r="L337">
        <f t="shared" ca="1" si="308"/>
        <v>78.412776827434172</v>
      </c>
      <c r="M337">
        <f t="shared" ca="1" si="308"/>
        <v>83.087264277357519</v>
      </c>
      <c r="N337">
        <f t="shared" ca="1" si="308"/>
        <v>86.565794552957129</v>
      </c>
      <c r="O337">
        <f t="shared" ca="1" si="308"/>
        <v>93.311950487978379</v>
      </c>
      <c r="P337">
        <f t="shared" ca="1" si="308"/>
        <v>96.046148215040489</v>
      </c>
      <c r="Q337">
        <f t="shared" ca="1" si="304"/>
        <v>96.046148215040489</v>
      </c>
      <c r="R337">
        <f t="shared" ca="1" si="305"/>
        <v>0</v>
      </c>
      <c r="S337">
        <f t="shared" ca="1" si="306"/>
        <v>0</v>
      </c>
    </row>
    <row r="338" spans="5:19" x14ac:dyDescent="0.75">
      <c r="E338">
        <v>333</v>
      </c>
      <c r="F338">
        <f t="shared" si="302"/>
        <v>100</v>
      </c>
      <c r="G338">
        <f t="shared" ca="1" si="303"/>
        <v>99.099078033299733</v>
      </c>
      <c r="H338">
        <f t="shared" ca="1" si="303"/>
        <v>102.28237208883772</v>
      </c>
      <c r="I338">
        <f t="shared" ca="1" si="303"/>
        <v>107.19497578071065</v>
      </c>
      <c r="J338">
        <f t="shared" ref="J338:P338" ca="1" si="309">I338*EXP(($C$6-0.5*$C$7^2)*$C$12+$C$7*SQRT($C$12)*NORMINV(RAND(),0,1))</f>
        <v>104.06161213926194</v>
      </c>
      <c r="K338">
        <f t="shared" ca="1" si="309"/>
        <v>98.468700081343442</v>
      </c>
      <c r="L338">
        <f t="shared" ca="1" si="309"/>
        <v>88.864087885768839</v>
      </c>
      <c r="M338">
        <f t="shared" ca="1" si="309"/>
        <v>84.541994152668195</v>
      </c>
      <c r="N338">
        <f t="shared" ca="1" si="309"/>
        <v>93.134934717547225</v>
      </c>
      <c r="O338">
        <f t="shared" ca="1" si="309"/>
        <v>96.078725446064951</v>
      </c>
      <c r="P338">
        <f t="shared" ca="1" si="309"/>
        <v>94.49678108644521</v>
      </c>
      <c r="Q338">
        <f t="shared" ca="1" si="304"/>
        <v>107.19497578071065</v>
      </c>
      <c r="R338">
        <f t="shared" ca="1" si="305"/>
        <v>0</v>
      </c>
      <c r="S338">
        <f t="shared" ca="1" si="306"/>
        <v>0</v>
      </c>
    </row>
    <row r="339" spans="5:19" x14ac:dyDescent="0.75">
      <c r="E339">
        <v>334</v>
      </c>
      <c r="F339">
        <f t="shared" si="302"/>
        <v>100</v>
      </c>
      <c r="G339">
        <f t="shared" ca="1" si="303"/>
        <v>100.51167465105182</v>
      </c>
      <c r="H339">
        <f t="shared" ca="1" si="303"/>
        <v>93.987151679676629</v>
      </c>
      <c r="I339">
        <f t="shared" ca="1" si="303"/>
        <v>91.48415411242442</v>
      </c>
      <c r="J339">
        <f t="shared" ref="J339:P339" ca="1" si="310">I339*EXP(($C$6-0.5*$C$7^2)*$C$12+$C$7*SQRT($C$12)*NORMINV(RAND(),0,1))</f>
        <v>89.691123767840054</v>
      </c>
      <c r="K339">
        <f t="shared" ca="1" si="310"/>
        <v>86.1195879817529</v>
      </c>
      <c r="L339">
        <f t="shared" ca="1" si="310"/>
        <v>80.093805379050892</v>
      </c>
      <c r="M339">
        <f t="shared" ca="1" si="310"/>
        <v>82.187651572497813</v>
      </c>
      <c r="N339">
        <f t="shared" ca="1" si="310"/>
        <v>79.534091882153191</v>
      </c>
      <c r="O339">
        <f t="shared" ca="1" si="310"/>
        <v>80.200880443173901</v>
      </c>
      <c r="P339">
        <f t="shared" ca="1" si="310"/>
        <v>79.717056697186877</v>
      </c>
      <c r="Q339">
        <f t="shared" ca="1" si="304"/>
        <v>100.51167465105182</v>
      </c>
      <c r="R339">
        <f t="shared" ca="1" si="305"/>
        <v>0</v>
      </c>
      <c r="S339">
        <f t="shared" ca="1" si="306"/>
        <v>0</v>
      </c>
    </row>
    <row r="340" spans="5:19" x14ac:dyDescent="0.75">
      <c r="E340">
        <v>335</v>
      </c>
      <c r="F340">
        <f t="shared" si="302"/>
        <v>100</v>
      </c>
      <c r="G340">
        <f t="shared" ca="1" si="303"/>
        <v>97.143337806395394</v>
      </c>
      <c r="H340">
        <f t="shared" ca="1" si="303"/>
        <v>106.24636767605415</v>
      </c>
      <c r="I340">
        <f t="shared" ca="1" si="303"/>
        <v>113.30435199074527</v>
      </c>
      <c r="J340">
        <f t="shared" ref="J340:P340" ca="1" si="311">I340*EXP(($C$6-0.5*$C$7^2)*$C$12+$C$7*SQRT($C$12)*NORMINV(RAND(),0,1))</f>
        <v>111.43423117911574</v>
      </c>
      <c r="K340">
        <f t="shared" ca="1" si="311"/>
        <v>117.27296442240893</v>
      </c>
      <c r="L340">
        <f t="shared" ca="1" si="311"/>
        <v>121.97461915879481</v>
      </c>
      <c r="M340">
        <f t="shared" ca="1" si="311"/>
        <v>108.65721580803859</v>
      </c>
      <c r="N340">
        <f t="shared" ca="1" si="311"/>
        <v>111.65723152050032</v>
      </c>
      <c r="O340">
        <f t="shared" ca="1" si="311"/>
        <v>111.85186102574339</v>
      </c>
      <c r="P340">
        <f t="shared" ca="1" si="311"/>
        <v>109.48262228045893</v>
      </c>
      <c r="Q340">
        <f t="shared" ca="1" si="304"/>
        <v>121.97461915879481</v>
      </c>
      <c r="R340">
        <f t="shared" ca="1" si="305"/>
        <v>0</v>
      </c>
      <c r="S340">
        <f t="shared" ca="1" si="306"/>
        <v>0</v>
      </c>
    </row>
    <row r="341" spans="5:19" x14ac:dyDescent="0.75">
      <c r="E341">
        <v>336</v>
      </c>
      <c r="F341">
        <f t="shared" si="302"/>
        <v>100</v>
      </c>
      <c r="G341">
        <f t="shared" ca="1" si="303"/>
        <v>101.0476845840691</v>
      </c>
      <c r="H341">
        <f t="shared" ca="1" si="303"/>
        <v>111.00634023156357</v>
      </c>
      <c r="I341">
        <f t="shared" ca="1" si="303"/>
        <v>103.14525587532346</v>
      </c>
      <c r="J341">
        <f t="shared" ref="J341:P341" ca="1" si="312">I341*EXP(($C$6-0.5*$C$7^2)*$C$12+$C$7*SQRT($C$12)*NORMINV(RAND(),0,1))</f>
        <v>87.649357475678514</v>
      </c>
      <c r="K341">
        <f t="shared" ca="1" si="312"/>
        <v>78.172599036843735</v>
      </c>
      <c r="L341">
        <f t="shared" ca="1" si="312"/>
        <v>76.170057091125543</v>
      </c>
      <c r="M341">
        <f t="shared" ca="1" si="312"/>
        <v>80.482438282948706</v>
      </c>
      <c r="N341">
        <f t="shared" ca="1" si="312"/>
        <v>77.196007938554217</v>
      </c>
      <c r="O341">
        <f t="shared" ca="1" si="312"/>
        <v>77.893104043143694</v>
      </c>
      <c r="P341">
        <f t="shared" ca="1" si="312"/>
        <v>78.342810961938099</v>
      </c>
      <c r="Q341">
        <f t="shared" ca="1" si="304"/>
        <v>111.00634023156357</v>
      </c>
      <c r="R341">
        <f t="shared" ca="1" si="305"/>
        <v>0</v>
      </c>
      <c r="S341">
        <f t="shared" ca="1" si="306"/>
        <v>0</v>
      </c>
    </row>
    <row r="342" spans="5:19" x14ac:dyDescent="0.75">
      <c r="E342">
        <v>337</v>
      </c>
      <c r="F342">
        <f t="shared" si="302"/>
        <v>100</v>
      </c>
      <c r="G342">
        <f t="shared" ca="1" si="303"/>
        <v>92.267615204342292</v>
      </c>
      <c r="H342">
        <f t="shared" ca="1" si="303"/>
        <v>93.281009325549107</v>
      </c>
      <c r="I342">
        <f t="shared" ca="1" si="303"/>
        <v>97.38612256322908</v>
      </c>
      <c r="J342">
        <f t="shared" ref="J342:P342" ca="1" si="313">I342*EXP(($C$6-0.5*$C$7^2)*$C$12+$C$7*SQRT($C$12)*NORMINV(RAND(),0,1))</f>
        <v>95.567957857912987</v>
      </c>
      <c r="K342">
        <f t="shared" ca="1" si="313"/>
        <v>94.761434471793606</v>
      </c>
      <c r="L342">
        <f t="shared" ca="1" si="313"/>
        <v>100.00474232039915</v>
      </c>
      <c r="M342">
        <f t="shared" ca="1" si="313"/>
        <v>99.020318241848571</v>
      </c>
      <c r="N342">
        <f t="shared" ca="1" si="313"/>
        <v>105.15352076563474</v>
      </c>
      <c r="O342">
        <f t="shared" ca="1" si="313"/>
        <v>107.98491290233814</v>
      </c>
      <c r="P342">
        <f t="shared" ca="1" si="313"/>
        <v>115.29956867055925</v>
      </c>
      <c r="Q342">
        <f t="shared" ca="1" si="304"/>
        <v>115.29956867055925</v>
      </c>
      <c r="R342">
        <f t="shared" ca="1" si="305"/>
        <v>0</v>
      </c>
      <c r="S342">
        <f t="shared" ca="1" si="306"/>
        <v>0</v>
      </c>
    </row>
    <row r="343" spans="5:19" x14ac:dyDescent="0.75">
      <c r="E343">
        <v>338</v>
      </c>
      <c r="F343">
        <f t="shared" si="302"/>
        <v>100</v>
      </c>
      <c r="G343">
        <f t="shared" ca="1" si="303"/>
        <v>100.25212939383556</v>
      </c>
      <c r="H343">
        <f t="shared" ca="1" si="303"/>
        <v>101.08945375849136</v>
      </c>
      <c r="I343">
        <f t="shared" ca="1" si="303"/>
        <v>101.09486026203096</v>
      </c>
      <c r="J343">
        <f t="shared" ref="J343:P343" ca="1" si="314">I343*EXP(($C$6-0.5*$C$7^2)*$C$12+$C$7*SQRT($C$12)*NORMINV(RAND(),0,1))</f>
        <v>104.95577046559661</v>
      </c>
      <c r="K343">
        <f t="shared" ca="1" si="314"/>
        <v>103.58169018750091</v>
      </c>
      <c r="L343">
        <f t="shared" ca="1" si="314"/>
        <v>103.73978984550908</v>
      </c>
      <c r="M343">
        <f t="shared" ca="1" si="314"/>
        <v>108.04245622325409</v>
      </c>
      <c r="N343">
        <f t="shared" ca="1" si="314"/>
        <v>112.35074219237056</v>
      </c>
      <c r="O343">
        <f t="shared" ca="1" si="314"/>
        <v>110.20002032333059</v>
      </c>
      <c r="P343">
        <f t="shared" ca="1" si="314"/>
        <v>103.64407220565009</v>
      </c>
      <c r="Q343">
        <f t="shared" ca="1" si="304"/>
        <v>112.35074219237056</v>
      </c>
      <c r="R343">
        <f t="shared" ca="1" si="305"/>
        <v>0</v>
      </c>
      <c r="S343">
        <f t="shared" ca="1" si="306"/>
        <v>0</v>
      </c>
    </row>
    <row r="344" spans="5:19" x14ac:dyDescent="0.75">
      <c r="E344">
        <v>339</v>
      </c>
      <c r="F344">
        <f t="shared" si="302"/>
        <v>100</v>
      </c>
      <c r="G344">
        <f t="shared" ca="1" si="303"/>
        <v>96.473807554807991</v>
      </c>
      <c r="H344">
        <f t="shared" ca="1" si="303"/>
        <v>101.88356195590077</v>
      </c>
      <c r="I344">
        <f t="shared" ca="1" si="303"/>
        <v>101.18666348687712</v>
      </c>
      <c r="J344">
        <f t="shared" ref="J344:P344" ca="1" si="315">I344*EXP(($C$6-0.5*$C$7^2)*$C$12+$C$7*SQRT($C$12)*NORMINV(RAND(),0,1))</f>
        <v>96.444338362719876</v>
      </c>
      <c r="K344">
        <f t="shared" ca="1" si="315"/>
        <v>94.781594732966596</v>
      </c>
      <c r="L344">
        <f t="shared" ca="1" si="315"/>
        <v>93.121014322183882</v>
      </c>
      <c r="M344">
        <f t="shared" ca="1" si="315"/>
        <v>92.221517094279761</v>
      </c>
      <c r="N344">
        <f t="shared" ca="1" si="315"/>
        <v>92.159110970834277</v>
      </c>
      <c r="O344">
        <f t="shared" ca="1" si="315"/>
        <v>89.58998511676829</v>
      </c>
      <c r="P344">
        <f t="shared" ca="1" si="315"/>
        <v>78.192999380241773</v>
      </c>
      <c r="Q344">
        <f t="shared" ca="1" si="304"/>
        <v>101.88356195590077</v>
      </c>
      <c r="R344">
        <f t="shared" ca="1" si="305"/>
        <v>0</v>
      </c>
      <c r="S344">
        <f t="shared" ca="1" si="306"/>
        <v>0</v>
      </c>
    </row>
    <row r="345" spans="5:19" x14ac:dyDescent="0.75">
      <c r="E345">
        <v>340</v>
      </c>
      <c r="F345">
        <f t="shared" si="302"/>
        <v>100</v>
      </c>
      <c r="G345">
        <f t="shared" ca="1" si="303"/>
        <v>101.10549467212078</v>
      </c>
      <c r="H345">
        <f t="shared" ca="1" si="303"/>
        <v>107.73264875077234</v>
      </c>
      <c r="I345">
        <f t="shared" ca="1" si="303"/>
        <v>112.98776186115565</v>
      </c>
      <c r="J345">
        <f t="shared" ref="J345:P345" ca="1" si="316">I345*EXP(($C$6-0.5*$C$7^2)*$C$12+$C$7*SQRT($C$12)*NORMINV(RAND(),0,1))</f>
        <v>114.01658183702762</v>
      </c>
      <c r="K345">
        <f t="shared" ca="1" si="316"/>
        <v>109.79720090387836</v>
      </c>
      <c r="L345">
        <f t="shared" ca="1" si="316"/>
        <v>110.31943286368708</v>
      </c>
      <c r="M345">
        <f t="shared" ca="1" si="316"/>
        <v>103.9023535240222</v>
      </c>
      <c r="N345">
        <f t="shared" ca="1" si="316"/>
        <v>107.25538054416843</v>
      </c>
      <c r="O345">
        <f t="shared" ca="1" si="316"/>
        <v>109.21221463694428</v>
      </c>
      <c r="P345">
        <f t="shared" ca="1" si="316"/>
        <v>109.69782355751811</v>
      </c>
      <c r="Q345">
        <f t="shared" ca="1" si="304"/>
        <v>114.01658183702762</v>
      </c>
      <c r="R345">
        <f t="shared" ca="1" si="305"/>
        <v>0</v>
      </c>
      <c r="S345">
        <f t="shared" ca="1" si="306"/>
        <v>0</v>
      </c>
    </row>
    <row r="346" spans="5:19" x14ac:dyDescent="0.75">
      <c r="E346">
        <v>341</v>
      </c>
      <c r="F346">
        <f t="shared" si="302"/>
        <v>100</v>
      </c>
      <c r="G346">
        <f t="shared" ca="1" si="303"/>
        <v>101.87474535262946</v>
      </c>
      <c r="H346">
        <f t="shared" ca="1" si="303"/>
        <v>97.64147031981436</v>
      </c>
      <c r="I346">
        <f t="shared" ca="1" si="303"/>
        <v>95.706699466353896</v>
      </c>
      <c r="J346">
        <f t="shared" ref="J346:P346" ca="1" si="317">I346*EXP(($C$6-0.5*$C$7^2)*$C$12+$C$7*SQRT($C$12)*NORMINV(RAND(),0,1))</f>
        <v>92.964686897036543</v>
      </c>
      <c r="K346">
        <f t="shared" ca="1" si="317"/>
        <v>88.767977330512338</v>
      </c>
      <c r="L346">
        <f t="shared" ca="1" si="317"/>
        <v>76.869715980816011</v>
      </c>
      <c r="M346">
        <f t="shared" ca="1" si="317"/>
        <v>76.79996445484818</v>
      </c>
      <c r="N346">
        <f t="shared" ca="1" si="317"/>
        <v>76.763039686013258</v>
      </c>
      <c r="O346">
        <f t="shared" ca="1" si="317"/>
        <v>76.609183669285272</v>
      </c>
      <c r="P346">
        <f t="shared" ca="1" si="317"/>
        <v>78.718101029092836</v>
      </c>
      <c r="Q346">
        <f t="shared" ca="1" si="304"/>
        <v>101.87474535262946</v>
      </c>
      <c r="R346">
        <f t="shared" ca="1" si="305"/>
        <v>0</v>
      </c>
      <c r="S346">
        <f t="shared" ca="1" si="306"/>
        <v>0</v>
      </c>
    </row>
    <row r="347" spans="5:19" x14ac:dyDescent="0.75">
      <c r="E347">
        <v>342</v>
      </c>
      <c r="F347">
        <f t="shared" si="302"/>
        <v>100</v>
      </c>
      <c r="G347">
        <f t="shared" ca="1" si="303"/>
        <v>101.33885080323522</v>
      </c>
      <c r="H347">
        <f t="shared" ca="1" si="303"/>
        <v>98.001927022450147</v>
      </c>
      <c r="I347">
        <f t="shared" ca="1" si="303"/>
        <v>95.241448746897461</v>
      </c>
      <c r="J347">
        <f t="shared" ref="J347:P347" ca="1" si="318">I347*EXP(($C$6-0.5*$C$7^2)*$C$12+$C$7*SQRT($C$12)*NORMINV(RAND(),0,1))</f>
        <v>100.23771697933661</v>
      </c>
      <c r="K347">
        <f t="shared" ca="1" si="318"/>
        <v>103.79711319672811</v>
      </c>
      <c r="L347">
        <f t="shared" ca="1" si="318"/>
        <v>101.79423460198308</v>
      </c>
      <c r="M347">
        <f t="shared" ca="1" si="318"/>
        <v>108.43905942731632</v>
      </c>
      <c r="N347">
        <f t="shared" ca="1" si="318"/>
        <v>113.21113291293014</v>
      </c>
      <c r="O347">
        <f t="shared" ca="1" si="318"/>
        <v>110.26516893462671</v>
      </c>
      <c r="P347">
        <f t="shared" ca="1" si="318"/>
        <v>106.69513178786562</v>
      </c>
      <c r="Q347">
        <f t="shared" ca="1" si="304"/>
        <v>113.21113291293014</v>
      </c>
      <c r="R347">
        <f t="shared" ca="1" si="305"/>
        <v>0</v>
      </c>
      <c r="S347">
        <f t="shared" ca="1" si="306"/>
        <v>0</v>
      </c>
    </row>
    <row r="348" spans="5:19" x14ac:dyDescent="0.75">
      <c r="E348">
        <v>343</v>
      </c>
      <c r="F348">
        <f t="shared" si="302"/>
        <v>100</v>
      </c>
      <c r="G348">
        <f t="shared" ca="1" si="303"/>
        <v>96.7776881055064</v>
      </c>
      <c r="H348">
        <f t="shared" ca="1" si="303"/>
        <v>105.50481992004765</v>
      </c>
      <c r="I348">
        <f t="shared" ca="1" si="303"/>
        <v>108.68892179573355</v>
      </c>
      <c r="J348">
        <f t="shared" ref="J348:P348" ca="1" si="319">I348*EXP(($C$6-0.5*$C$7^2)*$C$12+$C$7*SQRT($C$12)*NORMINV(RAND(),0,1))</f>
        <v>114.90150446340556</v>
      </c>
      <c r="K348">
        <f t="shared" ca="1" si="319"/>
        <v>114.34267143391321</v>
      </c>
      <c r="L348">
        <f t="shared" ca="1" si="319"/>
        <v>105.31525165126222</v>
      </c>
      <c r="M348">
        <f t="shared" ca="1" si="319"/>
        <v>98.79226533310279</v>
      </c>
      <c r="N348">
        <f t="shared" ca="1" si="319"/>
        <v>86.012126399091812</v>
      </c>
      <c r="O348">
        <f t="shared" ca="1" si="319"/>
        <v>91.793937423175763</v>
      </c>
      <c r="P348">
        <f t="shared" ca="1" si="319"/>
        <v>92.831687243053153</v>
      </c>
      <c r="Q348">
        <f t="shared" ca="1" si="304"/>
        <v>114.90150446340556</v>
      </c>
      <c r="R348">
        <f t="shared" ca="1" si="305"/>
        <v>0</v>
      </c>
      <c r="S348">
        <f t="shared" ca="1" si="306"/>
        <v>0</v>
      </c>
    </row>
    <row r="349" spans="5:19" x14ac:dyDescent="0.75">
      <c r="E349">
        <v>344</v>
      </c>
      <c r="F349">
        <f t="shared" si="302"/>
        <v>100</v>
      </c>
      <c r="G349">
        <f t="shared" ca="1" si="303"/>
        <v>104.7180967031816</v>
      </c>
      <c r="H349">
        <f t="shared" ca="1" si="303"/>
        <v>99.634254113448677</v>
      </c>
      <c r="I349">
        <f t="shared" ca="1" si="303"/>
        <v>101.65398881197926</v>
      </c>
      <c r="J349">
        <f t="shared" ref="J349:P349" ca="1" si="320">I349*EXP(($C$6-0.5*$C$7^2)*$C$12+$C$7*SQRT($C$12)*NORMINV(RAND(),0,1))</f>
        <v>100.36576067671429</v>
      </c>
      <c r="K349">
        <f t="shared" ca="1" si="320"/>
        <v>110.30406645523074</v>
      </c>
      <c r="L349">
        <f t="shared" ca="1" si="320"/>
        <v>101.54203321623359</v>
      </c>
      <c r="M349">
        <f t="shared" ca="1" si="320"/>
        <v>103.79542170711244</v>
      </c>
      <c r="N349">
        <f t="shared" ca="1" si="320"/>
        <v>114.92652206940414</v>
      </c>
      <c r="O349">
        <f t="shared" ca="1" si="320"/>
        <v>113.33237651409945</v>
      </c>
      <c r="P349">
        <f t="shared" ca="1" si="320"/>
        <v>114.37181958863975</v>
      </c>
      <c r="Q349">
        <f t="shared" ca="1" si="304"/>
        <v>114.92652206940414</v>
      </c>
      <c r="R349">
        <f t="shared" ca="1" si="305"/>
        <v>0</v>
      </c>
      <c r="S349">
        <f t="shared" ca="1" si="306"/>
        <v>0</v>
      </c>
    </row>
    <row r="350" spans="5:19" x14ac:dyDescent="0.75">
      <c r="E350">
        <v>345</v>
      </c>
      <c r="F350">
        <f t="shared" si="302"/>
        <v>100</v>
      </c>
      <c r="G350">
        <f t="shared" ca="1" si="303"/>
        <v>102.42299770404593</v>
      </c>
      <c r="H350">
        <f t="shared" ca="1" si="303"/>
        <v>101.51163735758389</v>
      </c>
      <c r="I350">
        <f t="shared" ca="1" si="303"/>
        <v>105.02659465416188</v>
      </c>
      <c r="J350">
        <f t="shared" ref="J350:P350" ca="1" si="321">I350*EXP(($C$6-0.5*$C$7^2)*$C$12+$C$7*SQRT($C$12)*NORMINV(RAND(),0,1))</f>
        <v>102.66172630383974</v>
      </c>
      <c r="K350">
        <f t="shared" ca="1" si="321"/>
        <v>106.18918227745898</v>
      </c>
      <c r="L350">
        <f t="shared" ca="1" si="321"/>
        <v>103.11099396003934</v>
      </c>
      <c r="M350">
        <f t="shared" ca="1" si="321"/>
        <v>96.933066715819777</v>
      </c>
      <c r="N350">
        <f t="shared" ca="1" si="321"/>
        <v>100.64206599014931</v>
      </c>
      <c r="O350">
        <f t="shared" ca="1" si="321"/>
        <v>106.04607583549921</v>
      </c>
      <c r="P350">
        <f t="shared" ca="1" si="321"/>
        <v>103.98730720763514</v>
      </c>
      <c r="Q350">
        <f t="shared" ca="1" si="304"/>
        <v>106.18918227745898</v>
      </c>
      <c r="R350">
        <f t="shared" ca="1" si="305"/>
        <v>1.9873072076351406</v>
      </c>
      <c r="S350">
        <f t="shared" ca="1" si="306"/>
        <v>1.9382404178519004</v>
      </c>
    </row>
    <row r="351" spans="5:19" x14ac:dyDescent="0.75">
      <c r="E351">
        <v>346</v>
      </c>
      <c r="F351">
        <f t="shared" si="302"/>
        <v>100</v>
      </c>
      <c r="G351">
        <f t="shared" ca="1" si="303"/>
        <v>97.424150701112779</v>
      </c>
      <c r="H351">
        <f t="shared" ca="1" si="303"/>
        <v>94.85985358921792</v>
      </c>
      <c r="I351">
        <f t="shared" ca="1" si="303"/>
        <v>97.714707929323325</v>
      </c>
      <c r="J351">
        <f t="shared" ref="J351:P351" ca="1" si="322">I351*EXP(($C$6-0.5*$C$7^2)*$C$12+$C$7*SQRT($C$12)*NORMINV(RAND(),0,1))</f>
        <v>95.724609914327758</v>
      </c>
      <c r="K351">
        <f t="shared" ca="1" si="322"/>
        <v>94.656473762125572</v>
      </c>
      <c r="L351">
        <f t="shared" ca="1" si="322"/>
        <v>100.64415370774559</v>
      </c>
      <c r="M351">
        <f t="shared" ca="1" si="322"/>
        <v>103.14253559689024</v>
      </c>
      <c r="N351">
        <f t="shared" ca="1" si="322"/>
        <v>96.195314958407323</v>
      </c>
      <c r="O351">
        <f t="shared" ca="1" si="322"/>
        <v>92.732286677917983</v>
      </c>
      <c r="P351">
        <f t="shared" ca="1" si="322"/>
        <v>97.309811038781646</v>
      </c>
      <c r="Q351">
        <f t="shared" ca="1" si="304"/>
        <v>103.14253559689024</v>
      </c>
      <c r="R351">
        <f t="shared" ca="1" si="305"/>
        <v>0</v>
      </c>
      <c r="S351">
        <f t="shared" ca="1" si="306"/>
        <v>0</v>
      </c>
    </row>
    <row r="352" spans="5:19" x14ac:dyDescent="0.75">
      <c r="E352">
        <v>347</v>
      </c>
      <c r="F352">
        <f t="shared" si="302"/>
        <v>100</v>
      </c>
      <c r="G352">
        <f t="shared" ca="1" si="303"/>
        <v>96.800466548712421</v>
      </c>
      <c r="H352">
        <f t="shared" ca="1" si="303"/>
        <v>90.732229580665575</v>
      </c>
      <c r="I352">
        <f t="shared" ca="1" si="303"/>
        <v>94.545226548951064</v>
      </c>
      <c r="J352">
        <f t="shared" ref="J352:P352" ca="1" si="323">I352*EXP(($C$6-0.5*$C$7^2)*$C$12+$C$7*SQRT($C$12)*NORMINV(RAND(),0,1))</f>
        <v>100.97056473650363</v>
      </c>
      <c r="K352">
        <f t="shared" ca="1" si="323"/>
        <v>100.55616834383775</v>
      </c>
      <c r="L352">
        <f t="shared" ca="1" si="323"/>
        <v>102.2961214488044</v>
      </c>
      <c r="M352">
        <f t="shared" ca="1" si="323"/>
        <v>98.897617493005413</v>
      </c>
      <c r="N352">
        <f t="shared" ca="1" si="323"/>
        <v>99.119998485879435</v>
      </c>
      <c r="O352">
        <f t="shared" ca="1" si="323"/>
        <v>103.12025159859598</v>
      </c>
      <c r="P352">
        <f t="shared" ca="1" si="323"/>
        <v>104.1170158054646</v>
      </c>
      <c r="Q352">
        <f t="shared" ca="1" si="304"/>
        <v>104.1170158054646</v>
      </c>
      <c r="R352">
        <f t="shared" ca="1" si="305"/>
        <v>2.1170158054646038</v>
      </c>
      <c r="S352">
        <f t="shared" ca="1" si="306"/>
        <v>2.0647464989902726</v>
      </c>
    </row>
    <row r="353" spans="5:19" x14ac:dyDescent="0.75">
      <c r="E353">
        <v>348</v>
      </c>
      <c r="F353">
        <f t="shared" si="302"/>
        <v>100</v>
      </c>
      <c r="G353">
        <f t="shared" ca="1" si="303"/>
        <v>102.34378183256523</v>
      </c>
      <c r="H353">
        <f t="shared" ca="1" si="303"/>
        <v>105.50829667848905</v>
      </c>
      <c r="I353">
        <f t="shared" ca="1" si="303"/>
        <v>98.746409096674057</v>
      </c>
      <c r="J353">
        <f t="shared" ref="J353:P353" ca="1" si="324">I353*EXP(($C$6-0.5*$C$7^2)*$C$12+$C$7*SQRT($C$12)*NORMINV(RAND(),0,1))</f>
        <v>102.97511676322546</v>
      </c>
      <c r="K353">
        <f t="shared" ca="1" si="324"/>
        <v>106.44392395359405</v>
      </c>
      <c r="L353">
        <f t="shared" ca="1" si="324"/>
        <v>111.55638930071802</v>
      </c>
      <c r="M353">
        <f t="shared" ca="1" si="324"/>
        <v>111.60981146242614</v>
      </c>
      <c r="N353">
        <f t="shared" ca="1" si="324"/>
        <v>111.79342861711342</v>
      </c>
      <c r="O353">
        <f t="shared" ca="1" si="324"/>
        <v>112.70625119303109</v>
      </c>
      <c r="P353">
        <f t="shared" ca="1" si="324"/>
        <v>107.09380030982305</v>
      </c>
      <c r="Q353">
        <f t="shared" ca="1" si="304"/>
        <v>112.70625119303109</v>
      </c>
      <c r="R353">
        <f t="shared" ca="1" si="305"/>
        <v>0</v>
      </c>
      <c r="S353">
        <f t="shared" ca="1" si="306"/>
        <v>0</v>
      </c>
    </row>
    <row r="354" spans="5:19" x14ac:dyDescent="0.75">
      <c r="E354">
        <v>349</v>
      </c>
      <c r="F354">
        <f t="shared" si="302"/>
        <v>100</v>
      </c>
      <c r="G354">
        <f t="shared" ca="1" si="303"/>
        <v>95.054562652995259</v>
      </c>
      <c r="H354">
        <f t="shared" ca="1" si="303"/>
        <v>99.25919274393317</v>
      </c>
      <c r="I354">
        <f t="shared" ca="1" si="303"/>
        <v>106.2711644521511</v>
      </c>
      <c r="J354">
        <f t="shared" ref="J354:P354" ca="1" si="325">I354*EXP(($C$6-0.5*$C$7^2)*$C$12+$C$7*SQRT($C$12)*NORMINV(RAND(),0,1))</f>
        <v>106.44465083031275</v>
      </c>
      <c r="K354">
        <f t="shared" ca="1" si="325"/>
        <v>105.27138972413698</v>
      </c>
      <c r="L354">
        <f t="shared" ca="1" si="325"/>
        <v>111.56440651347933</v>
      </c>
      <c r="M354">
        <f t="shared" ca="1" si="325"/>
        <v>112.0096922066632</v>
      </c>
      <c r="N354">
        <f t="shared" ca="1" si="325"/>
        <v>115.04634274369579</v>
      </c>
      <c r="O354">
        <f t="shared" ca="1" si="325"/>
        <v>113.96659604943305</v>
      </c>
      <c r="P354">
        <f t="shared" ca="1" si="325"/>
        <v>113.48234075793995</v>
      </c>
      <c r="Q354">
        <f t="shared" ca="1" si="304"/>
        <v>115.04634274369579</v>
      </c>
      <c r="R354">
        <f t="shared" ca="1" si="305"/>
        <v>0</v>
      </c>
      <c r="S354">
        <f t="shared" ca="1" si="306"/>
        <v>0</v>
      </c>
    </row>
    <row r="355" spans="5:19" x14ac:dyDescent="0.75">
      <c r="E355">
        <v>350</v>
      </c>
      <c r="F355">
        <f t="shared" si="302"/>
        <v>100</v>
      </c>
      <c r="G355">
        <f t="shared" ca="1" si="303"/>
        <v>96.2976309241606</v>
      </c>
      <c r="H355">
        <f t="shared" ca="1" si="303"/>
        <v>100.51764510525798</v>
      </c>
      <c r="I355">
        <f t="shared" ca="1" si="303"/>
        <v>103.69903698614274</v>
      </c>
      <c r="J355">
        <f t="shared" ref="J355:P355" ca="1" si="326">I355*EXP(($C$6-0.5*$C$7^2)*$C$12+$C$7*SQRT($C$12)*NORMINV(RAND(),0,1))</f>
        <v>105.16461520598926</v>
      </c>
      <c r="K355">
        <f t="shared" ca="1" si="326"/>
        <v>102.9695448762035</v>
      </c>
      <c r="L355">
        <f t="shared" ca="1" si="326"/>
        <v>106.81450621393023</v>
      </c>
      <c r="M355">
        <f t="shared" ca="1" si="326"/>
        <v>100.10184917295692</v>
      </c>
      <c r="N355">
        <f t="shared" ca="1" si="326"/>
        <v>101.0041326455097</v>
      </c>
      <c r="O355">
        <f t="shared" ca="1" si="326"/>
        <v>107.6896891988056</v>
      </c>
      <c r="P355">
        <f t="shared" ca="1" si="326"/>
        <v>109.32434040649916</v>
      </c>
      <c r="Q355">
        <f t="shared" ca="1" si="304"/>
        <v>109.32434040649916</v>
      </c>
      <c r="R355">
        <f t="shared" ca="1" si="305"/>
        <v>7.3243404064991608</v>
      </c>
      <c r="S355">
        <f t="shared" ca="1" si="306"/>
        <v>7.1435017975282582</v>
      </c>
    </row>
    <row r="356" spans="5:19" x14ac:dyDescent="0.75">
      <c r="E356">
        <v>351</v>
      </c>
      <c r="F356">
        <f t="shared" si="302"/>
        <v>100</v>
      </c>
      <c r="G356">
        <f t="shared" ca="1" si="303"/>
        <v>105.7738524071234</v>
      </c>
      <c r="H356">
        <f t="shared" ca="1" si="303"/>
        <v>98.605212079118701</v>
      </c>
      <c r="I356">
        <f t="shared" ca="1" si="303"/>
        <v>96.959894535665867</v>
      </c>
      <c r="J356">
        <f t="shared" ref="J356:P356" ca="1" si="327">I356*EXP(($C$6-0.5*$C$7^2)*$C$12+$C$7*SQRT($C$12)*NORMINV(RAND(),0,1))</f>
        <v>93.281511462862383</v>
      </c>
      <c r="K356">
        <f t="shared" ca="1" si="327"/>
        <v>92.140436982639201</v>
      </c>
      <c r="L356">
        <f t="shared" ca="1" si="327"/>
        <v>99.201763973269593</v>
      </c>
      <c r="M356">
        <f t="shared" ca="1" si="327"/>
        <v>99.860618745549615</v>
      </c>
      <c r="N356">
        <f t="shared" ca="1" si="327"/>
        <v>101.81504965570736</v>
      </c>
      <c r="O356">
        <f t="shared" ca="1" si="327"/>
        <v>101.6221329231729</v>
      </c>
      <c r="P356">
        <f t="shared" ca="1" si="327"/>
        <v>98.732476456275748</v>
      </c>
      <c r="Q356">
        <f t="shared" ca="1" si="304"/>
        <v>105.7738524071234</v>
      </c>
      <c r="R356">
        <f t="shared" ca="1" si="305"/>
        <v>0</v>
      </c>
      <c r="S356">
        <f t="shared" ca="1" si="306"/>
        <v>0</v>
      </c>
    </row>
    <row r="357" spans="5:19" x14ac:dyDescent="0.75">
      <c r="E357">
        <v>352</v>
      </c>
      <c r="F357">
        <f t="shared" si="302"/>
        <v>100</v>
      </c>
      <c r="G357">
        <f t="shared" ca="1" si="303"/>
        <v>96.002194686086824</v>
      </c>
      <c r="H357">
        <f t="shared" ca="1" si="303"/>
        <v>92.239377245193893</v>
      </c>
      <c r="I357">
        <f t="shared" ca="1" si="303"/>
        <v>94.810369385610244</v>
      </c>
      <c r="J357">
        <f t="shared" ref="J357:P357" ca="1" si="328">I357*EXP(($C$6-0.5*$C$7^2)*$C$12+$C$7*SQRT($C$12)*NORMINV(RAND(),0,1))</f>
        <v>94.965451308224388</v>
      </c>
      <c r="K357">
        <f t="shared" ca="1" si="328"/>
        <v>94.366548620327379</v>
      </c>
      <c r="L357">
        <f t="shared" ca="1" si="328"/>
        <v>97.487384988414973</v>
      </c>
      <c r="M357">
        <f t="shared" ca="1" si="328"/>
        <v>96.399593573204669</v>
      </c>
      <c r="N357">
        <f t="shared" ca="1" si="328"/>
        <v>103.38155697555079</v>
      </c>
      <c r="O357">
        <f t="shared" ca="1" si="328"/>
        <v>102.64565351051073</v>
      </c>
      <c r="P357">
        <f t="shared" ca="1" si="328"/>
        <v>99.234421929683364</v>
      </c>
      <c r="Q357">
        <f t="shared" ca="1" si="304"/>
        <v>103.38155697555079</v>
      </c>
      <c r="R357">
        <f t="shared" ca="1" si="305"/>
        <v>0</v>
      </c>
      <c r="S357">
        <f t="shared" ca="1" si="306"/>
        <v>0</v>
      </c>
    </row>
    <row r="358" spans="5:19" x14ac:dyDescent="0.75">
      <c r="E358">
        <v>353</v>
      </c>
      <c r="F358">
        <f t="shared" si="302"/>
        <v>100</v>
      </c>
      <c r="G358">
        <f t="shared" ca="1" si="303"/>
        <v>104.19284856730746</v>
      </c>
      <c r="H358">
        <f t="shared" ca="1" si="303"/>
        <v>99.028037590872344</v>
      </c>
      <c r="I358">
        <f t="shared" ca="1" si="303"/>
        <v>99.839468250576729</v>
      </c>
      <c r="J358">
        <f t="shared" ref="J358:P358" ca="1" si="329">I358*EXP(($C$6-0.5*$C$7^2)*$C$12+$C$7*SQRT($C$12)*NORMINV(RAND(),0,1))</f>
        <v>107.42016281754259</v>
      </c>
      <c r="K358">
        <f t="shared" ca="1" si="329"/>
        <v>106.1541461186635</v>
      </c>
      <c r="L358">
        <f t="shared" ca="1" si="329"/>
        <v>103.40967322452356</v>
      </c>
      <c r="M358">
        <f t="shared" ca="1" si="329"/>
        <v>98.826075072169857</v>
      </c>
      <c r="N358">
        <f t="shared" ca="1" si="329"/>
        <v>92.883547325817375</v>
      </c>
      <c r="O358">
        <f t="shared" ca="1" si="329"/>
        <v>88.469534274302177</v>
      </c>
      <c r="P358">
        <f t="shared" ca="1" si="329"/>
        <v>86.23885545279424</v>
      </c>
      <c r="Q358">
        <f t="shared" ca="1" si="304"/>
        <v>107.42016281754259</v>
      </c>
      <c r="R358">
        <f t="shared" ca="1" si="305"/>
        <v>0</v>
      </c>
      <c r="S358">
        <f t="shared" ca="1" si="306"/>
        <v>0</v>
      </c>
    </row>
    <row r="359" spans="5:19" x14ac:dyDescent="0.75">
      <c r="E359">
        <v>354</v>
      </c>
      <c r="F359">
        <f t="shared" si="302"/>
        <v>100</v>
      </c>
      <c r="G359">
        <f t="shared" ca="1" si="303"/>
        <v>102.37747789657394</v>
      </c>
      <c r="H359">
        <f t="shared" ca="1" si="303"/>
        <v>105.93773190018236</v>
      </c>
      <c r="I359">
        <f t="shared" ca="1" si="303"/>
        <v>102.1818763178722</v>
      </c>
      <c r="J359">
        <f t="shared" ref="J359:P359" ca="1" si="330">I359*EXP(($C$6-0.5*$C$7^2)*$C$12+$C$7*SQRT($C$12)*NORMINV(RAND(),0,1))</f>
        <v>104.45756158872692</v>
      </c>
      <c r="K359">
        <f t="shared" ca="1" si="330"/>
        <v>114.71452168077619</v>
      </c>
      <c r="L359">
        <f t="shared" ca="1" si="330"/>
        <v>111.43098033245187</v>
      </c>
      <c r="M359">
        <f t="shared" ca="1" si="330"/>
        <v>117.73068501266572</v>
      </c>
      <c r="N359">
        <f t="shared" ca="1" si="330"/>
        <v>111.95618164070339</v>
      </c>
      <c r="O359">
        <f t="shared" ca="1" si="330"/>
        <v>106.58462275254256</v>
      </c>
      <c r="P359">
        <f t="shared" ca="1" si="330"/>
        <v>104.47356558596088</v>
      </c>
      <c r="Q359">
        <f t="shared" ca="1" si="304"/>
        <v>117.73068501266572</v>
      </c>
      <c r="R359">
        <f t="shared" ca="1" si="305"/>
        <v>0</v>
      </c>
      <c r="S359">
        <f t="shared" ca="1" si="306"/>
        <v>0</v>
      </c>
    </row>
    <row r="360" spans="5:19" x14ac:dyDescent="0.75">
      <c r="E360">
        <v>355</v>
      </c>
      <c r="F360">
        <f t="shared" si="302"/>
        <v>100</v>
      </c>
      <c r="G360">
        <f t="shared" ca="1" si="303"/>
        <v>103.06963300583205</v>
      </c>
      <c r="H360">
        <f t="shared" ca="1" si="303"/>
        <v>105.16526361044635</v>
      </c>
      <c r="I360">
        <f t="shared" ca="1" si="303"/>
        <v>107.80527133376081</v>
      </c>
      <c r="J360">
        <f t="shared" ref="J360:P360" ca="1" si="331">I360*EXP(($C$6-0.5*$C$7^2)*$C$12+$C$7*SQRT($C$12)*NORMINV(RAND(),0,1))</f>
        <v>108.2233955471285</v>
      </c>
      <c r="K360">
        <f t="shared" ca="1" si="331"/>
        <v>106.83745612822437</v>
      </c>
      <c r="L360">
        <f t="shared" ca="1" si="331"/>
        <v>117.07883779951973</v>
      </c>
      <c r="M360">
        <f t="shared" ca="1" si="331"/>
        <v>110.26816485109873</v>
      </c>
      <c r="N360">
        <f t="shared" ca="1" si="331"/>
        <v>106.1598324192037</v>
      </c>
      <c r="O360">
        <f t="shared" ca="1" si="331"/>
        <v>107.92781751205526</v>
      </c>
      <c r="P360">
        <f t="shared" ca="1" si="331"/>
        <v>108.43759053573785</v>
      </c>
      <c r="Q360">
        <f t="shared" ca="1" si="304"/>
        <v>117.07883779951973</v>
      </c>
      <c r="R360">
        <f t="shared" ca="1" si="305"/>
        <v>0</v>
      </c>
      <c r="S360">
        <f t="shared" ca="1" si="306"/>
        <v>0</v>
      </c>
    </row>
    <row r="361" spans="5:19" x14ac:dyDescent="0.75">
      <c r="E361">
        <v>356</v>
      </c>
      <c r="F361">
        <f t="shared" si="302"/>
        <v>100</v>
      </c>
      <c r="G361">
        <f t="shared" ca="1" si="303"/>
        <v>94.264072878368921</v>
      </c>
      <c r="H361">
        <f t="shared" ca="1" si="303"/>
        <v>95.443290551430991</v>
      </c>
      <c r="I361">
        <f t="shared" ca="1" si="303"/>
        <v>90.344555118657198</v>
      </c>
      <c r="J361">
        <f t="shared" ref="J361:P361" ca="1" si="332">I361*EXP(($C$6-0.5*$C$7^2)*$C$12+$C$7*SQRT($C$12)*NORMINV(RAND(),0,1))</f>
        <v>95.843638977088858</v>
      </c>
      <c r="K361">
        <f t="shared" ca="1" si="332"/>
        <v>99.055685648563511</v>
      </c>
      <c r="L361">
        <f t="shared" ca="1" si="332"/>
        <v>108.61179310280366</v>
      </c>
      <c r="M361">
        <f t="shared" ca="1" si="332"/>
        <v>113.7861338112229</v>
      </c>
      <c r="N361">
        <f t="shared" ca="1" si="332"/>
        <v>118.23847275647356</v>
      </c>
      <c r="O361">
        <f t="shared" ca="1" si="332"/>
        <v>112.97248881820798</v>
      </c>
      <c r="P361">
        <f t="shared" ca="1" si="332"/>
        <v>109.66124084847564</v>
      </c>
      <c r="Q361">
        <f t="shared" ca="1" si="304"/>
        <v>118.23847275647356</v>
      </c>
      <c r="R361">
        <f t="shared" ca="1" si="305"/>
        <v>0</v>
      </c>
      <c r="S361">
        <f t="shared" ca="1" si="306"/>
        <v>0</v>
      </c>
    </row>
    <row r="362" spans="5:19" x14ac:dyDescent="0.75">
      <c r="E362">
        <v>357</v>
      </c>
      <c r="F362">
        <f t="shared" si="302"/>
        <v>100</v>
      </c>
      <c r="G362">
        <f t="shared" ca="1" si="303"/>
        <v>99.160652018389499</v>
      </c>
      <c r="H362">
        <f t="shared" ca="1" si="303"/>
        <v>103.21224847329358</v>
      </c>
      <c r="I362">
        <f t="shared" ca="1" si="303"/>
        <v>93.893118978824859</v>
      </c>
      <c r="J362">
        <f t="shared" ref="J362:P362" ca="1" si="333">I362*EXP(($C$6-0.5*$C$7^2)*$C$12+$C$7*SQRT($C$12)*NORMINV(RAND(),0,1))</f>
        <v>94.830594608554676</v>
      </c>
      <c r="K362">
        <f t="shared" ca="1" si="333"/>
        <v>91.545177257029579</v>
      </c>
      <c r="L362">
        <f t="shared" ca="1" si="333"/>
        <v>90.226620126868085</v>
      </c>
      <c r="M362">
        <f t="shared" ca="1" si="333"/>
        <v>90.892796914639291</v>
      </c>
      <c r="N362">
        <f t="shared" ca="1" si="333"/>
        <v>98.565228724320946</v>
      </c>
      <c r="O362">
        <f t="shared" ca="1" si="333"/>
        <v>104.18666179855195</v>
      </c>
      <c r="P362">
        <f t="shared" ca="1" si="333"/>
        <v>113.48896847819164</v>
      </c>
      <c r="Q362">
        <f t="shared" ca="1" si="304"/>
        <v>113.48896847819164</v>
      </c>
      <c r="R362">
        <f t="shared" ca="1" si="305"/>
        <v>0</v>
      </c>
      <c r="S362">
        <f t="shared" ca="1" si="306"/>
        <v>0</v>
      </c>
    </row>
    <row r="363" spans="5:19" x14ac:dyDescent="0.75">
      <c r="E363">
        <v>358</v>
      </c>
      <c r="F363">
        <f t="shared" si="302"/>
        <v>100</v>
      </c>
      <c r="G363">
        <f t="shared" ca="1" si="303"/>
        <v>99.594185977173268</v>
      </c>
      <c r="H363">
        <f t="shared" ca="1" si="303"/>
        <v>101.84114559563737</v>
      </c>
      <c r="I363">
        <f t="shared" ca="1" si="303"/>
        <v>103.82968101948475</v>
      </c>
      <c r="J363">
        <f t="shared" ref="J363:P363" ca="1" si="334">I363*EXP(($C$6-0.5*$C$7^2)*$C$12+$C$7*SQRT($C$12)*NORMINV(RAND(),0,1))</f>
        <v>103.60578488180629</v>
      </c>
      <c r="K363">
        <f t="shared" ca="1" si="334"/>
        <v>107.06718720690181</v>
      </c>
      <c r="L363">
        <f t="shared" ca="1" si="334"/>
        <v>117.48757234420368</v>
      </c>
      <c r="M363">
        <f t="shared" ca="1" si="334"/>
        <v>115.02669084643644</v>
      </c>
      <c r="N363">
        <f t="shared" ca="1" si="334"/>
        <v>120.54549451153785</v>
      </c>
      <c r="O363">
        <f t="shared" ca="1" si="334"/>
        <v>118.61215259864788</v>
      </c>
      <c r="P363">
        <f t="shared" ca="1" si="334"/>
        <v>124.92595870559261</v>
      </c>
      <c r="Q363">
        <f t="shared" ca="1" si="304"/>
        <v>124.92595870559261</v>
      </c>
      <c r="R363">
        <f t="shared" ca="1" si="305"/>
        <v>0</v>
      </c>
      <c r="S363">
        <f t="shared" ca="1" si="306"/>
        <v>0</v>
      </c>
    </row>
    <row r="364" spans="5:19" x14ac:dyDescent="0.75">
      <c r="E364">
        <v>359</v>
      </c>
      <c r="F364">
        <f t="shared" si="302"/>
        <v>100</v>
      </c>
      <c r="G364">
        <f t="shared" ca="1" si="303"/>
        <v>94.907402613873714</v>
      </c>
      <c r="H364">
        <f t="shared" ca="1" si="303"/>
        <v>98.551385728051798</v>
      </c>
      <c r="I364">
        <f t="shared" ca="1" si="303"/>
        <v>100.92660207364654</v>
      </c>
      <c r="J364">
        <f t="shared" ref="J364:P364" ca="1" si="335">I364*EXP(($C$6-0.5*$C$7^2)*$C$12+$C$7*SQRT($C$12)*NORMINV(RAND(),0,1))</f>
        <v>106.20439276734935</v>
      </c>
      <c r="K364">
        <f t="shared" ca="1" si="335"/>
        <v>109.01239726858485</v>
      </c>
      <c r="L364">
        <f t="shared" ca="1" si="335"/>
        <v>108.50550601300709</v>
      </c>
      <c r="M364">
        <f t="shared" ca="1" si="335"/>
        <v>106.77913581178289</v>
      </c>
      <c r="N364">
        <f t="shared" ca="1" si="335"/>
        <v>105.65705462013064</v>
      </c>
      <c r="O364">
        <f t="shared" ca="1" si="335"/>
        <v>102.55657966207893</v>
      </c>
      <c r="P364">
        <f t="shared" ca="1" si="335"/>
        <v>97.523449518886295</v>
      </c>
      <c r="Q364">
        <f t="shared" ca="1" si="304"/>
        <v>109.01239726858485</v>
      </c>
      <c r="R364">
        <f t="shared" ca="1" si="305"/>
        <v>0</v>
      </c>
      <c r="S364">
        <f t="shared" ca="1" si="306"/>
        <v>0</v>
      </c>
    </row>
    <row r="365" spans="5:19" x14ac:dyDescent="0.75">
      <c r="E365">
        <v>360</v>
      </c>
      <c r="F365">
        <f t="shared" si="302"/>
        <v>100</v>
      </c>
      <c r="G365">
        <f t="shared" ca="1" si="303"/>
        <v>93.850008798307201</v>
      </c>
      <c r="H365">
        <f t="shared" ca="1" si="303"/>
        <v>95.061207128635417</v>
      </c>
      <c r="I365">
        <f t="shared" ca="1" si="303"/>
        <v>94.666029821870822</v>
      </c>
      <c r="J365">
        <f t="shared" ref="J365:P365" ca="1" si="336">I365*EXP(($C$6-0.5*$C$7^2)*$C$12+$C$7*SQRT($C$12)*NORMINV(RAND(),0,1))</f>
        <v>95.479355587635411</v>
      </c>
      <c r="K365">
        <f t="shared" ca="1" si="336"/>
        <v>98.6859399361866</v>
      </c>
      <c r="L365">
        <f t="shared" ca="1" si="336"/>
        <v>105.43098942584285</v>
      </c>
      <c r="M365">
        <f t="shared" ca="1" si="336"/>
        <v>111.57080726733602</v>
      </c>
      <c r="N365">
        <f t="shared" ca="1" si="336"/>
        <v>111.75353511371149</v>
      </c>
      <c r="O365">
        <f t="shared" ca="1" si="336"/>
        <v>112.6175150754347</v>
      </c>
      <c r="P365">
        <f t="shared" ca="1" si="336"/>
        <v>109.01950956060764</v>
      </c>
      <c r="Q365">
        <f t="shared" ca="1" si="304"/>
        <v>112.6175150754347</v>
      </c>
      <c r="R365">
        <f t="shared" ca="1" si="305"/>
        <v>0</v>
      </c>
      <c r="S365">
        <f t="shared" ca="1" si="306"/>
        <v>0</v>
      </c>
    </row>
    <row r="366" spans="5:19" x14ac:dyDescent="0.75">
      <c r="E366">
        <v>361</v>
      </c>
      <c r="F366">
        <f t="shared" si="302"/>
        <v>100</v>
      </c>
      <c r="G366">
        <f t="shared" ca="1" si="303"/>
        <v>102.10171287686327</v>
      </c>
      <c r="H366">
        <f t="shared" ca="1" si="303"/>
        <v>104.41003663362885</v>
      </c>
      <c r="I366">
        <f t="shared" ca="1" si="303"/>
        <v>105.81349876423194</v>
      </c>
      <c r="J366">
        <f t="shared" ref="J366:P366" ca="1" si="337">I366*EXP(($C$6-0.5*$C$7^2)*$C$12+$C$7*SQRT($C$12)*NORMINV(RAND(),0,1))</f>
        <v>114.27148094672815</v>
      </c>
      <c r="K366">
        <f t="shared" ca="1" si="337"/>
        <v>111.6904316786686</v>
      </c>
      <c r="L366">
        <f t="shared" ca="1" si="337"/>
        <v>112.12415571665296</v>
      </c>
      <c r="M366">
        <f t="shared" ca="1" si="337"/>
        <v>118.63484533236327</v>
      </c>
      <c r="N366">
        <f t="shared" ca="1" si="337"/>
        <v>122.5031138795695</v>
      </c>
      <c r="O366">
        <f t="shared" ca="1" si="337"/>
        <v>117.80453564641542</v>
      </c>
      <c r="P366">
        <f t="shared" ca="1" si="337"/>
        <v>128.97960922263104</v>
      </c>
      <c r="Q366">
        <f t="shared" ca="1" si="304"/>
        <v>128.97960922263104</v>
      </c>
      <c r="R366">
        <f t="shared" ca="1" si="305"/>
        <v>0</v>
      </c>
      <c r="S366">
        <f t="shared" ca="1" si="306"/>
        <v>0</v>
      </c>
    </row>
    <row r="367" spans="5:19" x14ac:dyDescent="0.75">
      <c r="E367">
        <v>362</v>
      </c>
      <c r="F367">
        <f t="shared" si="302"/>
        <v>100</v>
      </c>
      <c r="G367">
        <f t="shared" ca="1" si="303"/>
        <v>103.10212224927129</v>
      </c>
      <c r="H367">
        <f t="shared" ca="1" si="303"/>
        <v>98.167264500469244</v>
      </c>
      <c r="I367">
        <f t="shared" ca="1" si="303"/>
        <v>101.39571639089037</v>
      </c>
      <c r="J367">
        <f t="shared" ref="J367:P367" ca="1" si="338">I367*EXP(($C$6-0.5*$C$7^2)*$C$12+$C$7*SQRT($C$12)*NORMINV(RAND(),0,1))</f>
        <v>99.139516696263811</v>
      </c>
      <c r="K367">
        <f t="shared" ca="1" si="338"/>
        <v>100.71385362647793</v>
      </c>
      <c r="L367">
        <f t="shared" ca="1" si="338"/>
        <v>97.326377923364277</v>
      </c>
      <c r="M367">
        <f t="shared" ca="1" si="338"/>
        <v>95.353248143744182</v>
      </c>
      <c r="N367">
        <f t="shared" ca="1" si="338"/>
        <v>93.187347884342259</v>
      </c>
      <c r="O367">
        <f t="shared" ca="1" si="338"/>
        <v>92.817925942857471</v>
      </c>
      <c r="P367">
        <f t="shared" ca="1" si="338"/>
        <v>94.053062163657913</v>
      </c>
      <c r="Q367">
        <f t="shared" ca="1" si="304"/>
        <v>103.10212224927129</v>
      </c>
      <c r="R367">
        <f t="shared" ca="1" si="305"/>
        <v>0</v>
      </c>
      <c r="S367">
        <f t="shared" ca="1" si="306"/>
        <v>0</v>
      </c>
    </row>
    <row r="368" spans="5:19" x14ac:dyDescent="0.75">
      <c r="E368">
        <v>363</v>
      </c>
      <c r="F368">
        <f t="shared" si="302"/>
        <v>100</v>
      </c>
      <c r="G368">
        <f t="shared" ca="1" si="303"/>
        <v>100.49204682712111</v>
      </c>
      <c r="H368">
        <f t="shared" ca="1" si="303"/>
        <v>94.8148089400391</v>
      </c>
      <c r="I368">
        <f t="shared" ca="1" si="303"/>
        <v>93.93547306631126</v>
      </c>
      <c r="J368">
        <f t="shared" ref="J368:P368" ca="1" si="339">I368*EXP(($C$6-0.5*$C$7^2)*$C$12+$C$7*SQRT($C$12)*NORMINV(RAND(),0,1))</f>
        <v>95.145486574797772</v>
      </c>
      <c r="K368">
        <f t="shared" ca="1" si="339"/>
        <v>85.338024572462231</v>
      </c>
      <c r="L368">
        <f t="shared" ca="1" si="339"/>
        <v>89.217776542228876</v>
      </c>
      <c r="M368">
        <f t="shared" ca="1" si="339"/>
        <v>89.556963637419756</v>
      </c>
      <c r="N368">
        <f t="shared" ca="1" si="339"/>
        <v>85.29690938531111</v>
      </c>
      <c r="O368">
        <f t="shared" ca="1" si="339"/>
        <v>87.814855852350206</v>
      </c>
      <c r="P368">
        <f t="shared" ca="1" si="339"/>
        <v>83.180475026223675</v>
      </c>
      <c r="Q368">
        <f t="shared" ca="1" si="304"/>
        <v>100.49204682712111</v>
      </c>
      <c r="R368">
        <f t="shared" ca="1" si="305"/>
        <v>0</v>
      </c>
      <c r="S368">
        <f t="shared" ca="1" si="306"/>
        <v>0</v>
      </c>
    </row>
    <row r="369" spans="5:19" x14ac:dyDescent="0.75">
      <c r="E369">
        <v>364</v>
      </c>
      <c r="F369">
        <f t="shared" si="302"/>
        <v>100</v>
      </c>
      <c r="G369">
        <f t="shared" ca="1" si="303"/>
        <v>98.563835856982095</v>
      </c>
      <c r="H369">
        <f t="shared" ca="1" si="303"/>
        <v>99.167449813088865</v>
      </c>
      <c r="I369">
        <f t="shared" ca="1" si="303"/>
        <v>99.239369847342886</v>
      </c>
      <c r="J369">
        <f t="shared" ref="J369:P369" ca="1" si="340">I369*EXP(($C$6-0.5*$C$7^2)*$C$12+$C$7*SQRT($C$12)*NORMINV(RAND(),0,1))</f>
        <v>95.540363656781381</v>
      </c>
      <c r="K369">
        <f t="shared" ca="1" si="340"/>
        <v>88.9931118122784</v>
      </c>
      <c r="L369">
        <f t="shared" ca="1" si="340"/>
        <v>86.208982971388053</v>
      </c>
      <c r="M369">
        <f t="shared" ca="1" si="340"/>
        <v>82.531118686195398</v>
      </c>
      <c r="N369">
        <f t="shared" ca="1" si="340"/>
        <v>89.382137535701744</v>
      </c>
      <c r="O369">
        <f t="shared" ca="1" si="340"/>
        <v>86.770468260777804</v>
      </c>
      <c r="P369">
        <f t="shared" ca="1" si="340"/>
        <v>86.450251205456652</v>
      </c>
      <c r="Q369">
        <f t="shared" ca="1" si="304"/>
        <v>99.239369847342886</v>
      </c>
      <c r="R369">
        <f t="shared" ca="1" si="305"/>
        <v>0</v>
      </c>
      <c r="S369">
        <f t="shared" ca="1" si="306"/>
        <v>0</v>
      </c>
    </row>
    <row r="370" spans="5:19" x14ac:dyDescent="0.75">
      <c r="E370">
        <v>365</v>
      </c>
      <c r="F370">
        <f t="shared" si="302"/>
        <v>100</v>
      </c>
      <c r="G370">
        <f t="shared" ca="1" si="303"/>
        <v>101.83075268757533</v>
      </c>
      <c r="H370">
        <f t="shared" ca="1" si="303"/>
        <v>94.547497800900643</v>
      </c>
      <c r="I370">
        <f t="shared" ca="1" si="303"/>
        <v>100.64349926465549</v>
      </c>
      <c r="J370">
        <f t="shared" ref="J370:P370" ca="1" si="341">I370*EXP(($C$6-0.5*$C$7^2)*$C$12+$C$7*SQRT($C$12)*NORMINV(RAND(),0,1))</f>
        <v>95.159976329484422</v>
      </c>
      <c r="K370">
        <f t="shared" ca="1" si="341"/>
        <v>93.528279241330239</v>
      </c>
      <c r="L370">
        <f t="shared" ca="1" si="341"/>
        <v>95.556654526781685</v>
      </c>
      <c r="M370">
        <f t="shared" ca="1" si="341"/>
        <v>96.658755571573636</v>
      </c>
      <c r="N370">
        <f t="shared" ca="1" si="341"/>
        <v>97.269464150615761</v>
      </c>
      <c r="O370">
        <f t="shared" ca="1" si="341"/>
        <v>92.008629949299817</v>
      </c>
      <c r="P370">
        <f t="shared" ca="1" si="341"/>
        <v>90.335392033467585</v>
      </c>
      <c r="Q370">
        <f t="shared" ca="1" si="304"/>
        <v>101.83075268757533</v>
      </c>
      <c r="R370">
        <f t="shared" ca="1" si="305"/>
        <v>0</v>
      </c>
      <c r="S370">
        <f t="shared" ca="1" si="306"/>
        <v>0</v>
      </c>
    </row>
    <row r="371" spans="5:19" x14ac:dyDescent="0.75">
      <c r="E371">
        <v>366</v>
      </c>
      <c r="F371">
        <f t="shared" si="302"/>
        <v>100</v>
      </c>
      <c r="G371">
        <f t="shared" ca="1" si="303"/>
        <v>102.01674077513809</v>
      </c>
      <c r="H371">
        <f t="shared" ca="1" si="303"/>
        <v>99.587473298731211</v>
      </c>
      <c r="I371">
        <f t="shared" ca="1" si="303"/>
        <v>100.34741710399079</v>
      </c>
      <c r="J371">
        <f t="shared" ref="J371:P371" ca="1" si="342">I371*EXP(($C$6-0.5*$C$7^2)*$C$12+$C$7*SQRT($C$12)*NORMINV(RAND(),0,1))</f>
        <v>95.469178714533101</v>
      </c>
      <c r="K371">
        <f t="shared" ca="1" si="342"/>
        <v>94.798038577650715</v>
      </c>
      <c r="L371">
        <f t="shared" ca="1" si="342"/>
        <v>98.17362000174785</v>
      </c>
      <c r="M371">
        <f t="shared" ca="1" si="342"/>
        <v>99.829300419335937</v>
      </c>
      <c r="N371">
        <f t="shared" ca="1" si="342"/>
        <v>94.483645827449649</v>
      </c>
      <c r="O371">
        <f t="shared" ca="1" si="342"/>
        <v>91.186681859492381</v>
      </c>
      <c r="P371">
        <f t="shared" ca="1" si="342"/>
        <v>90.023490071595276</v>
      </c>
      <c r="Q371">
        <f t="shared" ca="1" si="304"/>
        <v>102.01674077513809</v>
      </c>
      <c r="R371">
        <f t="shared" ca="1" si="305"/>
        <v>0</v>
      </c>
      <c r="S371">
        <f t="shared" ca="1" si="306"/>
        <v>0</v>
      </c>
    </row>
    <row r="372" spans="5:19" x14ac:dyDescent="0.75">
      <c r="E372">
        <v>367</v>
      </c>
      <c r="F372">
        <f t="shared" si="302"/>
        <v>100</v>
      </c>
      <c r="G372">
        <f t="shared" ca="1" si="303"/>
        <v>100.24118338812605</v>
      </c>
      <c r="H372">
        <f t="shared" ca="1" si="303"/>
        <v>94.49094989958779</v>
      </c>
      <c r="I372">
        <f t="shared" ca="1" si="303"/>
        <v>89.716687424177849</v>
      </c>
      <c r="J372">
        <f t="shared" ref="J372:P372" ca="1" si="343">I372*EXP(($C$6-0.5*$C$7^2)*$C$12+$C$7*SQRT($C$12)*NORMINV(RAND(),0,1))</f>
        <v>88.684219804446357</v>
      </c>
      <c r="K372">
        <f t="shared" ca="1" si="343"/>
        <v>92.442988090078643</v>
      </c>
      <c r="L372">
        <f t="shared" ca="1" si="343"/>
        <v>89.866177276900274</v>
      </c>
      <c r="M372">
        <f t="shared" ca="1" si="343"/>
        <v>95.498015848016422</v>
      </c>
      <c r="N372">
        <f t="shared" ca="1" si="343"/>
        <v>96.482042327289264</v>
      </c>
      <c r="O372">
        <f t="shared" ca="1" si="343"/>
        <v>93.994205479076101</v>
      </c>
      <c r="P372">
        <f t="shared" ca="1" si="343"/>
        <v>92.829007621911572</v>
      </c>
      <c r="Q372">
        <f t="shared" ca="1" si="304"/>
        <v>100.24118338812605</v>
      </c>
      <c r="R372">
        <f t="shared" ca="1" si="305"/>
        <v>0</v>
      </c>
      <c r="S372">
        <f t="shared" ca="1" si="306"/>
        <v>0</v>
      </c>
    </row>
    <row r="373" spans="5:19" x14ac:dyDescent="0.75">
      <c r="E373">
        <v>368</v>
      </c>
      <c r="F373">
        <f t="shared" si="302"/>
        <v>100</v>
      </c>
      <c r="G373">
        <f t="shared" ca="1" si="303"/>
        <v>102.85038014539137</v>
      </c>
      <c r="H373">
        <f t="shared" ca="1" si="303"/>
        <v>98.322045519504982</v>
      </c>
      <c r="I373">
        <f t="shared" ca="1" si="303"/>
        <v>98.56833201861707</v>
      </c>
      <c r="J373">
        <f t="shared" ref="J373:P373" ca="1" si="344">I373*EXP(($C$6-0.5*$C$7^2)*$C$12+$C$7*SQRT($C$12)*NORMINV(RAND(),0,1))</f>
        <v>97.819593726880072</v>
      </c>
      <c r="K373">
        <f t="shared" ca="1" si="344"/>
        <v>102.36528381544325</v>
      </c>
      <c r="L373">
        <f t="shared" ca="1" si="344"/>
        <v>104.97812245762817</v>
      </c>
      <c r="M373">
        <f t="shared" ca="1" si="344"/>
        <v>101.97808211161158</v>
      </c>
      <c r="N373">
        <f t="shared" ca="1" si="344"/>
        <v>105.45115277041808</v>
      </c>
      <c r="O373">
        <f t="shared" ca="1" si="344"/>
        <v>103.11207578461946</v>
      </c>
      <c r="P373">
        <f t="shared" ca="1" si="344"/>
        <v>100.22015709358315</v>
      </c>
      <c r="Q373">
        <f t="shared" ca="1" si="304"/>
        <v>105.45115277041808</v>
      </c>
      <c r="R373">
        <f t="shared" ca="1" si="305"/>
        <v>0</v>
      </c>
      <c r="S373">
        <f t="shared" ca="1" si="306"/>
        <v>0</v>
      </c>
    </row>
    <row r="374" spans="5:19" x14ac:dyDescent="0.75">
      <c r="E374">
        <v>369</v>
      </c>
      <c r="F374">
        <f t="shared" si="302"/>
        <v>100</v>
      </c>
      <c r="G374">
        <f t="shared" ca="1" si="303"/>
        <v>97.274788889493834</v>
      </c>
      <c r="H374">
        <f t="shared" ca="1" si="303"/>
        <v>99.649164758135299</v>
      </c>
      <c r="I374">
        <f t="shared" ca="1" si="303"/>
        <v>96.970419410183894</v>
      </c>
      <c r="J374">
        <f t="shared" ref="J374:P374" ca="1" si="345">I374*EXP(($C$6-0.5*$C$7^2)*$C$12+$C$7*SQRT($C$12)*NORMINV(RAND(),0,1))</f>
        <v>103.72463972755516</v>
      </c>
      <c r="K374">
        <f t="shared" ca="1" si="345"/>
        <v>98.383703825467379</v>
      </c>
      <c r="L374">
        <f t="shared" ca="1" si="345"/>
        <v>95.779999745534155</v>
      </c>
      <c r="M374">
        <f t="shared" ca="1" si="345"/>
        <v>97.530970696322086</v>
      </c>
      <c r="N374">
        <f t="shared" ca="1" si="345"/>
        <v>100.44123575956809</v>
      </c>
      <c r="O374">
        <f t="shared" ca="1" si="345"/>
        <v>96.005100112129554</v>
      </c>
      <c r="P374">
        <f t="shared" ca="1" si="345"/>
        <v>103.46912268979929</v>
      </c>
      <c r="Q374">
        <f t="shared" ca="1" si="304"/>
        <v>103.72463972755516</v>
      </c>
      <c r="R374">
        <f t="shared" ca="1" si="305"/>
        <v>1.4691226897992919</v>
      </c>
      <c r="S374">
        <f t="shared" ca="1" si="306"/>
        <v>1.4328499213469748</v>
      </c>
    </row>
    <row r="375" spans="5:19" x14ac:dyDescent="0.75">
      <c r="E375">
        <v>370</v>
      </c>
      <c r="F375">
        <f t="shared" si="302"/>
        <v>100</v>
      </c>
      <c r="G375">
        <f t="shared" ca="1" si="303"/>
        <v>100.3481250069741</v>
      </c>
      <c r="H375">
        <f t="shared" ca="1" si="303"/>
        <v>96.177578079687493</v>
      </c>
      <c r="I375">
        <f t="shared" ca="1" si="303"/>
        <v>98.694801413265395</v>
      </c>
      <c r="J375">
        <f t="shared" ref="J375:P375" ca="1" si="346">I375*EXP(($C$6-0.5*$C$7^2)*$C$12+$C$7*SQRT($C$12)*NORMINV(RAND(),0,1))</f>
        <v>97.823910550856141</v>
      </c>
      <c r="K375">
        <f t="shared" ca="1" si="346"/>
        <v>96.338551703606683</v>
      </c>
      <c r="L375">
        <f t="shared" ca="1" si="346"/>
        <v>93.976423372476802</v>
      </c>
      <c r="M375">
        <f t="shared" ca="1" si="346"/>
        <v>105.36213083585142</v>
      </c>
      <c r="N375">
        <f t="shared" ca="1" si="346"/>
        <v>107.37480271645768</v>
      </c>
      <c r="O375">
        <f t="shared" ca="1" si="346"/>
        <v>113.54295673984753</v>
      </c>
      <c r="P375">
        <f t="shared" ca="1" si="346"/>
        <v>121.30712663828054</v>
      </c>
      <c r="Q375">
        <f t="shared" ca="1" si="304"/>
        <v>121.30712663828054</v>
      </c>
      <c r="R375">
        <f t="shared" ca="1" si="305"/>
        <v>0</v>
      </c>
      <c r="S375">
        <f t="shared" ca="1" si="306"/>
        <v>0</v>
      </c>
    </row>
    <row r="376" spans="5:19" x14ac:dyDescent="0.75">
      <c r="E376">
        <v>371</v>
      </c>
      <c r="F376">
        <f t="shared" si="302"/>
        <v>100</v>
      </c>
      <c r="G376">
        <f t="shared" ca="1" si="303"/>
        <v>102.19431168259139</v>
      </c>
      <c r="H376">
        <f t="shared" ca="1" si="303"/>
        <v>105.63523268283487</v>
      </c>
      <c r="I376">
        <f t="shared" ca="1" si="303"/>
        <v>102.19761107001192</v>
      </c>
      <c r="J376">
        <f t="shared" ref="J376:P376" ca="1" si="347">I376*EXP(($C$6-0.5*$C$7^2)*$C$12+$C$7*SQRT($C$12)*NORMINV(RAND(),0,1))</f>
        <v>107.98226609741731</v>
      </c>
      <c r="K376">
        <f t="shared" ca="1" si="347"/>
        <v>109.75858632202882</v>
      </c>
      <c r="L376">
        <f t="shared" ca="1" si="347"/>
        <v>107.7443583701403</v>
      </c>
      <c r="M376">
        <f t="shared" ca="1" si="347"/>
        <v>105.28967613694586</v>
      </c>
      <c r="N376">
        <f t="shared" ca="1" si="347"/>
        <v>101.03022496315145</v>
      </c>
      <c r="O376">
        <f t="shared" ca="1" si="347"/>
        <v>104.87947379199747</v>
      </c>
      <c r="P376">
        <f t="shared" ca="1" si="347"/>
        <v>99.287472609050994</v>
      </c>
      <c r="Q376">
        <f t="shared" ca="1" si="304"/>
        <v>109.75858632202882</v>
      </c>
      <c r="R376">
        <f t="shared" ca="1" si="305"/>
        <v>0</v>
      </c>
      <c r="S376">
        <f t="shared" ca="1" si="306"/>
        <v>0</v>
      </c>
    </row>
    <row r="377" spans="5:19" x14ac:dyDescent="0.75">
      <c r="E377">
        <v>372</v>
      </c>
      <c r="F377">
        <f t="shared" si="302"/>
        <v>100</v>
      </c>
      <c r="G377">
        <f t="shared" ca="1" si="303"/>
        <v>108.87907296576518</v>
      </c>
      <c r="H377">
        <f t="shared" ca="1" si="303"/>
        <v>103.74059782157427</v>
      </c>
      <c r="I377">
        <f t="shared" ca="1" si="303"/>
        <v>110.62010864829556</v>
      </c>
      <c r="J377">
        <f t="shared" ref="J377:P377" ca="1" si="348">I377*EXP(($C$6-0.5*$C$7^2)*$C$12+$C$7*SQRT($C$12)*NORMINV(RAND(),0,1))</f>
        <v>102.83578702960273</v>
      </c>
      <c r="K377">
        <f t="shared" ca="1" si="348"/>
        <v>103.29769202271517</v>
      </c>
      <c r="L377">
        <f t="shared" ca="1" si="348"/>
        <v>98.324106742399564</v>
      </c>
      <c r="M377">
        <f t="shared" ca="1" si="348"/>
        <v>101.44413769834546</v>
      </c>
      <c r="N377">
        <f t="shared" ca="1" si="348"/>
        <v>104.10870486855309</v>
      </c>
      <c r="O377">
        <f t="shared" ca="1" si="348"/>
        <v>117.07840612411701</v>
      </c>
      <c r="P377">
        <f t="shared" ca="1" si="348"/>
        <v>117.14259858999429</v>
      </c>
      <c r="Q377">
        <f t="shared" ca="1" si="304"/>
        <v>117.14259858999429</v>
      </c>
      <c r="R377">
        <f t="shared" ca="1" si="305"/>
        <v>0</v>
      </c>
      <c r="S377">
        <f t="shared" ca="1" si="306"/>
        <v>0</v>
      </c>
    </row>
    <row r="378" spans="5:19" x14ac:dyDescent="0.75">
      <c r="E378">
        <v>373</v>
      </c>
      <c r="F378">
        <f t="shared" si="302"/>
        <v>100</v>
      </c>
      <c r="G378">
        <f t="shared" ca="1" si="303"/>
        <v>95.633905884181061</v>
      </c>
      <c r="H378">
        <f t="shared" ca="1" si="303"/>
        <v>99.689181028654758</v>
      </c>
      <c r="I378">
        <f t="shared" ca="1" si="303"/>
        <v>99.907755660306805</v>
      </c>
      <c r="J378">
        <f t="shared" ref="J378:P378" ca="1" si="349">I378*EXP(($C$6-0.5*$C$7^2)*$C$12+$C$7*SQRT($C$12)*NORMINV(RAND(),0,1))</f>
        <v>99.069418921219707</v>
      </c>
      <c r="K378">
        <f t="shared" ca="1" si="349"/>
        <v>98.144883656819417</v>
      </c>
      <c r="L378">
        <f t="shared" ca="1" si="349"/>
        <v>109.37208473118646</v>
      </c>
      <c r="M378">
        <f t="shared" ca="1" si="349"/>
        <v>114.97598215055883</v>
      </c>
      <c r="N378">
        <f t="shared" ca="1" si="349"/>
        <v>115.36532448682109</v>
      </c>
      <c r="O378">
        <f t="shared" ca="1" si="349"/>
        <v>113.82679178586926</v>
      </c>
      <c r="P378">
        <f t="shared" ca="1" si="349"/>
        <v>116.86863432161927</v>
      </c>
      <c r="Q378">
        <f t="shared" ca="1" si="304"/>
        <v>116.86863432161927</v>
      </c>
      <c r="R378">
        <f t="shared" ca="1" si="305"/>
        <v>0</v>
      </c>
      <c r="S378">
        <f t="shared" ca="1" si="306"/>
        <v>0</v>
      </c>
    </row>
    <row r="379" spans="5:19" x14ac:dyDescent="0.75">
      <c r="E379">
        <v>374</v>
      </c>
      <c r="F379">
        <f t="shared" si="302"/>
        <v>100</v>
      </c>
      <c r="G379">
        <f t="shared" ca="1" si="303"/>
        <v>98.349389906716183</v>
      </c>
      <c r="H379">
        <f t="shared" ca="1" si="303"/>
        <v>101.17182364168727</v>
      </c>
      <c r="I379">
        <f t="shared" ca="1" si="303"/>
        <v>98.364372442238363</v>
      </c>
      <c r="J379">
        <f t="shared" ref="J379:P379" ca="1" si="350">I379*EXP(($C$6-0.5*$C$7^2)*$C$12+$C$7*SQRT($C$12)*NORMINV(RAND(),0,1))</f>
        <v>99.651398705967338</v>
      </c>
      <c r="K379">
        <f t="shared" ca="1" si="350"/>
        <v>94.140051923077124</v>
      </c>
      <c r="L379">
        <f t="shared" ca="1" si="350"/>
        <v>93.892243776606577</v>
      </c>
      <c r="M379">
        <f t="shared" ca="1" si="350"/>
        <v>95.749787923727311</v>
      </c>
      <c r="N379">
        <f t="shared" ca="1" si="350"/>
        <v>97.157933480936364</v>
      </c>
      <c r="O379">
        <f t="shared" ca="1" si="350"/>
        <v>91.51875313598191</v>
      </c>
      <c r="P379">
        <f t="shared" ca="1" si="350"/>
        <v>93.399599752281347</v>
      </c>
      <c r="Q379">
        <f t="shared" ca="1" si="304"/>
        <v>101.17182364168727</v>
      </c>
      <c r="R379">
        <f t="shared" ca="1" si="305"/>
        <v>0</v>
      </c>
      <c r="S379">
        <f t="shared" ca="1" si="306"/>
        <v>0</v>
      </c>
    </row>
    <row r="380" spans="5:19" x14ac:dyDescent="0.75">
      <c r="E380">
        <v>375</v>
      </c>
      <c r="F380">
        <f t="shared" si="302"/>
        <v>100</v>
      </c>
      <c r="G380">
        <f t="shared" ca="1" si="303"/>
        <v>103.5194342772384</v>
      </c>
      <c r="H380">
        <f t="shared" ca="1" si="303"/>
        <v>102.52630504935512</v>
      </c>
      <c r="I380">
        <f t="shared" ca="1" si="303"/>
        <v>104.90024053553736</v>
      </c>
      <c r="J380">
        <f t="shared" ref="J380:P380" ca="1" si="351">I380*EXP(($C$6-0.5*$C$7^2)*$C$12+$C$7*SQRT($C$12)*NORMINV(RAND(),0,1))</f>
        <v>105.71909635003503</v>
      </c>
      <c r="K380">
        <f t="shared" ca="1" si="351"/>
        <v>103.79012274033784</v>
      </c>
      <c r="L380">
        <f t="shared" ca="1" si="351"/>
        <v>101.15230042268564</v>
      </c>
      <c r="M380">
        <f t="shared" ca="1" si="351"/>
        <v>110.81641827400635</v>
      </c>
      <c r="N380">
        <f t="shared" ca="1" si="351"/>
        <v>110.34514810036333</v>
      </c>
      <c r="O380">
        <f t="shared" ca="1" si="351"/>
        <v>106.24047546412767</v>
      </c>
      <c r="P380">
        <f t="shared" ca="1" si="351"/>
        <v>110.79913453815062</v>
      </c>
      <c r="Q380">
        <f t="shared" ca="1" si="304"/>
        <v>110.81641827400635</v>
      </c>
      <c r="R380">
        <f t="shared" ca="1" si="305"/>
        <v>0</v>
      </c>
      <c r="S380">
        <f t="shared" ca="1" si="306"/>
        <v>0</v>
      </c>
    </row>
    <row r="381" spans="5:19" x14ac:dyDescent="0.75">
      <c r="E381">
        <v>376</v>
      </c>
      <c r="F381">
        <f t="shared" si="302"/>
        <v>100</v>
      </c>
      <c r="G381">
        <f t="shared" ca="1" si="303"/>
        <v>97.38741311396376</v>
      </c>
      <c r="H381">
        <f t="shared" ca="1" si="303"/>
        <v>102.08403651960271</v>
      </c>
      <c r="I381">
        <f t="shared" ca="1" si="303"/>
        <v>106.961574082581</v>
      </c>
      <c r="J381">
        <f t="shared" ref="J381:P381" ca="1" si="352">I381*EXP(($C$6-0.5*$C$7^2)*$C$12+$C$7*SQRT($C$12)*NORMINV(RAND(),0,1))</f>
        <v>104.27727982717084</v>
      </c>
      <c r="K381">
        <f t="shared" ca="1" si="352"/>
        <v>96.467035852009545</v>
      </c>
      <c r="L381">
        <f t="shared" ca="1" si="352"/>
        <v>89.44466512510725</v>
      </c>
      <c r="M381">
        <f t="shared" ca="1" si="352"/>
        <v>91.45037973972839</v>
      </c>
      <c r="N381">
        <f t="shared" ca="1" si="352"/>
        <v>88.98511298138088</v>
      </c>
      <c r="O381">
        <f t="shared" ca="1" si="352"/>
        <v>91.752585231267432</v>
      </c>
      <c r="P381">
        <f t="shared" ca="1" si="352"/>
        <v>85.232847569276046</v>
      </c>
      <c r="Q381">
        <f t="shared" ca="1" si="304"/>
        <v>106.961574082581</v>
      </c>
      <c r="R381">
        <f t="shared" ca="1" si="305"/>
        <v>0</v>
      </c>
      <c r="S381">
        <f t="shared" ca="1" si="306"/>
        <v>0</v>
      </c>
    </row>
    <row r="382" spans="5:19" x14ac:dyDescent="0.75">
      <c r="E382">
        <v>377</v>
      </c>
      <c r="F382">
        <f t="shared" si="302"/>
        <v>100</v>
      </c>
      <c r="G382">
        <f t="shared" ca="1" si="303"/>
        <v>101.16097634310215</v>
      </c>
      <c r="H382">
        <f t="shared" ca="1" si="303"/>
        <v>96.218468013341067</v>
      </c>
      <c r="I382">
        <f t="shared" ca="1" si="303"/>
        <v>93.171036527221133</v>
      </c>
      <c r="J382">
        <f t="shared" ref="J382:P382" ca="1" si="353">I382*EXP(($C$6-0.5*$C$7^2)*$C$12+$C$7*SQRT($C$12)*NORMINV(RAND(),0,1))</f>
        <v>82.04732041669719</v>
      </c>
      <c r="K382">
        <f t="shared" ca="1" si="353"/>
        <v>79.057250969894028</v>
      </c>
      <c r="L382">
        <f t="shared" ca="1" si="353"/>
        <v>77.354982813075495</v>
      </c>
      <c r="M382">
        <f t="shared" ca="1" si="353"/>
        <v>73.196158369322561</v>
      </c>
      <c r="N382">
        <f t="shared" ca="1" si="353"/>
        <v>77.187733004551305</v>
      </c>
      <c r="O382">
        <f t="shared" ca="1" si="353"/>
        <v>79.567278120250108</v>
      </c>
      <c r="P382">
        <f t="shared" ca="1" si="353"/>
        <v>85.646182963110107</v>
      </c>
      <c r="Q382">
        <f t="shared" ca="1" si="304"/>
        <v>101.16097634310215</v>
      </c>
      <c r="R382">
        <f t="shared" ca="1" si="305"/>
        <v>0</v>
      </c>
      <c r="S382">
        <f t="shared" ca="1" si="306"/>
        <v>0</v>
      </c>
    </row>
    <row r="383" spans="5:19" x14ac:dyDescent="0.75">
      <c r="E383">
        <v>378</v>
      </c>
      <c r="F383">
        <f t="shared" si="302"/>
        <v>100</v>
      </c>
      <c r="G383">
        <f t="shared" ca="1" si="303"/>
        <v>100.60390992031967</v>
      </c>
      <c r="H383">
        <f t="shared" ca="1" si="303"/>
        <v>103.0871458070924</v>
      </c>
      <c r="I383">
        <f t="shared" ca="1" si="303"/>
        <v>104.32459483001243</v>
      </c>
      <c r="J383">
        <f t="shared" ref="J383:P383" ca="1" si="354">I383*EXP(($C$6-0.5*$C$7^2)*$C$12+$C$7*SQRT($C$12)*NORMINV(RAND(),0,1))</f>
        <v>111.93029061325485</v>
      </c>
      <c r="K383">
        <f t="shared" ca="1" si="354"/>
        <v>116.29639797804903</v>
      </c>
      <c r="L383">
        <f t="shared" ca="1" si="354"/>
        <v>121.91926528168665</v>
      </c>
      <c r="M383">
        <f t="shared" ca="1" si="354"/>
        <v>124.53117432441546</v>
      </c>
      <c r="N383">
        <f t="shared" ca="1" si="354"/>
        <v>127.47491485839699</v>
      </c>
      <c r="O383">
        <f t="shared" ca="1" si="354"/>
        <v>136.07589583865683</v>
      </c>
      <c r="P383">
        <f t="shared" ca="1" si="354"/>
        <v>139.36816808763064</v>
      </c>
      <c r="Q383">
        <f t="shared" ca="1" si="304"/>
        <v>139.36816808763064</v>
      </c>
      <c r="R383">
        <f t="shared" ca="1" si="305"/>
        <v>0</v>
      </c>
      <c r="S383">
        <f t="shared" ca="1" si="306"/>
        <v>0</v>
      </c>
    </row>
    <row r="384" spans="5:19" x14ac:dyDescent="0.75">
      <c r="E384">
        <v>379</v>
      </c>
      <c r="F384">
        <f t="shared" si="302"/>
        <v>100</v>
      </c>
      <c r="G384">
        <f t="shared" ca="1" si="303"/>
        <v>92.316393929601176</v>
      </c>
      <c r="H384">
        <f t="shared" ca="1" si="303"/>
        <v>84.74976121304465</v>
      </c>
      <c r="I384">
        <f t="shared" ca="1" si="303"/>
        <v>88.079399268454281</v>
      </c>
      <c r="J384">
        <f t="shared" ref="J384:P384" ca="1" si="355">I384*EXP(($C$6-0.5*$C$7^2)*$C$12+$C$7*SQRT($C$12)*NORMINV(RAND(),0,1))</f>
        <v>91.557181168878358</v>
      </c>
      <c r="K384">
        <f t="shared" ca="1" si="355"/>
        <v>91.090071612660395</v>
      </c>
      <c r="L384">
        <f t="shared" ca="1" si="355"/>
        <v>94.171998031106256</v>
      </c>
      <c r="M384">
        <f t="shared" ca="1" si="355"/>
        <v>91.920326600486334</v>
      </c>
      <c r="N384">
        <f t="shared" ca="1" si="355"/>
        <v>91.196705843996156</v>
      </c>
      <c r="O384">
        <f t="shared" ca="1" si="355"/>
        <v>93.212293053993207</v>
      </c>
      <c r="P384">
        <f t="shared" ca="1" si="355"/>
        <v>93.816890615469816</v>
      </c>
      <c r="Q384">
        <f t="shared" ca="1" si="304"/>
        <v>94.171998031106256</v>
      </c>
      <c r="R384">
        <f t="shared" ca="1" si="305"/>
        <v>0</v>
      </c>
      <c r="S384">
        <f t="shared" ca="1" si="306"/>
        <v>0</v>
      </c>
    </row>
    <row r="385" spans="5:19" x14ac:dyDescent="0.75">
      <c r="E385">
        <v>380</v>
      </c>
      <c r="F385">
        <f t="shared" si="302"/>
        <v>100</v>
      </c>
      <c r="G385">
        <f t="shared" ca="1" si="303"/>
        <v>98.995836352929985</v>
      </c>
      <c r="H385">
        <f t="shared" ca="1" si="303"/>
        <v>96.11453413805323</v>
      </c>
      <c r="I385">
        <f t="shared" ca="1" si="303"/>
        <v>103.25407572448712</v>
      </c>
      <c r="J385">
        <f t="shared" ref="J385:P385" ca="1" si="356">I385*EXP(($C$6-0.5*$C$7^2)*$C$12+$C$7*SQRT($C$12)*NORMINV(RAND(),0,1))</f>
        <v>109.63659885862312</v>
      </c>
      <c r="K385">
        <f t="shared" ca="1" si="356"/>
        <v>117.67897112729953</v>
      </c>
      <c r="L385">
        <f t="shared" ca="1" si="356"/>
        <v>119.57216820496335</v>
      </c>
      <c r="M385">
        <f t="shared" ca="1" si="356"/>
        <v>107.01139532744307</v>
      </c>
      <c r="N385">
        <f t="shared" ca="1" si="356"/>
        <v>112.39038907142468</v>
      </c>
      <c r="O385">
        <f t="shared" ca="1" si="356"/>
        <v>114.19338938454602</v>
      </c>
      <c r="P385">
        <f t="shared" ca="1" si="356"/>
        <v>109.30090692616496</v>
      </c>
      <c r="Q385">
        <f t="shared" ca="1" si="304"/>
        <v>119.57216820496335</v>
      </c>
      <c r="R385">
        <f t="shared" ca="1" si="305"/>
        <v>0</v>
      </c>
      <c r="S385">
        <f t="shared" ca="1" si="306"/>
        <v>0</v>
      </c>
    </row>
    <row r="386" spans="5:19" x14ac:dyDescent="0.75">
      <c r="E386">
        <v>381</v>
      </c>
      <c r="F386">
        <f t="shared" si="302"/>
        <v>100</v>
      </c>
      <c r="G386">
        <f t="shared" ca="1" si="303"/>
        <v>96.338114541848668</v>
      </c>
      <c r="H386">
        <f t="shared" ca="1" si="303"/>
        <v>100.7562335865431</v>
      </c>
      <c r="I386">
        <f t="shared" ca="1" si="303"/>
        <v>98.622445668349769</v>
      </c>
      <c r="J386">
        <f t="shared" ref="J386:P386" ca="1" si="357">I386*EXP(($C$6-0.5*$C$7^2)*$C$12+$C$7*SQRT($C$12)*NORMINV(RAND(),0,1))</f>
        <v>97.486038888693116</v>
      </c>
      <c r="K386">
        <f t="shared" ca="1" si="357"/>
        <v>104.96771087896443</v>
      </c>
      <c r="L386">
        <f t="shared" ca="1" si="357"/>
        <v>94.398496811432906</v>
      </c>
      <c r="M386">
        <f t="shared" ca="1" si="357"/>
        <v>94.235740654949325</v>
      </c>
      <c r="N386">
        <f t="shared" ca="1" si="357"/>
        <v>88.262644450403968</v>
      </c>
      <c r="O386">
        <f t="shared" ca="1" si="357"/>
        <v>88.25721042861305</v>
      </c>
      <c r="P386">
        <f t="shared" ca="1" si="357"/>
        <v>92.385177863792435</v>
      </c>
      <c r="Q386">
        <f t="shared" ca="1" si="304"/>
        <v>104.96771087896443</v>
      </c>
      <c r="R386">
        <f t="shared" ca="1" si="305"/>
        <v>0</v>
      </c>
      <c r="S386">
        <f t="shared" ca="1" si="306"/>
        <v>0</v>
      </c>
    </row>
    <row r="387" spans="5:19" x14ac:dyDescent="0.75">
      <c r="E387">
        <v>382</v>
      </c>
      <c r="F387">
        <f t="shared" si="302"/>
        <v>100</v>
      </c>
      <c r="G387">
        <f t="shared" ca="1" si="303"/>
        <v>99.328025761089634</v>
      </c>
      <c r="H387">
        <f t="shared" ca="1" si="303"/>
        <v>101.14910546278877</v>
      </c>
      <c r="I387">
        <f t="shared" ca="1" si="303"/>
        <v>101.849314484882</v>
      </c>
      <c r="J387">
        <f t="shared" ref="J387:P387" ca="1" si="358">I387*EXP(($C$6-0.5*$C$7^2)*$C$12+$C$7*SQRT($C$12)*NORMINV(RAND(),0,1))</f>
        <v>103.42972996247178</v>
      </c>
      <c r="K387">
        <f t="shared" ca="1" si="358"/>
        <v>111.28839285509058</v>
      </c>
      <c r="L387">
        <f t="shared" ca="1" si="358"/>
        <v>117.25928876398194</v>
      </c>
      <c r="M387">
        <f t="shared" ca="1" si="358"/>
        <v>105.28147374240496</v>
      </c>
      <c r="N387">
        <f t="shared" ca="1" si="358"/>
        <v>107.39692776469225</v>
      </c>
      <c r="O387">
        <f t="shared" ca="1" si="358"/>
        <v>113.97882751585541</v>
      </c>
      <c r="P387">
        <f t="shared" ca="1" si="358"/>
        <v>108.0696411647062</v>
      </c>
      <c r="Q387">
        <f t="shared" ca="1" si="304"/>
        <v>117.25928876398194</v>
      </c>
      <c r="R387">
        <f t="shared" ca="1" si="305"/>
        <v>0</v>
      </c>
      <c r="S387">
        <f t="shared" ca="1" si="306"/>
        <v>0</v>
      </c>
    </row>
    <row r="388" spans="5:19" x14ac:dyDescent="0.75">
      <c r="E388">
        <v>383</v>
      </c>
      <c r="F388">
        <f t="shared" si="302"/>
        <v>100</v>
      </c>
      <c r="G388">
        <f t="shared" ca="1" si="303"/>
        <v>107.76725142806629</v>
      </c>
      <c r="H388">
        <f t="shared" ca="1" si="303"/>
        <v>111.46321836394094</v>
      </c>
      <c r="I388">
        <f t="shared" ca="1" si="303"/>
        <v>115.4639588354805</v>
      </c>
      <c r="J388">
        <f t="shared" ref="J388:P388" ca="1" si="359">I388*EXP(($C$6-0.5*$C$7^2)*$C$12+$C$7*SQRT($C$12)*NORMINV(RAND(),0,1))</f>
        <v>114.56477902309609</v>
      </c>
      <c r="K388">
        <f t="shared" ca="1" si="359"/>
        <v>117.72510877174932</v>
      </c>
      <c r="L388">
        <f t="shared" ca="1" si="359"/>
        <v>110.91582785045868</v>
      </c>
      <c r="M388">
        <f t="shared" ca="1" si="359"/>
        <v>111.64942841902261</v>
      </c>
      <c r="N388">
        <f t="shared" ca="1" si="359"/>
        <v>109.56021063647611</v>
      </c>
      <c r="O388">
        <f t="shared" ca="1" si="359"/>
        <v>109.88877406172439</v>
      </c>
      <c r="P388">
        <f t="shared" ca="1" si="359"/>
        <v>102.97205607030962</v>
      </c>
      <c r="Q388">
        <f t="shared" ca="1" si="304"/>
        <v>117.72510877174932</v>
      </c>
      <c r="R388">
        <f t="shared" ca="1" si="305"/>
        <v>0</v>
      </c>
      <c r="S388">
        <f t="shared" ca="1" si="306"/>
        <v>0</v>
      </c>
    </row>
    <row r="389" spans="5:19" x14ac:dyDescent="0.75">
      <c r="E389">
        <v>384</v>
      </c>
      <c r="F389">
        <f t="shared" si="302"/>
        <v>100</v>
      </c>
      <c r="G389">
        <f t="shared" ca="1" si="303"/>
        <v>97.124369884166924</v>
      </c>
      <c r="H389">
        <f t="shared" ca="1" si="303"/>
        <v>99.29264285465085</v>
      </c>
      <c r="I389">
        <f t="shared" ca="1" si="303"/>
        <v>93.888308442149452</v>
      </c>
      <c r="J389">
        <f t="shared" ref="J389:P389" ca="1" si="360">I389*EXP(($C$6-0.5*$C$7^2)*$C$12+$C$7*SQRT($C$12)*NORMINV(RAND(),0,1))</f>
        <v>90.419983406002558</v>
      </c>
      <c r="K389">
        <f t="shared" ca="1" si="360"/>
        <v>93.127572946782649</v>
      </c>
      <c r="L389">
        <f t="shared" ca="1" si="360"/>
        <v>88.756138122322511</v>
      </c>
      <c r="M389">
        <f t="shared" ca="1" si="360"/>
        <v>89.028911767272774</v>
      </c>
      <c r="N389">
        <f t="shared" ca="1" si="360"/>
        <v>81.678647564411975</v>
      </c>
      <c r="O389">
        <f t="shared" ca="1" si="360"/>
        <v>85.490460833653856</v>
      </c>
      <c r="P389">
        <f t="shared" ca="1" si="360"/>
        <v>84.609609236752974</v>
      </c>
      <c r="Q389">
        <f t="shared" ca="1" si="304"/>
        <v>99.29264285465085</v>
      </c>
      <c r="R389">
        <f t="shared" ca="1" si="305"/>
        <v>0</v>
      </c>
      <c r="S389">
        <f t="shared" ca="1" si="306"/>
        <v>0</v>
      </c>
    </row>
    <row r="390" spans="5:19" x14ac:dyDescent="0.75">
      <c r="E390">
        <v>385</v>
      </c>
      <c r="F390">
        <f t="shared" si="302"/>
        <v>100</v>
      </c>
      <c r="G390">
        <f t="shared" ca="1" si="303"/>
        <v>104.96161965381776</v>
      </c>
      <c r="H390">
        <f t="shared" ca="1" si="303"/>
        <v>104.40246248692819</v>
      </c>
      <c r="I390">
        <f t="shared" ca="1" si="303"/>
        <v>106.32143092470724</v>
      </c>
      <c r="J390">
        <f t="shared" ref="J390:P390" ca="1" si="361">I390*EXP(($C$6-0.5*$C$7^2)*$C$12+$C$7*SQRT($C$12)*NORMINV(RAND(),0,1))</f>
        <v>112.61357445700543</v>
      </c>
      <c r="K390">
        <f t="shared" ca="1" si="361"/>
        <v>108.68812722153484</v>
      </c>
      <c r="L390">
        <f t="shared" ca="1" si="361"/>
        <v>120.75419946390699</v>
      </c>
      <c r="M390">
        <f t="shared" ca="1" si="361"/>
        <v>121.06150237628835</v>
      </c>
      <c r="N390">
        <f t="shared" ca="1" si="361"/>
        <v>127.35582122242869</v>
      </c>
      <c r="O390">
        <f t="shared" ca="1" si="361"/>
        <v>138.35119771821132</v>
      </c>
      <c r="P390">
        <f t="shared" ca="1" si="361"/>
        <v>143.10461017840203</v>
      </c>
      <c r="Q390">
        <f t="shared" ca="1" si="304"/>
        <v>143.10461017840203</v>
      </c>
      <c r="R390">
        <f t="shared" ca="1" si="305"/>
        <v>0</v>
      </c>
      <c r="S390">
        <f t="shared" ca="1" si="306"/>
        <v>0</v>
      </c>
    </row>
    <row r="391" spans="5:19" x14ac:dyDescent="0.75">
      <c r="E391">
        <v>386</v>
      </c>
      <c r="F391">
        <f t="shared" ref="F391:F454" si="362">$C$5</f>
        <v>100</v>
      </c>
      <c r="G391">
        <f t="shared" ref="G391:P454" ca="1" si="363">F391*EXP(($C$6-0.5*$C$7^2)*$C$12+$C$7*SQRT($C$12)*NORMINV(RAND(),0,1))</f>
        <v>91.318911304624223</v>
      </c>
      <c r="H391">
        <f t="shared" ca="1" si="363"/>
        <v>91.957300830132226</v>
      </c>
      <c r="I391">
        <f t="shared" ca="1" si="363"/>
        <v>86.104486722443383</v>
      </c>
      <c r="J391">
        <f t="shared" ca="1" si="363"/>
        <v>85.189178141152368</v>
      </c>
      <c r="K391">
        <f t="shared" ca="1" si="363"/>
        <v>90.35852473772492</v>
      </c>
      <c r="L391">
        <f t="shared" ca="1" si="363"/>
        <v>93.560615653498431</v>
      </c>
      <c r="M391">
        <f t="shared" ca="1" si="363"/>
        <v>94.525698042045391</v>
      </c>
      <c r="N391">
        <f t="shared" ca="1" si="363"/>
        <v>92.274963284080741</v>
      </c>
      <c r="O391">
        <f t="shared" ca="1" si="363"/>
        <v>89.613807989070267</v>
      </c>
      <c r="P391">
        <f t="shared" ca="1" si="363"/>
        <v>91.158602622026194</v>
      </c>
      <c r="Q391">
        <f t="shared" ref="Q391:Q454" ca="1" si="364">MAX(G391:P391)</f>
        <v>94.525698042045391</v>
      </c>
      <c r="R391">
        <f t="shared" ref="R391:R454" ca="1" si="365">IF(Q391&gt;=$C$13,0, MAX(P391-$C$9,0))</f>
        <v>0</v>
      </c>
      <c r="S391">
        <f t="shared" ref="S391:S454" ca="1" si="366">EXP(-$C$6*$C$8)*R391</f>
        <v>0</v>
      </c>
    </row>
    <row r="392" spans="5:19" x14ac:dyDescent="0.75">
      <c r="E392">
        <v>387</v>
      </c>
      <c r="F392">
        <f t="shared" si="362"/>
        <v>100</v>
      </c>
      <c r="G392">
        <f t="shared" ca="1" si="363"/>
        <v>98.965301309869645</v>
      </c>
      <c r="H392">
        <f t="shared" ca="1" si="363"/>
        <v>98.183804655613713</v>
      </c>
      <c r="I392">
        <f t="shared" ca="1" si="363"/>
        <v>92.732553250588893</v>
      </c>
      <c r="J392">
        <f t="shared" ca="1" si="363"/>
        <v>98.322819445381768</v>
      </c>
      <c r="K392">
        <f t="shared" ca="1" si="363"/>
        <v>99.718765340930716</v>
      </c>
      <c r="L392">
        <f t="shared" ca="1" si="363"/>
        <v>98.72252830857181</v>
      </c>
      <c r="M392">
        <f t="shared" ca="1" si="363"/>
        <v>97.015408363112101</v>
      </c>
      <c r="N392">
        <f t="shared" ca="1" si="363"/>
        <v>97.998461670070427</v>
      </c>
      <c r="O392">
        <f t="shared" ca="1" si="363"/>
        <v>90.48659425434721</v>
      </c>
      <c r="P392">
        <f t="shared" ca="1" si="363"/>
        <v>87.736097802024432</v>
      </c>
      <c r="Q392">
        <f t="shared" ca="1" si="364"/>
        <v>99.718765340930716</v>
      </c>
      <c r="R392">
        <f t="shared" ca="1" si="365"/>
        <v>0</v>
      </c>
      <c r="S392">
        <f t="shared" ca="1" si="366"/>
        <v>0</v>
      </c>
    </row>
    <row r="393" spans="5:19" x14ac:dyDescent="0.75">
      <c r="E393">
        <v>388</v>
      </c>
      <c r="F393">
        <f t="shared" si="362"/>
        <v>100</v>
      </c>
      <c r="G393">
        <f t="shared" ca="1" si="363"/>
        <v>107.02411661824587</v>
      </c>
      <c r="H393">
        <f t="shared" ca="1" si="363"/>
        <v>106.77246565889394</v>
      </c>
      <c r="I393">
        <f t="shared" ca="1" si="363"/>
        <v>100.61673918648711</v>
      </c>
      <c r="J393">
        <f t="shared" ca="1" si="363"/>
        <v>102.83073364024432</v>
      </c>
      <c r="K393">
        <f t="shared" ca="1" si="363"/>
        <v>107.99419645820146</v>
      </c>
      <c r="L393">
        <f t="shared" ca="1" si="363"/>
        <v>104.3267623596135</v>
      </c>
      <c r="M393">
        <f t="shared" ca="1" si="363"/>
        <v>104.16832489845122</v>
      </c>
      <c r="N393">
        <f t="shared" ca="1" si="363"/>
        <v>106.76872310986936</v>
      </c>
      <c r="O393">
        <f t="shared" ca="1" si="363"/>
        <v>104.79790920239753</v>
      </c>
      <c r="P393">
        <f t="shared" ca="1" si="363"/>
        <v>111.89238805144224</v>
      </c>
      <c r="Q393">
        <f t="shared" ca="1" si="364"/>
        <v>111.89238805144224</v>
      </c>
      <c r="R393">
        <f t="shared" ca="1" si="365"/>
        <v>0</v>
      </c>
      <c r="S393">
        <f t="shared" ca="1" si="366"/>
        <v>0</v>
      </c>
    </row>
    <row r="394" spans="5:19" x14ac:dyDescent="0.75">
      <c r="E394">
        <v>389</v>
      </c>
      <c r="F394">
        <f t="shared" si="362"/>
        <v>100</v>
      </c>
      <c r="G394">
        <f t="shared" ca="1" si="363"/>
        <v>96.469016882127562</v>
      </c>
      <c r="H394">
        <f t="shared" ca="1" si="363"/>
        <v>91.895508789259438</v>
      </c>
      <c r="I394">
        <f t="shared" ca="1" si="363"/>
        <v>88.32426078524135</v>
      </c>
      <c r="J394">
        <f t="shared" ca="1" si="363"/>
        <v>81.901193299288181</v>
      </c>
      <c r="K394">
        <f t="shared" ca="1" si="363"/>
        <v>80.357536338545572</v>
      </c>
      <c r="L394">
        <f t="shared" ca="1" si="363"/>
        <v>77.548932983144581</v>
      </c>
      <c r="M394">
        <f t="shared" ca="1" si="363"/>
        <v>73.992706578362373</v>
      </c>
      <c r="N394">
        <f t="shared" ca="1" si="363"/>
        <v>77.941312844827152</v>
      </c>
      <c r="O394">
        <f t="shared" ca="1" si="363"/>
        <v>82.433797277116952</v>
      </c>
      <c r="P394">
        <f t="shared" ca="1" si="363"/>
        <v>80.318336854107756</v>
      </c>
      <c r="Q394">
        <f t="shared" ca="1" si="364"/>
        <v>96.469016882127562</v>
      </c>
      <c r="R394">
        <f t="shared" ca="1" si="365"/>
        <v>0</v>
      </c>
      <c r="S394">
        <f t="shared" ca="1" si="366"/>
        <v>0</v>
      </c>
    </row>
    <row r="395" spans="5:19" x14ac:dyDescent="0.75">
      <c r="E395">
        <v>390</v>
      </c>
      <c r="F395">
        <f t="shared" si="362"/>
        <v>100</v>
      </c>
      <c r="G395">
        <f t="shared" ca="1" si="363"/>
        <v>99.732073635406522</v>
      </c>
      <c r="H395">
        <f t="shared" ca="1" si="363"/>
        <v>102.40028410570062</v>
      </c>
      <c r="I395">
        <f t="shared" ca="1" si="363"/>
        <v>96.798219628596854</v>
      </c>
      <c r="J395">
        <f t="shared" ca="1" si="363"/>
        <v>106.04010008996086</v>
      </c>
      <c r="K395">
        <f t="shared" ca="1" si="363"/>
        <v>106.38718201331599</v>
      </c>
      <c r="L395">
        <f t="shared" ca="1" si="363"/>
        <v>111.36876732725788</v>
      </c>
      <c r="M395">
        <f t="shared" ca="1" si="363"/>
        <v>116.67404753124472</v>
      </c>
      <c r="N395">
        <f t="shared" ca="1" si="363"/>
        <v>116.49152625940839</v>
      </c>
      <c r="O395">
        <f t="shared" ca="1" si="363"/>
        <v>119.8774418338552</v>
      </c>
      <c r="P395">
        <f t="shared" ca="1" si="363"/>
        <v>122.23985481274349</v>
      </c>
      <c r="Q395">
        <f t="shared" ca="1" si="364"/>
        <v>122.23985481274349</v>
      </c>
      <c r="R395">
        <f t="shared" ca="1" si="365"/>
        <v>0</v>
      </c>
      <c r="S395">
        <f t="shared" ca="1" si="366"/>
        <v>0</v>
      </c>
    </row>
    <row r="396" spans="5:19" x14ac:dyDescent="0.75">
      <c r="E396">
        <v>391</v>
      </c>
      <c r="F396">
        <f t="shared" si="362"/>
        <v>100</v>
      </c>
      <c r="G396">
        <f t="shared" ca="1" si="363"/>
        <v>98.317101029801876</v>
      </c>
      <c r="H396">
        <f t="shared" ca="1" si="363"/>
        <v>95.321378137496765</v>
      </c>
      <c r="I396">
        <f t="shared" ca="1" si="363"/>
        <v>101.02753744963296</v>
      </c>
      <c r="J396">
        <f t="shared" ca="1" si="363"/>
        <v>111.12275703643846</v>
      </c>
      <c r="K396">
        <f t="shared" ca="1" si="363"/>
        <v>117.37159278487326</v>
      </c>
      <c r="L396">
        <f t="shared" ca="1" si="363"/>
        <v>123.95749642708834</v>
      </c>
      <c r="M396">
        <f t="shared" ca="1" si="363"/>
        <v>129.2234669376322</v>
      </c>
      <c r="N396">
        <f t="shared" ca="1" si="363"/>
        <v>134.77421366104545</v>
      </c>
      <c r="O396">
        <f t="shared" ca="1" si="363"/>
        <v>135.97172037746839</v>
      </c>
      <c r="P396">
        <f t="shared" ca="1" si="363"/>
        <v>132.20507225313608</v>
      </c>
      <c r="Q396">
        <f t="shared" ca="1" si="364"/>
        <v>135.97172037746839</v>
      </c>
      <c r="R396">
        <f t="shared" ca="1" si="365"/>
        <v>0</v>
      </c>
      <c r="S396">
        <f t="shared" ca="1" si="366"/>
        <v>0</v>
      </c>
    </row>
    <row r="397" spans="5:19" x14ac:dyDescent="0.75">
      <c r="E397">
        <v>392</v>
      </c>
      <c r="F397">
        <f t="shared" si="362"/>
        <v>100</v>
      </c>
      <c r="G397">
        <f t="shared" ca="1" si="363"/>
        <v>107.0049411613188</v>
      </c>
      <c r="H397">
        <f t="shared" ca="1" si="363"/>
        <v>113.31880822666383</v>
      </c>
      <c r="I397">
        <f t="shared" ca="1" si="363"/>
        <v>113.24074442031682</v>
      </c>
      <c r="J397">
        <f t="shared" ca="1" si="363"/>
        <v>111.3385488042604</v>
      </c>
      <c r="K397">
        <f t="shared" ca="1" si="363"/>
        <v>99.261609443960722</v>
      </c>
      <c r="L397">
        <f t="shared" ca="1" si="363"/>
        <v>103.58773639310009</v>
      </c>
      <c r="M397">
        <f t="shared" ca="1" si="363"/>
        <v>104.63166882211665</v>
      </c>
      <c r="N397">
        <f t="shared" ca="1" si="363"/>
        <v>104.79318540618114</v>
      </c>
      <c r="O397">
        <f t="shared" ca="1" si="363"/>
        <v>100.21334274670178</v>
      </c>
      <c r="P397">
        <f t="shared" ca="1" si="363"/>
        <v>100.28938099259688</v>
      </c>
      <c r="Q397">
        <f t="shared" ca="1" si="364"/>
        <v>113.31880822666383</v>
      </c>
      <c r="R397">
        <f t="shared" ca="1" si="365"/>
        <v>0</v>
      </c>
      <c r="S397">
        <f t="shared" ca="1" si="366"/>
        <v>0</v>
      </c>
    </row>
    <row r="398" spans="5:19" x14ac:dyDescent="0.75">
      <c r="E398">
        <v>393</v>
      </c>
      <c r="F398">
        <f t="shared" si="362"/>
        <v>100</v>
      </c>
      <c r="G398">
        <f t="shared" ca="1" si="363"/>
        <v>95.82280351051142</v>
      </c>
      <c r="H398">
        <f t="shared" ca="1" si="363"/>
        <v>94.007823447588905</v>
      </c>
      <c r="I398">
        <f t="shared" ca="1" si="363"/>
        <v>91.324323330432932</v>
      </c>
      <c r="J398">
        <f t="shared" ca="1" si="363"/>
        <v>89.321975520929939</v>
      </c>
      <c r="K398">
        <f t="shared" ca="1" si="363"/>
        <v>89.611990155265062</v>
      </c>
      <c r="L398">
        <f t="shared" ca="1" si="363"/>
        <v>93.96048420093959</v>
      </c>
      <c r="M398">
        <f t="shared" ca="1" si="363"/>
        <v>94.312024313996019</v>
      </c>
      <c r="N398">
        <f t="shared" ca="1" si="363"/>
        <v>95.605822083443229</v>
      </c>
      <c r="O398">
        <f t="shared" ca="1" si="363"/>
        <v>103.23113823137749</v>
      </c>
      <c r="P398">
        <f t="shared" ca="1" si="363"/>
        <v>100.17207269240647</v>
      </c>
      <c r="Q398">
        <f t="shared" ca="1" si="364"/>
        <v>103.23113823137749</v>
      </c>
      <c r="R398">
        <f t="shared" ca="1" si="365"/>
        <v>0</v>
      </c>
      <c r="S398">
        <f t="shared" ca="1" si="366"/>
        <v>0</v>
      </c>
    </row>
    <row r="399" spans="5:19" x14ac:dyDescent="0.75">
      <c r="E399">
        <v>394</v>
      </c>
      <c r="F399">
        <f t="shared" si="362"/>
        <v>100</v>
      </c>
      <c r="G399">
        <f t="shared" ca="1" si="363"/>
        <v>106.18580625650993</v>
      </c>
      <c r="H399">
        <f t="shared" ca="1" si="363"/>
        <v>109.34609334186707</v>
      </c>
      <c r="I399">
        <f t="shared" ca="1" si="363"/>
        <v>113.36337438232236</v>
      </c>
      <c r="J399">
        <f t="shared" ca="1" si="363"/>
        <v>109.56145939476437</v>
      </c>
      <c r="K399">
        <f t="shared" ca="1" si="363"/>
        <v>105.78779977859448</v>
      </c>
      <c r="L399">
        <f t="shared" ca="1" si="363"/>
        <v>100.95222045445342</v>
      </c>
      <c r="M399">
        <f t="shared" ca="1" si="363"/>
        <v>95.780645760074549</v>
      </c>
      <c r="N399">
        <f t="shared" ca="1" si="363"/>
        <v>100.63709089377883</v>
      </c>
      <c r="O399">
        <f t="shared" ca="1" si="363"/>
        <v>95.653173594977531</v>
      </c>
      <c r="P399">
        <f t="shared" ca="1" si="363"/>
        <v>99.605634568677559</v>
      </c>
      <c r="Q399">
        <f t="shared" ca="1" si="364"/>
        <v>113.36337438232236</v>
      </c>
      <c r="R399">
        <f t="shared" ca="1" si="365"/>
        <v>0</v>
      </c>
      <c r="S399">
        <f t="shared" ca="1" si="366"/>
        <v>0</v>
      </c>
    </row>
    <row r="400" spans="5:19" x14ac:dyDescent="0.75">
      <c r="E400">
        <v>395</v>
      </c>
      <c r="F400">
        <f t="shared" si="362"/>
        <v>100</v>
      </c>
      <c r="G400">
        <f t="shared" ca="1" si="363"/>
        <v>96.710588363547615</v>
      </c>
      <c r="H400">
        <f t="shared" ca="1" si="363"/>
        <v>95.857037645624089</v>
      </c>
      <c r="I400">
        <f t="shared" ca="1" si="363"/>
        <v>98.223318463607484</v>
      </c>
      <c r="J400">
        <f t="shared" ref="J400:P400" ca="1" si="367">I400*EXP(($C$6-0.5*$C$7^2)*$C$12+$C$7*SQRT($C$12)*NORMINV(RAND(),0,1))</f>
        <v>96.971053492062993</v>
      </c>
      <c r="K400">
        <f t="shared" ca="1" si="367"/>
        <v>97.925881143798236</v>
      </c>
      <c r="L400">
        <f t="shared" ca="1" si="367"/>
        <v>103.39549542131915</v>
      </c>
      <c r="M400">
        <f t="shared" ca="1" si="367"/>
        <v>105.4255411356459</v>
      </c>
      <c r="N400">
        <f t="shared" ca="1" si="367"/>
        <v>101.66774699451122</v>
      </c>
      <c r="O400">
        <f t="shared" ca="1" si="367"/>
        <v>101.28132425718516</v>
      </c>
      <c r="P400">
        <f t="shared" ca="1" si="367"/>
        <v>104.2342087546584</v>
      </c>
      <c r="Q400">
        <f t="shared" ca="1" si="364"/>
        <v>105.4255411356459</v>
      </c>
      <c r="R400">
        <f t="shared" ca="1" si="365"/>
        <v>2.2342087546583969</v>
      </c>
      <c r="S400">
        <f t="shared" ca="1" si="366"/>
        <v>2.1790459439588115</v>
      </c>
    </row>
    <row r="401" spans="5:19" x14ac:dyDescent="0.75">
      <c r="E401">
        <v>396</v>
      </c>
      <c r="F401">
        <f t="shared" si="362"/>
        <v>100</v>
      </c>
      <c r="G401">
        <f t="shared" ca="1" si="363"/>
        <v>107.9698122065968</v>
      </c>
      <c r="H401">
        <f t="shared" ca="1" si="363"/>
        <v>104.40750359106882</v>
      </c>
      <c r="I401">
        <f t="shared" ca="1" si="363"/>
        <v>97.811281517006989</v>
      </c>
      <c r="J401">
        <f t="shared" ref="J401:P401" ca="1" si="368">I401*EXP(($C$6-0.5*$C$7^2)*$C$12+$C$7*SQRT($C$12)*NORMINV(RAND(),0,1))</f>
        <v>94.351671342026748</v>
      </c>
      <c r="K401">
        <f t="shared" ca="1" si="368"/>
        <v>88.963636270033106</v>
      </c>
      <c r="L401">
        <f t="shared" ca="1" si="368"/>
        <v>85.63564989536205</v>
      </c>
      <c r="M401">
        <f t="shared" ca="1" si="368"/>
        <v>86.118765106207803</v>
      </c>
      <c r="N401">
        <f t="shared" ca="1" si="368"/>
        <v>89.2448798989831</v>
      </c>
      <c r="O401">
        <f t="shared" ca="1" si="368"/>
        <v>90.517050696172817</v>
      </c>
      <c r="P401">
        <f t="shared" ca="1" si="368"/>
        <v>86.823838030495281</v>
      </c>
      <c r="Q401">
        <f t="shared" ca="1" si="364"/>
        <v>107.9698122065968</v>
      </c>
      <c r="R401">
        <f t="shared" ca="1" si="365"/>
        <v>0</v>
      </c>
      <c r="S401">
        <f t="shared" ca="1" si="366"/>
        <v>0</v>
      </c>
    </row>
    <row r="402" spans="5:19" x14ac:dyDescent="0.75">
      <c r="E402">
        <v>397</v>
      </c>
      <c r="F402">
        <f t="shared" si="362"/>
        <v>100</v>
      </c>
      <c r="G402">
        <f t="shared" ca="1" si="363"/>
        <v>99.301217211070977</v>
      </c>
      <c r="H402">
        <f t="shared" ca="1" si="363"/>
        <v>94.964702196091537</v>
      </c>
      <c r="I402">
        <f t="shared" ca="1" si="363"/>
        <v>99.632909532352343</v>
      </c>
      <c r="J402">
        <f t="shared" ref="J402:P402" ca="1" si="369">I402*EXP(($C$6-0.5*$C$7^2)*$C$12+$C$7*SQRT($C$12)*NORMINV(RAND(),0,1))</f>
        <v>99.489203464532508</v>
      </c>
      <c r="K402">
        <f t="shared" ca="1" si="369"/>
        <v>102.76670265474681</v>
      </c>
      <c r="L402">
        <f t="shared" ca="1" si="369"/>
        <v>100.73992036123305</v>
      </c>
      <c r="M402">
        <f t="shared" ca="1" si="369"/>
        <v>105.73438861953107</v>
      </c>
      <c r="N402">
        <f t="shared" ca="1" si="369"/>
        <v>108.99452370925512</v>
      </c>
      <c r="O402">
        <f t="shared" ca="1" si="369"/>
        <v>103.9729753462485</v>
      </c>
      <c r="P402">
        <f t="shared" ca="1" si="369"/>
        <v>104.2567629614947</v>
      </c>
      <c r="Q402">
        <f t="shared" ca="1" si="364"/>
        <v>108.99452370925512</v>
      </c>
      <c r="R402">
        <f t="shared" ca="1" si="365"/>
        <v>2.2567629614947009</v>
      </c>
      <c r="S402">
        <f t="shared" ca="1" si="366"/>
        <v>2.2010432854441961</v>
      </c>
    </row>
    <row r="403" spans="5:19" x14ac:dyDescent="0.75">
      <c r="E403">
        <v>398</v>
      </c>
      <c r="F403">
        <f t="shared" si="362"/>
        <v>100</v>
      </c>
      <c r="G403">
        <f t="shared" ca="1" si="363"/>
        <v>107.30244068315866</v>
      </c>
      <c r="H403">
        <f t="shared" ca="1" si="363"/>
        <v>108.93871062201627</v>
      </c>
      <c r="I403">
        <f t="shared" ca="1" si="363"/>
        <v>108.00577449193592</v>
      </c>
      <c r="J403">
        <f t="shared" ref="J403:P403" ca="1" si="370">I403*EXP(($C$6-0.5*$C$7^2)*$C$12+$C$7*SQRT($C$12)*NORMINV(RAND(),0,1))</f>
        <v>117.91369278328227</v>
      </c>
      <c r="K403">
        <f t="shared" ca="1" si="370"/>
        <v>114.55600724660995</v>
      </c>
      <c r="L403">
        <f t="shared" ca="1" si="370"/>
        <v>111.87552052520427</v>
      </c>
      <c r="M403">
        <f t="shared" ca="1" si="370"/>
        <v>121.65753332448099</v>
      </c>
      <c r="N403">
        <f t="shared" ca="1" si="370"/>
        <v>121.37262393435491</v>
      </c>
      <c r="O403">
        <f t="shared" ca="1" si="370"/>
        <v>115.41571036254049</v>
      </c>
      <c r="P403">
        <f t="shared" ca="1" si="370"/>
        <v>122.20382389688019</v>
      </c>
      <c r="Q403">
        <f t="shared" ca="1" si="364"/>
        <v>122.20382389688019</v>
      </c>
      <c r="R403">
        <f t="shared" ca="1" si="365"/>
        <v>0</v>
      </c>
      <c r="S403">
        <f t="shared" ca="1" si="366"/>
        <v>0</v>
      </c>
    </row>
    <row r="404" spans="5:19" x14ac:dyDescent="0.75">
      <c r="E404">
        <v>399</v>
      </c>
      <c r="F404">
        <f t="shared" si="362"/>
        <v>100</v>
      </c>
      <c r="G404">
        <f t="shared" ca="1" si="363"/>
        <v>98.339636625750316</v>
      </c>
      <c r="H404">
        <f t="shared" ca="1" si="363"/>
        <v>102.21247361578335</v>
      </c>
      <c r="I404">
        <f t="shared" ca="1" si="363"/>
        <v>105.46958786400681</v>
      </c>
      <c r="J404">
        <f t="shared" ref="J404:P404" ca="1" si="371">I404*EXP(($C$6-0.5*$C$7^2)*$C$12+$C$7*SQRT($C$12)*NORMINV(RAND(),0,1))</f>
        <v>108.02978974031744</v>
      </c>
      <c r="K404">
        <f t="shared" ca="1" si="371"/>
        <v>108.25610604798264</v>
      </c>
      <c r="L404">
        <f t="shared" ca="1" si="371"/>
        <v>114.21176602950841</v>
      </c>
      <c r="M404">
        <f t="shared" ca="1" si="371"/>
        <v>115.11556800675228</v>
      </c>
      <c r="N404">
        <f t="shared" ca="1" si="371"/>
        <v>119.32457890747465</v>
      </c>
      <c r="O404">
        <f t="shared" ca="1" si="371"/>
        <v>122.27267418051969</v>
      </c>
      <c r="P404">
        <f t="shared" ca="1" si="371"/>
        <v>123.70983261726259</v>
      </c>
      <c r="Q404">
        <f t="shared" ca="1" si="364"/>
        <v>123.70983261726259</v>
      </c>
      <c r="R404">
        <f t="shared" ca="1" si="365"/>
        <v>0</v>
      </c>
      <c r="S404">
        <f t="shared" ca="1" si="366"/>
        <v>0</v>
      </c>
    </row>
    <row r="405" spans="5:19" x14ac:dyDescent="0.75">
      <c r="E405">
        <v>400</v>
      </c>
      <c r="F405">
        <f t="shared" si="362"/>
        <v>100</v>
      </c>
      <c r="G405">
        <f t="shared" ca="1" si="363"/>
        <v>94.292520876155635</v>
      </c>
      <c r="H405">
        <f t="shared" ca="1" si="363"/>
        <v>98.285687791662795</v>
      </c>
      <c r="I405">
        <f t="shared" ca="1" si="363"/>
        <v>98.094129832709015</v>
      </c>
      <c r="J405">
        <f t="shared" ref="J405:P405" ca="1" si="372">I405*EXP(($C$6-0.5*$C$7^2)*$C$12+$C$7*SQRT($C$12)*NORMINV(RAND(),0,1))</f>
        <v>107.24364131528564</v>
      </c>
      <c r="K405">
        <f t="shared" ca="1" si="372"/>
        <v>105.15849068765166</v>
      </c>
      <c r="L405">
        <f t="shared" ca="1" si="372"/>
        <v>112.52321235127415</v>
      </c>
      <c r="M405">
        <f t="shared" ca="1" si="372"/>
        <v>115.18075942512498</v>
      </c>
      <c r="N405">
        <f t="shared" ca="1" si="372"/>
        <v>118.33266867967207</v>
      </c>
      <c r="O405">
        <f t="shared" ca="1" si="372"/>
        <v>128.67170177610319</v>
      </c>
      <c r="P405">
        <f t="shared" ca="1" si="372"/>
        <v>132.43254532901591</v>
      </c>
      <c r="Q405">
        <f t="shared" ca="1" si="364"/>
        <v>132.43254532901591</v>
      </c>
      <c r="R405">
        <f t="shared" ca="1" si="365"/>
        <v>0</v>
      </c>
      <c r="S405">
        <f t="shared" ca="1" si="366"/>
        <v>0</v>
      </c>
    </row>
    <row r="406" spans="5:19" x14ac:dyDescent="0.75">
      <c r="E406">
        <v>401</v>
      </c>
      <c r="F406">
        <f t="shared" si="362"/>
        <v>100</v>
      </c>
      <c r="G406">
        <f t="shared" ca="1" si="363"/>
        <v>94.718467057720488</v>
      </c>
      <c r="H406">
        <f t="shared" ca="1" si="363"/>
        <v>95.045004663969692</v>
      </c>
      <c r="I406">
        <f t="shared" ca="1" si="363"/>
        <v>92.709866099231903</v>
      </c>
      <c r="J406">
        <f t="shared" ref="J406:P406" ca="1" si="373">I406*EXP(($C$6-0.5*$C$7^2)*$C$12+$C$7*SQRT($C$12)*NORMINV(RAND(),0,1))</f>
        <v>83.12430386507809</v>
      </c>
      <c r="K406">
        <f t="shared" ca="1" si="373"/>
        <v>84.245318027964075</v>
      </c>
      <c r="L406">
        <f t="shared" ca="1" si="373"/>
        <v>82.065377968821707</v>
      </c>
      <c r="M406">
        <f t="shared" ca="1" si="373"/>
        <v>85.083391679130187</v>
      </c>
      <c r="N406">
        <f t="shared" ca="1" si="373"/>
        <v>88.558664749040631</v>
      </c>
      <c r="O406">
        <f t="shared" ca="1" si="373"/>
        <v>87.320044274470604</v>
      </c>
      <c r="P406">
        <f t="shared" ca="1" si="373"/>
        <v>87.495826381782436</v>
      </c>
      <c r="Q406">
        <f t="shared" ca="1" si="364"/>
        <v>95.045004663969692</v>
      </c>
      <c r="R406">
        <f t="shared" ca="1" si="365"/>
        <v>0</v>
      </c>
      <c r="S406">
        <f t="shared" ca="1" si="366"/>
        <v>0</v>
      </c>
    </row>
    <row r="407" spans="5:19" x14ac:dyDescent="0.75">
      <c r="E407">
        <v>402</v>
      </c>
      <c r="F407">
        <f t="shared" si="362"/>
        <v>100</v>
      </c>
      <c r="G407">
        <f t="shared" ca="1" si="363"/>
        <v>98.985879610636857</v>
      </c>
      <c r="H407">
        <f t="shared" ca="1" si="363"/>
        <v>90.515241299814633</v>
      </c>
      <c r="I407">
        <f t="shared" ca="1" si="363"/>
        <v>90.416995953439752</v>
      </c>
      <c r="J407">
        <f t="shared" ref="J407:P407" ca="1" si="374">I407*EXP(($C$6-0.5*$C$7^2)*$C$12+$C$7*SQRT($C$12)*NORMINV(RAND(),0,1))</f>
        <v>86.419387518910952</v>
      </c>
      <c r="K407">
        <f t="shared" ca="1" si="374"/>
        <v>85.678713859433103</v>
      </c>
      <c r="L407">
        <f t="shared" ca="1" si="374"/>
        <v>84.967054759213283</v>
      </c>
      <c r="M407">
        <f t="shared" ca="1" si="374"/>
        <v>89.845111299911821</v>
      </c>
      <c r="N407">
        <f t="shared" ca="1" si="374"/>
        <v>95.637114346941914</v>
      </c>
      <c r="O407">
        <f t="shared" ca="1" si="374"/>
        <v>88.972998440626952</v>
      </c>
      <c r="P407">
        <f t="shared" ca="1" si="374"/>
        <v>91.143607166896956</v>
      </c>
      <c r="Q407">
        <f t="shared" ca="1" si="364"/>
        <v>98.985879610636857</v>
      </c>
      <c r="R407">
        <f t="shared" ca="1" si="365"/>
        <v>0</v>
      </c>
      <c r="S407">
        <f t="shared" ca="1" si="366"/>
        <v>0</v>
      </c>
    </row>
    <row r="408" spans="5:19" x14ac:dyDescent="0.75">
      <c r="E408">
        <v>403</v>
      </c>
      <c r="F408">
        <f t="shared" si="362"/>
        <v>100</v>
      </c>
      <c r="G408">
        <f t="shared" ca="1" si="363"/>
        <v>101.22780429717504</v>
      </c>
      <c r="H408">
        <f t="shared" ca="1" si="363"/>
        <v>98.049855111501458</v>
      </c>
      <c r="I408">
        <f t="shared" ca="1" si="363"/>
        <v>98.405669449718033</v>
      </c>
      <c r="J408">
        <f t="shared" ref="J408:P408" ca="1" si="375">I408*EXP(($C$6-0.5*$C$7^2)*$C$12+$C$7*SQRT($C$12)*NORMINV(RAND(),0,1))</f>
        <v>98.018323979958438</v>
      </c>
      <c r="K408">
        <f t="shared" ca="1" si="375"/>
        <v>102.45198756056102</v>
      </c>
      <c r="L408">
        <f t="shared" ca="1" si="375"/>
        <v>91.931989050952879</v>
      </c>
      <c r="M408">
        <f t="shared" ca="1" si="375"/>
        <v>89.50204338127584</v>
      </c>
      <c r="N408">
        <f t="shared" ca="1" si="375"/>
        <v>90.562128951939812</v>
      </c>
      <c r="O408">
        <f t="shared" ca="1" si="375"/>
        <v>93.494241905929627</v>
      </c>
      <c r="P408">
        <f t="shared" ca="1" si="375"/>
        <v>93.869594578133501</v>
      </c>
      <c r="Q408">
        <f t="shared" ca="1" si="364"/>
        <v>102.45198756056102</v>
      </c>
      <c r="R408">
        <f t="shared" ca="1" si="365"/>
        <v>0</v>
      </c>
      <c r="S408">
        <f t="shared" ca="1" si="366"/>
        <v>0</v>
      </c>
    </row>
    <row r="409" spans="5:19" x14ac:dyDescent="0.75">
      <c r="E409">
        <v>404</v>
      </c>
      <c r="F409">
        <f t="shared" si="362"/>
        <v>100</v>
      </c>
      <c r="G409">
        <f t="shared" ca="1" si="363"/>
        <v>99.567226895235223</v>
      </c>
      <c r="H409">
        <f t="shared" ca="1" si="363"/>
        <v>100.222150861553</v>
      </c>
      <c r="I409">
        <f t="shared" ca="1" si="363"/>
        <v>98.30175093907188</v>
      </c>
      <c r="J409">
        <f t="shared" ref="J409:P409" ca="1" si="376">I409*EXP(($C$6-0.5*$C$7^2)*$C$12+$C$7*SQRT($C$12)*NORMINV(RAND(),0,1))</f>
        <v>94.228365265148071</v>
      </c>
      <c r="K409">
        <f t="shared" ca="1" si="376"/>
        <v>92.300711413149301</v>
      </c>
      <c r="L409">
        <f t="shared" ca="1" si="376"/>
        <v>90.556368563327496</v>
      </c>
      <c r="M409">
        <f t="shared" ca="1" si="376"/>
        <v>94.734631270359046</v>
      </c>
      <c r="N409">
        <f t="shared" ca="1" si="376"/>
        <v>97.519122578115102</v>
      </c>
      <c r="O409">
        <f t="shared" ca="1" si="376"/>
        <v>98.198188875793761</v>
      </c>
      <c r="P409">
        <f t="shared" ca="1" si="376"/>
        <v>102.83981791315701</v>
      </c>
      <c r="Q409">
        <f t="shared" ca="1" si="364"/>
        <v>102.83981791315701</v>
      </c>
      <c r="R409">
        <f t="shared" ca="1" si="365"/>
        <v>0.83981791315700605</v>
      </c>
      <c r="S409">
        <f t="shared" ca="1" si="366"/>
        <v>0.8190827350009775</v>
      </c>
    </row>
    <row r="410" spans="5:19" x14ac:dyDescent="0.75">
      <c r="E410">
        <v>405</v>
      </c>
      <c r="F410">
        <f t="shared" si="362"/>
        <v>100</v>
      </c>
      <c r="G410">
        <f t="shared" ca="1" si="363"/>
        <v>99.127474119004759</v>
      </c>
      <c r="H410">
        <f t="shared" ca="1" si="363"/>
        <v>99.651591877688972</v>
      </c>
      <c r="I410">
        <f t="shared" ca="1" si="363"/>
        <v>96.839684972079681</v>
      </c>
      <c r="J410">
        <f t="shared" ref="J410:P410" ca="1" si="377">I410*EXP(($C$6-0.5*$C$7^2)*$C$12+$C$7*SQRT($C$12)*NORMINV(RAND(),0,1))</f>
        <v>99.692498241090448</v>
      </c>
      <c r="K410">
        <f t="shared" ca="1" si="377"/>
        <v>98.082973371529761</v>
      </c>
      <c r="L410">
        <f t="shared" ca="1" si="377"/>
        <v>105.87137510494516</v>
      </c>
      <c r="M410">
        <f t="shared" ca="1" si="377"/>
        <v>107.5298047777223</v>
      </c>
      <c r="N410">
        <f t="shared" ca="1" si="377"/>
        <v>102.33198558724416</v>
      </c>
      <c r="O410">
        <f t="shared" ca="1" si="377"/>
        <v>100.76096673684721</v>
      </c>
      <c r="P410">
        <f t="shared" ca="1" si="377"/>
        <v>95.879596190131224</v>
      </c>
      <c r="Q410">
        <f t="shared" ca="1" si="364"/>
        <v>107.5298047777223</v>
      </c>
      <c r="R410">
        <f t="shared" ca="1" si="365"/>
        <v>0</v>
      </c>
      <c r="S410">
        <f t="shared" ca="1" si="366"/>
        <v>0</v>
      </c>
    </row>
    <row r="411" spans="5:19" x14ac:dyDescent="0.75">
      <c r="E411">
        <v>406</v>
      </c>
      <c r="F411">
        <f t="shared" si="362"/>
        <v>100</v>
      </c>
      <c r="G411">
        <f t="shared" ca="1" si="363"/>
        <v>102.12328022857842</v>
      </c>
      <c r="H411">
        <f t="shared" ca="1" si="363"/>
        <v>102.31171480085166</v>
      </c>
      <c r="I411">
        <f t="shared" ca="1" si="363"/>
        <v>100.03024881461235</v>
      </c>
      <c r="J411">
        <f t="shared" ref="J411:P411" ca="1" si="378">I411*EXP(($C$6-0.5*$C$7^2)*$C$12+$C$7*SQRT($C$12)*NORMINV(RAND(),0,1))</f>
        <v>102.29023678404532</v>
      </c>
      <c r="K411">
        <f t="shared" ca="1" si="378"/>
        <v>95.082691530835419</v>
      </c>
      <c r="L411">
        <f t="shared" ca="1" si="378"/>
        <v>93.871641133541971</v>
      </c>
      <c r="M411">
        <f t="shared" ca="1" si="378"/>
        <v>89.710232116583853</v>
      </c>
      <c r="N411">
        <f t="shared" ca="1" si="378"/>
        <v>87.494671645544656</v>
      </c>
      <c r="O411">
        <f t="shared" ca="1" si="378"/>
        <v>82.928110970478727</v>
      </c>
      <c r="P411">
        <f t="shared" ca="1" si="378"/>
        <v>81.20298836460988</v>
      </c>
      <c r="Q411">
        <f t="shared" ca="1" si="364"/>
        <v>102.31171480085166</v>
      </c>
      <c r="R411">
        <f t="shared" ca="1" si="365"/>
        <v>0</v>
      </c>
      <c r="S411">
        <f t="shared" ca="1" si="366"/>
        <v>0</v>
      </c>
    </row>
    <row r="412" spans="5:19" x14ac:dyDescent="0.75">
      <c r="E412">
        <v>407</v>
      </c>
      <c r="F412">
        <f t="shared" si="362"/>
        <v>100</v>
      </c>
      <c r="G412">
        <f t="shared" ca="1" si="363"/>
        <v>95.640153059994248</v>
      </c>
      <c r="H412">
        <f t="shared" ca="1" si="363"/>
        <v>96.657057928377355</v>
      </c>
      <c r="I412">
        <f t="shared" ca="1" si="363"/>
        <v>94.06367336325421</v>
      </c>
      <c r="J412">
        <f t="shared" ref="J412:P412" ca="1" si="379">I412*EXP(($C$6-0.5*$C$7^2)*$C$12+$C$7*SQRT($C$12)*NORMINV(RAND(),0,1))</f>
        <v>93.385201365320526</v>
      </c>
      <c r="K412">
        <f t="shared" ca="1" si="379"/>
        <v>95.340096677864068</v>
      </c>
      <c r="L412">
        <f t="shared" ca="1" si="379"/>
        <v>90.4560961270181</v>
      </c>
      <c r="M412">
        <f t="shared" ca="1" si="379"/>
        <v>90.447154269507635</v>
      </c>
      <c r="N412">
        <f t="shared" ca="1" si="379"/>
        <v>87.039721596275157</v>
      </c>
      <c r="O412">
        <f t="shared" ca="1" si="379"/>
        <v>85.160792775833031</v>
      </c>
      <c r="P412">
        <f t="shared" ca="1" si="379"/>
        <v>85.703629977361388</v>
      </c>
      <c r="Q412">
        <f t="shared" ca="1" si="364"/>
        <v>96.657057928377355</v>
      </c>
      <c r="R412">
        <f t="shared" ca="1" si="365"/>
        <v>0</v>
      </c>
      <c r="S412">
        <f t="shared" ca="1" si="366"/>
        <v>0</v>
      </c>
    </row>
    <row r="413" spans="5:19" x14ac:dyDescent="0.75">
      <c r="E413">
        <v>408</v>
      </c>
      <c r="F413">
        <f t="shared" si="362"/>
        <v>100</v>
      </c>
      <c r="G413">
        <f t="shared" ca="1" si="363"/>
        <v>98.080440006970065</v>
      </c>
      <c r="H413">
        <f t="shared" ca="1" si="363"/>
        <v>99.812385705640537</v>
      </c>
      <c r="I413">
        <f t="shared" ca="1" si="363"/>
        <v>105.90173166059829</v>
      </c>
      <c r="J413">
        <f t="shared" ref="J413:P413" ca="1" si="380">I413*EXP(($C$6-0.5*$C$7^2)*$C$12+$C$7*SQRT($C$12)*NORMINV(RAND(),0,1))</f>
        <v>107.90224880406262</v>
      </c>
      <c r="K413">
        <f t="shared" ca="1" si="380"/>
        <v>111.47505169683667</v>
      </c>
      <c r="L413">
        <f t="shared" ca="1" si="380"/>
        <v>110.59916190772627</v>
      </c>
      <c r="M413">
        <f t="shared" ca="1" si="380"/>
        <v>109.33921528443881</v>
      </c>
      <c r="N413">
        <f t="shared" ca="1" si="380"/>
        <v>106.2939296507525</v>
      </c>
      <c r="O413">
        <f t="shared" ca="1" si="380"/>
        <v>108.1958874233238</v>
      </c>
      <c r="P413">
        <f t="shared" ca="1" si="380"/>
        <v>99.884140809691218</v>
      </c>
      <c r="Q413">
        <f t="shared" ca="1" si="364"/>
        <v>111.47505169683667</v>
      </c>
      <c r="R413">
        <f t="shared" ca="1" si="365"/>
        <v>0</v>
      </c>
      <c r="S413">
        <f t="shared" ca="1" si="366"/>
        <v>0</v>
      </c>
    </row>
    <row r="414" spans="5:19" x14ac:dyDescent="0.75">
      <c r="E414">
        <v>409</v>
      </c>
      <c r="F414">
        <f t="shared" si="362"/>
        <v>100</v>
      </c>
      <c r="G414">
        <f t="shared" ca="1" si="363"/>
        <v>97.352685928970857</v>
      </c>
      <c r="H414">
        <f t="shared" ca="1" si="363"/>
        <v>98.986392454331892</v>
      </c>
      <c r="I414">
        <f t="shared" ca="1" si="363"/>
        <v>98.366066573186913</v>
      </c>
      <c r="J414">
        <f t="shared" ref="J414:P414" ca="1" si="381">I414*EXP(($C$6-0.5*$C$7^2)*$C$12+$C$7*SQRT($C$12)*NORMINV(RAND(),0,1))</f>
        <v>98.38528510528532</v>
      </c>
      <c r="K414">
        <f t="shared" ca="1" si="381"/>
        <v>98.151205923950315</v>
      </c>
      <c r="L414">
        <f t="shared" ca="1" si="381"/>
        <v>103.50815457650707</v>
      </c>
      <c r="M414">
        <f t="shared" ca="1" si="381"/>
        <v>97.140187461513719</v>
      </c>
      <c r="N414">
        <f t="shared" ca="1" si="381"/>
        <v>93.813204982790467</v>
      </c>
      <c r="O414">
        <f t="shared" ca="1" si="381"/>
        <v>98.962332749072516</v>
      </c>
      <c r="P414">
        <f t="shared" ca="1" si="381"/>
        <v>108.04481486222016</v>
      </c>
      <c r="Q414">
        <f t="shared" ca="1" si="364"/>
        <v>108.04481486222016</v>
      </c>
      <c r="R414">
        <f t="shared" ca="1" si="365"/>
        <v>6.0448148622201643</v>
      </c>
      <c r="S414">
        <f t="shared" ca="1" si="366"/>
        <v>5.8955678514995062</v>
      </c>
    </row>
    <row r="415" spans="5:19" x14ac:dyDescent="0.75">
      <c r="E415">
        <v>410</v>
      </c>
      <c r="F415">
        <f t="shared" si="362"/>
        <v>100</v>
      </c>
      <c r="G415">
        <f t="shared" ca="1" si="363"/>
        <v>99.931107383195922</v>
      </c>
      <c r="H415">
        <f t="shared" ca="1" si="363"/>
        <v>98.416754345814965</v>
      </c>
      <c r="I415">
        <f t="shared" ca="1" si="363"/>
        <v>100.06680172238207</v>
      </c>
      <c r="J415">
        <f t="shared" ref="J415:P415" ca="1" si="382">I415*EXP(($C$6-0.5*$C$7^2)*$C$12+$C$7*SQRT($C$12)*NORMINV(RAND(),0,1))</f>
        <v>104.22431570238827</v>
      </c>
      <c r="K415">
        <f t="shared" ca="1" si="382"/>
        <v>107.13844185014364</v>
      </c>
      <c r="L415">
        <f t="shared" ca="1" si="382"/>
        <v>100.08384865766698</v>
      </c>
      <c r="M415">
        <f t="shared" ca="1" si="382"/>
        <v>99.993489929621092</v>
      </c>
      <c r="N415">
        <f t="shared" ca="1" si="382"/>
        <v>108.76796481266582</v>
      </c>
      <c r="O415">
        <f t="shared" ca="1" si="382"/>
        <v>110.13882093002029</v>
      </c>
      <c r="P415">
        <f t="shared" ca="1" si="382"/>
        <v>121.53799872690759</v>
      </c>
      <c r="Q415">
        <f t="shared" ca="1" si="364"/>
        <v>121.53799872690759</v>
      </c>
      <c r="R415">
        <f t="shared" ca="1" si="365"/>
        <v>0</v>
      </c>
      <c r="S415">
        <f t="shared" ca="1" si="366"/>
        <v>0</v>
      </c>
    </row>
    <row r="416" spans="5:19" x14ac:dyDescent="0.75">
      <c r="E416">
        <v>411</v>
      </c>
      <c r="F416">
        <f t="shared" si="362"/>
        <v>100</v>
      </c>
      <c r="G416">
        <f t="shared" ca="1" si="363"/>
        <v>94.590841120657132</v>
      </c>
      <c r="H416">
        <f t="shared" ca="1" si="363"/>
        <v>94.071674627136218</v>
      </c>
      <c r="I416">
        <f t="shared" ca="1" si="363"/>
        <v>87.101511809922371</v>
      </c>
      <c r="J416">
        <f t="shared" ref="J416:P416" ca="1" si="383">I416*EXP(($C$6-0.5*$C$7^2)*$C$12+$C$7*SQRT($C$12)*NORMINV(RAND(),0,1))</f>
        <v>88.445280395563671</v>
      </c>
      <c r="K416">
        <f t="shared" ca="1" si="383"/>
        <v>85.521490366727079</v>
      </c>
      <c r="L416">
        <f t="shared" ca="1" si="383"/>
        <v>85.580130409563964</v>
      </c>
      <c r="M416">
        <f t="shared" ca="1" si="383"/>
        <v>83.242123065998712</v>
      </c>
      <c r="N416">
        <f t="shared" ca="1" si="383"/>
        <v>86.593515830965771</v>
      </c>
      <c r="O416">
        <f t="shared" ca="1" si="383"/>
        <v>80.940047278188302</v>
      </c>
      <c r="P416">
        <f t="shared" ca="1" si="383"/>
        <v>83.970308445600182</v>
      </c>
      <c r="Q416">
        <f t="shared" ca="1" si="364"/>
        <v>94.590841120657132</v>
      </c>
      <c r="R416">
        <f t="shared" ca="1" si="365"/>
        <v>0</v>
      </c>
      <c r="S416">
        <f t="shared" ca="1" si="366"/>
        <v>0</v>
      </c>
    </row>
    <row r="417" spans="5:19" x14ac:dyDescent="0.75">
      <c r="E417">
        <v>412</v>
      </c>
      <c r="F417">
        <f t="shared" si="362"/>
        <v>100</v>
      </c>
      <c r="G417">
        <f t="shared" ca="1" si="363"/>
        <v>100.63508682553264</v>
      </c>
      <c r="H417">
        <f t="shared" ca="1" si="363"/>
        <v>97.63400721781413</v>
      </c>
      <c r="I417">
        <f t="shared" ca="1" si="363"/>
        <v>94.380463557635437</v>
      </c>
      <c r="J417">
        <f t="shared" ref="J417:P417" ca="1" si="384">I417*EXP(($C$6-0.5*$C$7^2)*$C$12+$C$7*SQRT($C$12)*NORMINV(RAND(),0,1))</f>
        <v>92.216121924465682</v>
      </c>
      <c r="K417">
        <f t="shared" ca="1" si="384"/>
        <v>93.306883183806221</v>
      </c>
      <c r="L417">
        <f t="shared" ca="1" si="384"/>
        <v>103.88746113437711</v>
      </c>
      <c r="M417">
        <f t="shared" ca="1" si="384"/>
        <v>103.32394446845576</v>
      </c>
      <c r="N417">
        <f t="shared" ca="1" si="384"/>
        <v>109.45170873263798</v>
      </c>
      <c r="O417">
        <f t="shared" ca="1" si="384"/>
        <v>104.95756729139828</v>
      </c>
      <c r="P417">
        <f t="shared" ca="1" si="384"/>
        <v>106.18040182995742</v>
      </c>
      <c r="Q417">
        <f t="shared" ca="1" si="364"/>
        <v>109.45170873263798</v>
      </c>
      <c r="R417">
        <f t="shared" ca="1" si="365"/>
        <v>4.1804018299574182</v>
      </c>
      <c r="S417">
        <f t="shared" ca="1" si="366"/>
        <v>4.0771873410188499</v>
      </c>
    </row>
    <row r="418" spans="5:19" x14ac:dyDescent="0.75">
      <c r="E418">
        <v>413</v>
      </c>
      <c r="F418">
        <f t="shared" si="362"/>
        <v>100</v>
      </c>
      <c r="G418">
        <f t="shared" ca="1" si="363"/>
        <v>105.12794296402875</v>
      </c>
      <c r="H418">
        <f t="shared" ca="1" si="363"/>
        <v>101.46084917089907</v>
      </c>
      <c r="I418">
        <f t="shared" ca="1" si="363"/>
        <v>105.37018010677556</v>
      </c>
      <c r="J418">
        <f t="shared" ref="J418:P418" ca="1" si="385">I418*EXP(($C$6-0.5*$C$7^2)*$C$12+$C$7*SQRT($C$12)*NORMINV(RAND(),0,1))</f>
        <v>106.49631692745909</v>
      </c>
      <c r="K418">
        <f t="shared" ca="1" si="385"/>
        <v>106.90286583746398</v>
      </c>
      <c r="L418">
        <f t="shared" ca="1" si="385"/>
        <v>102.12023655921263</v>
      </c>
      <c r="M418">
        <f t="shared" ca="1" si="385"/>
        <v>100.06656707728014</v>
      </c>
      <c r="N418">
        <f t="shared" ca="1" si="385"/>
        <v>105.02142452712172</v>
      </c>
      <c r="O418">
        <f t="shared" ca="1" si="385"/>
        <v>111.36838741792221</v>
      </c>
      <c r="P418">
        <f t="shared" ca="1" si="385"/>
        <v>117.36289525453249</v>
      </c>
      <c r="Q418">
        <f t="shared" ca="1" si="364"/>
        <v>117.36289525453249</v>
      </c>
      <c r="R418">
        <f t="shared" ca="1" si="365"/>
        <v>0</v>
      </c>
      <c r="S418">
        <f t="shared" ca="1" si="366"/>
        <v>0</v>
      </c>
    </row>
    <row r="419" spans="5:19" x14ac:dyDescent="0.75">
      <c r="E419">
        <v>414</v>
      </c>
      <c r="F419">
        <f t="shared" si="362"/>
        <v>100</v>
      </c>
      <c r="G419">
        <f t="shared" ca="1" si="363"/>
        <v>106.48238755316888</v>
      </c>
      <c r="H419">
        <f t="shared" ca="1" si="363"/>
        <v>99.820424728732007</v>
      </c>
      <c r="I419">
        <f t="shared" ca="1" si="363"/>
        <v>99.407622146227865</v>
      </c>
      <c r="J419">
        <f t="shared" ref="J419:P419" ca="1" si="386">I419*EXP(($C$6-0.5*$C$7^2)*$C$12+$C$7*SQRT($C$12)*NORMINV(RAND(),0,1))</f>
        <v>99.296642654145984</v>
      </c>
      <c r="K419">
        <f t="shared" ca="1" si="386"/>
        <v>104.79740718926419</v>
      </c>
      <c r="L419">
        <f t="shared" ca="1" si="386"/>
        <v>111.1896797151216</v>
      </c>
      <c r="M419">
        <f t="shared" ca="1" si="386"/>
        <v>102.97050609230153</v>
      </c>
      <c r="N419">
        <f t="shared" ca="1" si="386"/>
        <v>99.46399511612853</v>
      </c>
      <c r="O419">
        <f t="shared" ca="1" si="386"/>
        <v>95.599205186523065</v>
      </c>
      <c r="P419">
        <f t="shared" ca="1" si="386"/>
        <v>93.867054236803284</v>
      </c>
      <c r="Q419">
        <f t="shared" ca="1" si="364"/>
        <v>111.1896797151216</v>
      </c>
      <c r="R419">
        <f t="shared" ca="1" si="365"/>
        <v>0</v>
      </c>
      <c r="S419">
        <f t="shared" ca="1" si="366"/>
        <v>0</v>
      </c>
    </row>
    <row r="420" spans="5:19" x14ac:dyDescent="0.75">
      <c r="E420">
        <v>415</v>
      </c>
      <c r="F420">
        <f t="shared" si="362"/>
        <v>100</v>
      </c>
      <c r="G420">
        <f t="shared" ca="1" si="363"/>
        <v>103.26227203535501</v>
      </c>
      <c r="H420">
        <f t="shared" ca="1" si="363"/>
        <v>101.91187112440059</v>
      </c>
      <c r="I420">
        <f t="shared" ca="1" si="363"/>
        <v>100.56931153587642</v>
      </c>
      <c r="J420">
        <f t="shared" ref="J420:P420" ca="1" si="387">I420*EXP(($C$6-0.5*$C$7^2)*$C$12+$C$7*SQRT($C$12)*NORMINV(RAND(),0,1))</f>
        <v>102.80155566195184</v>
      </c>
      <c r="K420">
        <f t="shared" ca="1" si="387"/>
        <v>104.49463376605394</v>
      </c>
      <c r="L420">
        <f t="shared" ca="1" si="387"/>
        <v>110.20179456979254</v>
      </c>
      <c r="M420">
        <f t="shared" ca="1" si="387"/>
        <v>110.99914104567209</v>
      </c>
      <c r="N420">
        <f t="shared" ca="1" si="387"/>
        <v>110.99770528906632</v>
      </c>
      <c r="O420">
        <f t="shared" ca="1" si="387"/>
        <v>112.9420242616083</v>
      </c>
      <c r="P420">
        <f t="shared" ca="1" si="387"/>
        <v>107.18857553262906</v>
      </c>
      <c r="Q420">
        <f t="shared" ca="1" si="364"/>
        <v>112.9420242616083</v>
      </c>
      <c r="R420">
        <f t="shared" ca="1" si="365"/>
        <v>0</v>
      </c>
      <c r="S420">
        <f t="shared" ca="1" si="366"/>
        <v>0</v>
      </c>
    </row>
    <row r="421" spans="5:19" x14ac:dyDescent="0.75">
      <c r="E421">
        <v>416</v>
      </c>
      <c r="F421">
        <f t="shared" si="362"/>
        <v>100</v>
      </c>
      <c r="G421">
        <f t="shared" ca="1" si="363"/>
        <v>96.229021560959254</v>
      </c>
      <c r="H421">
        <f t="shared" ca="1" si="363"/>
        <v>93.253689920624169</v>
      </c>
      <c r="I421">
        <f t="shared" ca="1" si="363"/>
        <v>91.71890932023274</v>
      </c>
      <c r="J421">
        <f t="shared" ref="J421:P421" ca="1" si="388">I421*EXP(($C$6-0.5*$C$7^2)*$C$12+$C$7*SQRT($C$12)*NORMINV(RAND(),0,1))</f>
        <v>91.50688208381078</v>
      </c>
      <c r="K421">
        <f t="shared" ca="1" si="388"/>
        <v>94.235347343340379</v>
      </c>
      <c r="L421">
        <f t="shared" ca="1" si="388"/>
        <v>88.685782744605561</v>
      </c>
      <c r="M421">
        <f t="shared" ca="1" si="388"/>
        <v>88.351498362131963</v>
      </c>
      <c r="N421">
        <f t="shared" ca="1" si="388"/>
        <v>92.386580627423555</v>
      </c>
      <c r="O421">
        <f t="shared" ca="1" si="388"/>
        <v>91.728963055389997</v>
      </c>
      <c r="P421">
        <f t="shared" ca="1" si="388"/>
        <v>89.574955788328069</v>
      </c>
      <c r="Q421">
        <f t="shared" ca="1" si="364"/>
        <v>96.229021560959254</v>
      </c>
      <c r="R421">
        <f t="shared" ca="1" si="365"/>
        <v>0</v>
      </c>
      <c r="S421">
        <f t="shared" ca="1" si="366"/>
        <v>0</v>
      </c>
    </row>
    <row r="422" spans="5:19" x14ac:dyDescent="0.75">
      <c r="E422">
        <v>417</v>
      </c>
      <c r="F422">
        <f t="shared" si="362"/>
        <v>100</v>
      </c>
      <c r="G422">
        <f t="shared" ca="1" si="363"/>
        <v>94.480079203785223</v>
      </c>
      <c r="H422">
        <f t="shared" ca="1" si="363"/>
        <v>93.439635361707587</v>
      </c>
      <c r="I422">
        <f t="shared" ca="1" si="363"/>
        <v>91.09447427641507</v>
      </c>
      <c r="J422">
        <f t="shared" ref="J422:P422" ca="1" si="389">I422*EXP(($C$6-0.5*$C$7^2)*$C$12+$C$7*SQRT($C$12)*NORMINV(RAND(),0,1))</f>
        <v>89.17702764408854</v>
      </c>
      <c r="K422">
        <f t="shared" ca="1" si="389"/>
        <v>90.844212276875851</v>
      </c>
      <c r="L422">
        <f t="shared" ca="1" si="389"/>
        <v>97.234916092710563</v>
      </c>
      <c r="M422">
        <f t="shared" ca="1" si="389"/>
        <v>99.891795929483095</v>
      </c>
      <c r="N422">
        <f t="shared" ca="1" si="389"/>
        <v>97.253536144315973</v>
      </c>
      <c r="O422">
        <f t="shared" ca="1" si="389"/>
        <v>93.83693319451811</v>
      </c>
      <c r="P422">
        <f t="shared" ca="1" si="389"/>
        <v>95.161133588609758</v>
      </c>
      <c r="Q422">
        <f t="shared" ca="1" si="364"/>
        <v>99.891795929483095</v>
      </c>
      <c r="R422">
        <f t="shared" ca="1" si="365"/>
        <v>0</v>
      </c>
      <c r="S422">
        <f t="shared" ca="1" si="366"/>
        <v>0</v>
      </c>
    </row>
    <row r="423" spans="5:19" x14ac:dyDescent="0.75">
      <c r="E423">
        <v>418</v>
      </c>
      <c r="F423">
        <f t="shared" si="362"/>
        <v>100</v>
      </c>
      <c r="G423">
        <f t="shared" ca="1" si="363"/>
        <v>102.04935896305965</v>
      </c>
      <c r="H423">
        <f t="shared" ca="1" si="363"/>
        <v>98.215322886769016</v>
      </c>
      <c r="I423">
        <f t="shared" ca="1" si="363"/>
        <v>96.675361274074291</v>
      </c>
      <c r="J423">
        <f t="shared" ref="J423:P423" ca="1" si="390">I423*EXP(($C$6-0.5*$C$7^2)*$C$12+$C$7*SQRT($C$12)*NORMINV(RAND(),0,1))</f>
        <v>90.28715339988014</v>
      </c>
      <c r="K423">
        <f t="shared" ca="1" si="390"/>
        <v>87.415353130914383</v>
      </c>
      <c r="L423">
        <f t="shared" ca="1" si="390"/>
        <v>89.124648330230301</v>
      </c>
      <c r="M423">
        <f t="shared" ca="1" si="390"/>
        <v>89.212037011035179</v>
      </c>
      <c r="N423">
        <f t="shared" ca="1" si="390"/>
        <v>89.95010719771625</v>
      </c>
      <c r="O423">
        <f t="shared" ca="1" si="390"/>
        <v>84.039363232762412</v>
      </c>
      <c r="P423">
        <f t="shared" ca="1" si="390"/>
        <v>89.254657316355704</v>
      </c>
      <c r="Q423">
        <f t="shared" ca="1" si="364"/>
        <v>102.04935896305965</v>
      </c>
      <c r="R423">
        <f t="shared" ca="1" si="365"/>
        <v>0</v>
      </c>
      <c r="S423">
        <f t="shared" ca="1" si="366"/>
        <v>0</v>
      </c>
    </row>
    <row r="424" spans="5:19" x14ac:dyDescent="0.75">
      <c r="E424">
        <v>419</v>
      </c>
      <c r="F424">
        <f t="shared" si="362"/>
        <v>100</v>
      </c>
      <c r="G424">
        <f t="shared" ca="1" si="363"/>
        <v>99.779815102738468</v>
      </c>
      <c r="H424">
        <f t="shared" ca="1" si="363"/>
        <v>94.169534995818111</v>
      </c>
      <c r="I424">
        <f t="shared" ca="1" si="363"/>
        <v>92.859193379048477</v>
      </c>
      <c r="J424">
        <f t="shared" ref="J424:P424" ca="1" si="391">I424*EXP(($C$6-0.5*$C$7^2)*$C$12+$C$7*SQRT($C$12)*NORMINV(RAND(),0,1))</f>
        <v>92.201572644455993</v>
      </c>
      <c r="K424">
        <f t="shared" ca="1" si="391"/>
        <v>94.883103509752445</v>
      </c>
      <c r="L424">
        <f t="shared" ca="1" si="391"/>
        <v>93.535712771270425</v>
      </c>
      <c r="M424">
        <f t="shared" ca="1" si="391"/>
        <v>90.084453086087805</v>
      </c>
      <c r="N424">
        <f t="shared" ca="1" si="391"/>
        <v>87.428965694412369</v>
      </c>
      <c r="O424">
        <f t="shared" ca="1" si="391"/>
        <v>85.374051664027988</v>
      </c>
      <c r="P424">
        <f t="shared" ca="1" si="391"/>
        <v>82.894295404935178</v>
      </c>
      <c r="Q424">
        <f t="shared" ca="1" si="364"/>
        <v>99.779815102738468</v>
      </c>
      <c r="R424">
        <f t="shared" ca="1" si="365"/>
        <v>0</v>
      </c>
      <c r="S424">
        <f t="shared" ca="1" si="366"/>
        <v>0</v>
      </c>
    </row>
    <row r="425" spans="5:19" x14ac:dyDescent="0.75">
      <c r="E425">
        <v>420</v>
      </c>
      <c r="F425">
        <f t="shared" si="362"/>
        <v>100</v>
      </c>
      <c r="G425">
        <f t="shared" ca="1" si="363"/>
        <v>98.083699081335254</v>
      </c>
      <c r="H425">
        <f t="shared" ca="1" si="363"/>
        <v>95.611060371523251</v>
      </c>
      <c r="I425">
        <f t="shared" ca="1" si="363"/>
        <v>92.578260371236013</v>
      </c>
      <c r="J425">
        <f t="shared" ref="J425:P425" ca="1" si="392">I425*EXP(($C$6-0.5*$C$7^2)*$C$12+$C$7*SQRT($C$12)*NORMINV(RAND(),0,1))</f>
        <v>93.867946592826868</v>
      </c>
      <c r="K425">
        <f t="shared" ca="1" si="392"/>
        <v>97.376830866422637</v>
      </c>
      <c r="L425">
        <f t="shared" ca="1" si="392"/>
        <v>105.77590739223761</v>
      </c>
      <c r="M425">
        <f t="shared" ca="1" si="392"/>
        <v>105.20890941878773</v>
      </c>
      <c r="N425">
        <f t="shared" ca="1" si="392"/>
        <v>102.60528758933506</v>
      </c>
      <c r="O425">
        <f t="shared" ca="1" si="392"/>
        <v>98.816331674652574</v>
      </c>
      <c r="P425">
        <f t="shared" ca="1" si="392"/>
        <v>93.385091233948174</v>
      </c>
      <c r="Q425">
        <f t="shared" ca="1" si="364"/>
        <v>105.77590739223761</v>
      </c>
      <c r="R425">
        <f t="shared" ca="1" si="365"/>
        <v>0</v>
      </c>
      <c r="S425">
        <f t="shared" ca="1" si="366"/>
        <v>0</v>
      </c>
    </row>
    <row r="426" spans="5:19" x14ac:dyDescent="0.75">
      <c r="E426">
        <v>421</v>
      </c>
      <c r="F426">
        <f t="shared" si="362"/>
        <v>100</v>
      </c>
      <c r="G426">
        <f t="shared" ca="1" si="363"/>
        <v>98.974458493547289</v>
      </c>
      <c r="H426">
        <f t="shared" ca="1" si="363"/>
        <v>90.660659429846774</v>
      </c>
      <c r="I426">
        <f t="shared" ca="1" si="363"/>
        <v>85.339801339311919</v>
      </c>
      <c r="J426">
        <f t="shared" ref="J426:P426" ca="1" si="393">I426*EXP(($C$6-0.5*$C$7^2)*$C$12+$C$7*SQRT($C$12)*NORMINV(RAND(),0,1))</f>
        <v>91.848136515339746</v>
      </c>
      <c r="K426">
        <f t="shared" ca="1" si="393"/>
        <v>90.991875595103508</v>
      </c>
      <c r="L426">
        <f t="shared" ca="1" si="393"/>
        <v>88.591085952828706</v>
      </c>
      <c r="M426">
        <f t="shared" ca="1" si="393"/>
        <v>90.568757706520316</v>
      </c>
      <c r="N426">
        <f t="shared" ca="1" si="393"/>
        <v>91.458974393997536</v>
      </c>
      <c r="O426">
        <f t="shared" ca="1" si="393"/>
        <v>85.423750186470514</v>
      </c>
      <c r="P426">
        <f t="shared" ca="1" si="393"/>
        <v>81.382697228477596</v>
      </c>
      <c r="Q426">
        <f t="shared" ca="1" si="364"/>
        <v>98.974458493547289</v>
      </c>
      <c r="R426">
        <f t="shared" ca="1" si="365"/>
        <v>0</v>
      </c>
      <c r="S426">
        <f t="shared" ca="1" si="366"/>
        <v>0</v>
      </c>
    </row>
    <row r="427" spans="5:19" x14ac:dyDescent="0.75">
      <c r="E427">
        <v>422</v>
      </c>
      <c r="F427">
        <f t="shared" si="362"/>
        <v>100</v>
      </c>
      <c r="G427">
        <f t="shared" ca="1" si="363"/>
        <v>107.62578218224073</v>
      </c>
      <c r="H427">
        <f t="shared" ca="1" si="363"/>
        <v>101.32536092900921</v>
      </c>
      <c r="I427">
        <f t="shared" ca="1" si="363"/>
        <v>98.848022366127466</v>
      </c>
      <c r="J427">
        <f t="shared" ref="J427:P427" ca="1" si="394">I427*EXP(($C$6-0.5*$C$7^2)*$C$12+$C$7*SQRT($C$12)*NORMINV(RAND(),0,1))</f>
        <v>103.22945347125084</v>
      </c>
      <c r="K427">
        <f t="shared" ca="1" si="394"/>
        <v>104.01377993912686</v>
      </c>
      <c r="L427">
        <f t="shared" ca="1" si="394"/>
        <v>107.41722906537321</v>
      </c>
      <c r="M427">
        <f t="shared" ca="1" si="394"/>
        <v>108.00034791024079</v>
      </c>
      <c r="N427">
        <f t="shared" ca="1" si="394"/>
        <v>102.27411045705661</v>
      </c>
      <c r="O427">
        <f t="shared" ca="1" si="394"/>
        <v>100.27634136437499</v>
      </c>
      <c r="P427">
        <f t="shared" ca="1" si="394"/>
        <v>104.2257991845651</v>
      </c>
      <c r="Q427">
        <f t="shared" ca="1" si="364"/>
        <v>108.00034791024079</v>
      </c>
      <c r="R427">
        <f t="shared" ca="1" si="365"/>
        <v>2.2257991845651048</v>
      </c>
      <c r="S427">
        <f t="shared" ca="1" si="366"/>
        <v>2.1708440068909267</v>
      </c>
    </row>
    <row r="428" spans="5:19" x14ac:dyDescent="0.75">
      <c r="E428">
        <v>423</v>
      </c>
      <c r="F428">
        <f t="shared" si="362"/>
        <v>100</v>
      </c>
      <c r="G428">
        <f t="shared" ca="1" si="363"/>
        <v>103.06213447657689</v>
      </c>
      <c r="H428">
        <f t="shared" ca="1" si="363"/>
        <v>102.93556590856825</v>
      </c>
      <c r="I428">
        <f t="shared" ca="1" si="363"/>
        <v>107.80709132057009</v>
      </c>
      <c r="J428">
        <f t="shared" ref="J428:P428" ca="1" si="395">I428*EXP(($C$6-0.5*$C$7^2)*$C$12+$C$7*SQRT($C$12)*NORMINV(RAND(),0,1))</f>
        <v>116.14655886076592</v>
      </c>
      <c r="K428">
        <f t="shared" ca="1" si="395"/>
        <v>109.62125441412768</v>
      </c>
      <c r="L428">
        <f t="shared" ca="1" si="395"/>
        <v>109.34744168007261</v>
      </c>
      <c r="M428">
        <f t="shared" ca="1" si="395"/>
        <v>105.40517499854018</v>
      </c>
      <c r="N428">
        <f t="shared" ca="1" si="395"/>
        <v>101.28660064985311</v>
      </c>
      <c r="O428">
        <f t="shared" ca="1" si="395"/>
        <v>97.056015998477761</v>
      </c>
      <c r="P428">
        <f t="shared" ca="1" si="395"/>
        <v>104.82225799126739</v>
      </c>
      <c r="Q428">
        <f t="shared" ca="1" si="364"/>
        <v>116.14655886076592</v>
      </c>
      <c r="R428">
        <f t="shared" ca="1" si="365"/>
        <v>0</v>
      </c>
      <c r="S428">
        <f t="shared" ca="1" si="366"/>
        <v>0</v>
      </c>
    </row>
    <row r="429" spans="5:19" x14ac:dyDescent="0.75">
      <c r="E429">
        <v>424</v>
      </c>
      <c r="F429">
        <f t="shared" si="362"/>
        <v>100</v>
      </c>
      <c r="G429">
        <f t="shared" ca="1" si="363"/>
        <v>95.835627271391573</v>
      </c>
      <c r="H429">
        <f t="shared" ca="1" si="363"/>
        <v>93.18686946973007</v>
      </c>
      <c r="I429">
        <f t="shared" ca="1" si="363"/>
        <v>87.402873946033139</v>
      </c>
      <c r="J429">
        <f t="shared" ref="J429:P429" ca="1" si="396">I429*EXP(($C$6-0.5*$C$7^2)*$C$12+$C$7*SQRT($C$12)*NORMINV(RAND(),0,1))</f>
        <v>85.710392178817983</v>
      </c>
      <c r="K429">
        <f t="shared" ca="1" si="396"/>
        <v>86.445384469667957</v>
      </c>
      <c r="L429">
        <f t="shared" ca="1" si="396"/>
        <v>89.040424974677009</v>
      </c>
      <c r="M429">
        <f t="shared" ca="1" si="396"/>
        <v>84.279853850326447</v>
      </c>
      <c r="N429">
        <f t="shared" ca="1" si="396"/>
        <v>77.856554662416357</v>
      </c>
      <c r="O429">
        <f t="shared" ca="1" si="396"/>
        <v>79.89500596568358</v>
      </c>
      <c r="P429">
        <f t="shared" ca="1" si="396"/>
        <v>78.706742957278735</v>
      </c>
      <c r="Q429">
        <f t="shared" ca="1" si="364"/>
        <v>95.835627271391573</v>
      </c>
      <c r="R429">
        <f t="shared" ca="1" si="365"/>
        <v>0</v>
      </c>
      <c r="S429">
        <f t="shared" ca="1" si="366"/>
        <v>0</v>
      </c>
    </row>
    <row r="430" spans="5:19" x14ac:dyDescent="0.75">
      <c r="E430">
        <v>425</v>
      </c>
      <c r="F430">
        <f t="shared" si="362"/>
        <v>100</v>
      </c>
      <c r="G430">
        <f t="shared" ca="1" si="363"/>
        <v>104.58694739246648</v>
      </c>
      <c r="H430">
        <f t="shared" ca="1" si="363"/>
        <v>109.59805998488486</v>
      </c>
      <c r="I430">
        <f t="shared" ca="1" si="363"/>
        <v>107.16110647896114</v>
      </c>
      <c r="J430">
        <f t="shared" ref="J430:P430" ca="1" si="397">I430*EXP(($C$6-0.5*$C$7^2)*$C$12+$C$7*SQRT($C$12)*NORMINV(RAND(),0,1))</f>
        <v>111.79430834163944</v>
      </c>
      <c r="K430">
        <f t="shared" ca="1" si="397"/>
        <v>108.22127688657288</v>
      </c>
      <c r="L430">
        <f t="shared" ca="1" si="397"/>
        <v>110.6388281398347</v>
      </c>
      <c r="M430">
        <f t="shared" ca="1" si="397"/>
        <v>115.61868102578762</v>
      </c>
      <c r="N430">
        <f t="shared" ca="1" si="397"/>
        <v>116.40324081128466</v>
      </c>
      <c r="O430">
        <f t="shared" ca="1" si="397"/>
        <v>114.8410118739686</v>
      </c>
      <c r="P430">
        <f t="shared" ca="1" si="397"/>
        <v>110.59127376890243</v>
      </c>
      <c r="Q430">
        <f t="shared" ca="1" si="364"/>
        <v>116.40324081128466</v>
      </c>
      <c r="R430">
        <f t="shared" ca="1" si="365"/>
        <v>0</v>
      </c>
      <c r="S430">
        <f t="shared" ca="1" si="366"/>
        <v>0</v>
      </c>
    </row>
    <row r="431" spans="5:19" x14ac:dyDescent="0.75">
      <c r="E431">
        <v>426</v>
      </c>
      <c r="F431">
        <f t="shared" si="362"/>
        <v>100</v>
      </c>
      <c r="G431">
        <f t="shared" ca="1" si="363"/>
        <v>99.108846582102046</v>
      </c>
      <c r="H431">
        <f t="shared" ca="1" si="363"/>
        <v>104.5834794719716</v>
      </c>
      <c r="I431">
        <f t="shared" ca="1" si="363"/>
        <v>108.15914173549518</v>
      </c>
      <c r="J431">
        <f t="shared" ref="J431:P431" ca="1" si="398">I431*EXP(($C$6-0.5*$C$7^2)*$C$12+$C$7*SQRT($C$12)*NORMINV(RAND(),0,1))</f>
        <v>108.97414058936991</v>
      </c>
      <c r="K431">
        <f t="shared" ca="1" si="398"/>
        <v>113.27992843412432</v>
      </c>
      <c r="L431">
        <f t="shared" ca="1" si="398"/>
        <v>106.33949336107122</v>
      </c>
      <c r="M431">
        <f t="shared" ca="1" si="398"/>
        <v>112.53577263848562</v>
      </c>
      <c r="N431">
        <f t="shared" ca="1" si="398"/>
        <v>119.53395015225297</v>
      </c>
      <c r="O431">
        <f t="shared" ca="1" si="398"/>
        <v>114.5075216376873</v>
      </c>
      <c r="P431">
        <f t="shared" ca="1" si="398"/>
        <v>109.80700152740532</v>
      </c>
      <c r="Q431">
        <f t="shared" ca="1" si="364"/>
        <v>119.53395015225297</v>
      </c>
      <c r="R431">
        <f t="shared" ca="1" si="365"/>
        <v>0</v>
      </c>
      <c r="S431">
        <f t="shared" ca="1" si="366"/>
        <v>0</v>
      </c>
    </row>
    <row r="432" spans="5:19" x14ac:dyDescent="0.75">
      <c r="E432">
        <v>427</v>
      </c>
      <c r="F432">
        <f t="shared" si="362"/>
        <v>100</v>
      </c>
      <c r="G432">
        <f t="shared" ca="1" si="363"/>
        <v>98.573476195274424</v>
      </c>
      <c r="H432">
        <f t="shared" ca="1" si="363"/>
        <v>94.404865484936565</v>
      </c>
      <c r="I432">
        <f t="shared" ca="1" si="363"/>
        <v>97.544199275491991</v>
      </c>
      <c r="J432">
        <f t="shared" ref="J432:P432" ca="1" si="399">I432*EXP(($C$6-0.5*$C$7^2)*$C$12+$C$7*SQRT($C$12)*NORMINV(RAND(),0,1))</f>
        <v>92.087538259313817</v>
      </c>
      <c r="K432">
        <f t="shared" ca="1" si="399"/>
        <v>106.03220973040551</v>
      </c>
      <c r="L432">
        <f t="shared" ca="1" si="399"/>
        <v>103.91272005250016</v>
      </c>
      <c r="M432">
        <f t="shared" ca="1" si="399"/>
        <v>102.42958861728445</v>
      </c>
      <c r="N432">
        <f t="shared" ca="1" si="399"/>
        <v>97.709739691310091</v>
      </c>
      <c r="O432">
        <f t="shared" ca="1" si="399"/>
        <v>104.83235844517041</v>
      </c>
      <c r="P432">
        <f t="shared" ca="1" si="399"/>
        <v>107.04115043795319</v>
      </c>
      <c r="Q432">
        <f t="shared" ca="1" si="364"/>
        <v>107.04115043795319</v>
      </c>
      <c r="R432">
        <f t="shared" ca="1" si="365"/>
        <v>5.041150437953192</v>
      </c>
      <c r="S432">
        <f t="shared" ca="1" si="366"/>
        <v>4.9166839901617179</v>
      </c>
    </row>
    <row r="433" spans="5:19" x14ac:dyDescent="0.75">
      <c r="E433">
        <v>428</v>
      </c>
      <c r="F433">
        <f t="shared" si="362"/>
        <v>100</v>
      </c>
      <c r="G433">
        <f t="shared" ca="1" si="363"/>
        <v>109.53772510098003</v>
      </c>
      <c r="H433">
        <f t="shared" ca="1" si="363"/>
        <v>103.58797996751935</v>
      </c>
      <c r="I433">
        <f t="shared" ca="1" si="363"/>
        <v>103.77979512648933</v>
      </c>
      <c r="J433">
        <f t="shared" ref="J433:P433" ca="1" si="400">I433*EXP(($C$6-0.5*$C$7^2)*$C$12+$C$7*SQRT($C$12)*NORMINV(RAND(),0,1))</f>
        <v>108.18370394209278</v>
      </c>
      <c r="K433">
        <f t="shared" ca="1" si="400"/>
        <v>118.95599584414362</v>
      </c>
      <c r="L433">
        <f t="shared" ca="1" si="400"/>
        <v>120.45678596733991</v>
      </c>
      <c r="M433">
        <f t="shared" ca="1" si="400"/>
        <v>115.33615045249091</v>
      </c>
      <c r="N433">
        <f t="shared" ca="1" si="400"/>
        <v>116.13540264744155</v>
      </c>
      <c r="O433">
        <f t="shared" ca="1" si="400"/>
        <v>110.52784604175274</v>
      </c>
      <c r="P433">
        <f t="shared" ca="1" si="400"/>
        <v>102.43299533380464</v>
      </c>
      <c r="Q433">
        <f t="shared" ca="1" si="364"/>
        <v>120.45678596733991</v>
      </c>
      <c r="R433">
        <f t="shared" ca="1" si="365"/>
        <v>0</v>
      </c>
      <c r="S433">
        <f t="shared" ca="1" si="366"/>
        <v>0</v>
      </c>
    </row>
    <row r="434" spans="5:19" x14ac:dyDescent="0.75">
      <c r="E434">
        <v>429</v>
      </c>
      <c r="F434">
        <f t="shared" si="362"/>
        <v>100</v>
      </c>
      <c r="G434">
        <f t="shared" ca="1" si="363"/>
        <v>98.58518933478048</v>
      </c>
      <c r="H434">
        <f t="shared" ca="1" si="363"/>
        <v>100.50646161734711</v>
      </c>
      <c r="I434">
        <f t="shared" ca="1" si="363"/>
        <v>97.636238764502735</v>
      </c>
      <c r="J434">
        <f t="shared" ref="J434:P434" ca="1" si="401">I434*EXP(($C$6-0.5*$C$7^2)*$C$12+$C$7*SQRT($C$12)*NORMINV(RAND(),0,1))</f>
        <v>87.470032971470786</v>
      </c>
      <c r="K434">
        <f t="shared" ca="1" si="401"/>
        <v>90.654139071785949</v>
      </c>
      <c r="L434">
        <f t="shared" ca="1" si="401"/>
        <v>94.3851785070852</v>
      </c>
      <c r="M434">
        <f t="shared" ca="1" si="401"/>
        <v>96.659785110729516</v>
      </c>
      <c r="N434">
        <f t="shared" ca="1" si="401"/>
        <v>98.675021040472373</v>
      </c>
      <c r="O434">
        <f t="shared" ca="1" si="401"/>
        <v>103.06337632618508</v>
      </c>
      <c r="P434">
        <f t="shared" ca="1" si="401"/>
        <v>99.327044775077937</v>
      </c>
      <c r="Q434">
        <f t="shared" ca="1" si="364"/>
        <v>103.06337632618508</v>
      </c>
      <c r="R434">
        <f t="shared" ca="1" si="365"/>
        <v>0</v>
      </c>
      <c r="S434">
        <f t="shared" ca="1" si="366"/>
        <v>0</v>
      </c>
    </row>
    <row r="435" spans="5:19" x14ac:dyDescent="0.75">
      <c r="E435">
        <v>430</v>
      </c>
      <c r="F435">
        <f t="shared" si="362"/>
        <v>100</v>
      </c>
      <c r="G435">
        <f t="shared" ca="1" si="363"/>
        <v>97.890274699470069</v>
      </c>
      <c r="H435">
        <f t="shared" ca="1" si="363"/>
        <v>92.717686852463032</v>
      </c>
      <c r="I435">
        <f t="shared" ca="1" si="363"/>
        <v>91.08962725295217</v>
      </c>
      <c r="J435">
        <f t="shared" ref="J435:P435" ca="1" si="402">I435*EXP(($C$6-0.5*$C$7^2)*$C$12+$C$7*SQRT($C$12)*NORMINV(RAND(),0,1))</f>
        <v>95.642479714183352</v>
      </c>
      <c r="K435">
        <f t="shared" ca="1" si="402"/>
        <v>91.724994725005899</v>
      </c>
      <c r="L435">
        <f t="shared" ca="1" si="402"/>
        <v>91.689971216751303</v>
      </c>
      <c r="M435">
        <f t="shared" ca="1" si="402"/>
        <v>93.697645225416977</v>
      </c>
      <c r="N435">
        <f t="shared" ca="1" si="402"/>
        <v>94.464776606762229</v>
      </c>
      <c r="O435">
        <f t="shared" ca="1" si="402"/>
        <v>94.257684629433484</v>
      </c>
      <c r="P435">
        <f t="shared" ca="1" si="402"/>
        <v>96.293598894134121</v>
      </c>
      <c r="Q435">
        <f t="shared" ca="1" si="364"/>
        <v>97.890274699470069</v>
      </c>
      <c r="R435">
        <f t="shared" ca="1" si="365"/>
        <v>0</v>
      </c>
      <c r="S435">
        <f t="shared" ca="1" si="366"/>
        <v>0</v>
      </c>
    </row>
    <row r="436" spans="5:19" x14ac:dyDescent="0.75">
      <c r="E436">
        <v>431</v>
      </c>
      <c r="F436">
        <f t="shared" si="362"/>
        <v>100</v>
      </c>
      <c r="G436">
        <f t="shared" ca="1" si="363"/>
        <v>102.52677771771035</v>
      </c>
      <c r="H436">
        <f t="shared" ca="1" si="363"/>
        <v>103.87357975232979</v>
      </c>
      <c r="I436">
        <f t="shared" ca="1" si="363"/>
        <v>99.851910884139329</v>
      </c>
      <c r="J436">
        <f t="shared" ref="J436:P436" ca="1" si="403">I436*EXP(($C$6-0.5*$C$7^2)*$C$12+$C$7*SQRT($C$12)*NORMINV(RAND(),0,1))</f>
        <v>106.07282645834709</v>
      </c>
      <c r="K436">
        <f t="shared" ca="1" si="403"/>
        <v>104.12163632442967</v>
      </c>
      <c r="L436">
        <f t="shared" ca="1" si="403"/>
        <v>111.71789739475507</v>
      </c>
      <c r="M436">
        <f t="shared" ca="1" si="403"/>
        <v>110.14410430863046</v>
      </c>
      <c r="N436">
        <f t="shared" ca="1" si="403"/>
        <v>108.24410766223818</v>
      </c>
      <c r="O436">
        <f t="shared" ca="1" si="403"/>
        <v>118.35004767466749</v>
      </c>
      <c r="P436">
        <f t="shared" ca="1" si="403"/>
        <v>111.90477189161351</v>
      </c>
      <c r="Q436">
        <f t="shared" ca="1" si="364"/>
        <v>118.35004767466749</v>
      </c>
      <c r="R436">
        <f t="shared" ca="1" si="365"/>
        <v>0</v>
      </c>
      <c r="S436">
        <f t="shared" ca="1" si="366"/>
        <v>0</v>
      </c>
    </row>
    <row r="437" spans="5:19" x14ac:dyDescent="0.75">
      <c r="E437">
        <v>432</v>
      </c>
      <c r="F437">
        <f t="shared" si="362"/>
        <v>100</v>
      </c>
      <c r="G437">
        <f t="shared" ca="1" si="363"/>
        <v>101.46567051224216</v>
      </c>
      <c r="H437">
        <f t="shared" ca="1" si="363"/>
        <v>98.127943647027166</v>
      </c>
      <c r="I437">
        <f t="shared" ca="1" si="363"/>
        <v>100.47822197262111</v>
      </c>
      <c r="J437">
        <f t="shared" ref="J437:P437" ca="1" si="404">I437*EXP(($C$6-0.5*$C$7^2)*$C$12+$C$7*SQRT($C$12)*NORMINV(RAND(),0,1))</f>
        <v>97.782211431543359</v>
      </c>
      <c r="K437">
        <f t="shared" ca="1" si="404"/>
        <v>99.014540681610868</v>
      </c>
      <c r="L437">
        <f t="shared" ca="1" si="404"/>
        <v>98.890484353483231</v>
      </c>
      <c r="M437">
        <f t="shared" ca="1" si="404"/>
        <v>103.67432803417567</v>
      </c>
      <c r="N437">
        <f t="shared" ca="1" si="404"/>
        <v>112.81488143939708</v>
      </c>
      <c r="O437">
        <f t="shared" ca="1" si="404"/>
        <v>108.2183774957345</v>
      </c>
      <c r="P437">
        <f t="shared" ca="1" si="404"/>
        <v>108.7080771193591</v>
      </c>
      <c r="Q437">
        <f t="shared" ca="1" si="364"/>
        <v>112.81488143939708</v>
      </c>
      <c r="R437">
        <f t="shared" ca="1" si="365"/>
        <v>0</v>
      </c>
      <c r="S437">
        <f t="shared" ca="1" si="366"/>
        <v>0</v>
      </c>
    </row>
    <row r="438" spans="5:19" x14ac:dyDescent="0.75">
      <c r="E438">
        <v>433</v>
      </c>
      <c r="F438">
        <f t="shared" si="362"/>
        <v>100</v>
      </c>
      <c r="G438">
        <f t="shared" ca="1" si="363"/>
        <v>100.00473930236413</v>
      </c>
      <c r="H438">
        <f t="shared" ca="1" si="363"/>
        <v>103.09103381867564</v>
      </c>
      <c r="I438">
        <f t="shared" ca="1" si="363"/>
        <v>107.27143685577519</v>
      </c>
      <c r="J438">
        <f t="shared" ref="J438:P438" ca="1" si="405">I438*EXP(($C$6-0.5*$C$7^2)*$C$12+$C$7*SQRT($C$12)*NORMINV(RAND(),0,1))</f>
        <v>113.42458044913236</v>
      </c>
      <c r="K438">
        <f t="shared" ca="1" si="405"/>
        <v>117.75382780281011</v>
      </c>
      <c r="L438">
        <f t="shared" ca="1" si="405"/>
        <v>118.03715438240488</v>
      </c>
      <c r="M438">
        <f t="shared" ca="1" si="405"/>
        <v>121.92311769851709</v>
      </c>
      <c r="N438">
        <f t="shared" ca="1" si="405"/>
        <v>122.12722845449447</v>
      </c>
      <c r="O438">
        <f t="shared" ca="1" si="405"/>
        <v>122.31522916972442</v>
      </c>
      <c r="P438">
        <f t="shared" ca="1" si="405"/>
        <v>123.20820984693275</v>
      </c>
      <c r="Q438">
        <f t="shared" ca="1" si="364"/>
        <v>123.20820984693275</v>
      </c>
      <c r="R438">
        <f t="shared" ca="1" si="365"/>
        <v>0</v>
      </c>
      <c r="S438">
        <f t="shared" ca="1" si="366"/>
        <v>0</v>
      </c>
    </row>
    <row r="439" spans="5:19" x14ac:dyDescent="0.75">
      <c r="E439">
        <v>434</v>
      </c>
      <c r="F439">
        <f t="shared" si="362"/>
        <v>100</v>
      </c>
      <c r="G439">
        <f t="shared" ca="1" si="363"/>
        <v>96.516322413371952</v>
      </c>
      <c r="H439">
        <f t="shared" ca="1" si="363"/>
        <v>94.849778378740481</v>
      </c>
      <c r="I439">
        <f t="shared" ca="1" si="363"/>
        <v>98.962371537705678</v>
      </c>
      <c r="J439">
        <f t="shared" ref="J439:P439" ca="1" si="406">I439*EXP(($C$6-0.5*$C$7^2)*$C$12+$C$7*SQRT($C$12)*NORMINV(RAND(),0,1))</f>
        <v>100.62143390698968</v>
      </c>
      <c r="K439">
        <f t="shared" ca="1" si="406"/>
        <v>101.47035511855765</v>
      </c>
      <c r="L439">
        <f t="shared" ca="1" si="406"/>
        <v>102.04919880470307</v>
      </c>
      <c r="M439">
        <f t="shared" ca="1" si="406"/>
        <v>99.406538457647429</v>
      </c>
      <c r="N439">
        <f t="shared" ca="1" si="406"/>
        <v>104.02334920404977</v>
      </c>
      <c r="O439">
        <f t="shared" ca="1" si="406"/>
        <v>106.00460182911027</v>
      </c>
      <c r="P439">
        <f t="shared" ca="1" si="406"/>
        <v>108.44411108258498</v>
      </c>
      <c r="Q439">
        <f t="shared" ca="1" si="364"/>
        <v>108.44411108258498</v>
      </c>
      <c r="R439">
        <f t="shared" ca="1" si="365"/>
        <v>6.4441110825849819</v>
      </c>
      <c r="S439">
        <f t="shared" ca="1" si="366"/>
        <v>6.2850054130567621</v>
      </c>
    </row>
    <row r="440" spans="5:19" x14ac:dyDescent="0.75">
      <c r="E440">
        <v>435</v>
      </c>
      <c r="F440">
        <f t="shared" si="362"/>
        <v>100</v>
      </c>
      <c r="G440">
        <f t="shared" ca="1" si="363"/>
        <v>94.39212894079968</v>
      </c>
      <c r="H440">
        <f t="shared" ca="1" si="363"/>
        <v>89.058151392194489</v>
      </c>
      <c r="I440">
        <f t="shared" ca="1" si="363"/>
        <v>92.607759542876678</v>
      </c>
      <c r="J440">
        <f t="shared" ref="J440:P440" ca="1" si="407">I440*EXP(($C$6-0.5*$C$7^2)*$C$12+$C$7*SQRT($C$12)*NORMINV(RAND(),0,1))</f>
        <v>92.030609670933984</v>
      </c>
      <c r="K440">
        <f t="shared" ca="1" si="407"/>
        <v>88.152225621849254</v>
      </c>
      <c r="L440">
        <f t="shared" ca="1" si="407"/>
        <v>93.160263513682125</v>
      </c>
      <c r="M440">
        <f t="shared" ca="1" si="407"/>
        <v>88.178015882713296</v>
      </c>
      <c r="N440">
        <f t="shared" ca="1" si="407"/>
        <v>88.356465442219658</v>
      </c>
      <c r="O440">
        <f t="shared" ca="1" si="407"/>
        <v>89.048837679034136</v>
      </c>
      <c r="P440">
        <f t="shared" ca="1" si="407"/>
        <v>94.602085349904783</v>
      </c>
      <c r="Q440">
        <f t="shared" ca="1" si="364"/>
        <v>94.602085349904783</v>
      </c>
      <c r="R440">
        <f t="shared" ca="1" si="365"/>
        <v>0</v>
      </c>
      <c r="S440">
        <f t="shared" ca="1" si="366"/>
        <v>0</v>
      </c>
    </row>
    <row r="441" spans="5:19" x14ac:dyDescent="0.75">
      <c r="E441">
        <v>436</v>
      </c>
      <c r="F441">
        <f t="shared" si="362"/>
        <v>100</v>
      </c>
      <c r="G441">
        <f t="shared" ca="1" si="363"/>
        <v>103.74238718396809</v>
      </c>
      <c r="H441">
        <f t="shared" ca="1" si="363"/>
        <v>105.00612649656138</v>
      </c>
      <c r="I441">
        <f t="shared" ca="1" si="363"/>
        <v>107.83698776873405</v>
      </c>
      <c r="J441">
        <f t="shared" ref="J441:P441" ca="1" si="408">I441*EXP(($C$6-0.5*$C$7^2)*$C$12+$C$7*SQRT($C$12)*NORMINV(RAND(),0,1))</f>
        <v>119.19736455630604</v>
      </c>
      <c r="K441">
        <f t="shared" ca="1" si="408"/>
        <v>110.6540593490117</v>
      </c>
      <c r="L441">
        <f t="shared" ca="1" si="408"/>
        <v>115.46629668883672</v>
      </c>
      <c r="M441">
        <f t="shared" ca="1" si="408"/>
        <v>122.53210176017559</v>
      </c>
      <c r="N441">
        <f t="shared" ca="1" si="408"/>
        <v>125.31030121850441</v>
      </c>
      <c r="O441">
        <f t="shared" ca="1" si="408"/>
        <v>119.36616432760894</v>
      </c>
      <c r="P441">
        <f t="shared" ca="1" si="408"/>
        <v>113.6602022307125</v>
      </c>
      <c r="Q441">
        <f t="shared" ca="1" si="364"/>
        <v>125.31030121850441</v>
      </c>
      <c r="R441">
        <f t="shared" ca="1" si="365"/>
        <v>0</v>
      </c>
      <c r="S441">
        <f t="shared" ca="1" si="366"/>
        <v>0</v>
      </c>
    </row>
    <row r="442" spans="5:19" x14ac:dyDescent="0.75">
      <c r="E442">
        <v>437</v>
      </c>
      <c r="F442">
        <f t="shared" si="362"/>
        <v>100</v>
      </c>
      <c r="G442">
        <f t="shared" ca="1" si="363"/>
        <v>107.3938678180113</v>
      </c>
      <c r="H442">
        <f t="shared" ca="1" si="363"/>
        <v>111.91087123235756</v>
      </c>
      <c r="I442">
        <f t="shared" ca="1" si="363"/>
        <v>109.72285936759707</v>
      </c>
      <c r="J442">
        <f t="shared" ref="J442:P442" ca="1" si="409">I442*EXP(($C$6-0.5*$C$7^2)*$C$12+$C$7*SQRT($C$12)*NORMINV(RAND(),0,1))</f>
        <v>108.54066034693439</v>
      </c>
      <c r="K442">
        <f t="shared" ca="1" si="409"/>
        <v>106.41637087170282</v>
      </c>
      <c r="L442">
        <f t="shared" ca="1" si="409"/>
        <v>107.66321013153595</v>
      </c>
      <c r="M442">
        <f t="shared" ca="1" si="409"/>
        <v>109.56227811643703</v>
      </c>
      <c r="N442">
        <f t="shared" ca="1" si="409"/>
        <v>101.57372279646781</v>
      </c>
      <c r="O442">
        <f t="shared" ca="1" si="409"/>
        <v>94.124268589591452</v>
      </c>
      <c r="P442">
        <f t="shared" ca="1" si="409"/>
        <v>91.478295480179398</v>
      </c>
      <c r="Q442">
        <f t="shared" ca="1" si="364"/>
        <v>111.91087123235756</v>
      </c>
      <c r="R442">
        <f t="shared" ca="1" si="365"/>
        <v>0</v>
      </c>
      <c r="S442">
        <f t="shared" ca="1" si="366"/>
        <v>0</v>
      </c>
    </row>
    <row r="443" spans="5:19" x14ac:dyDescent="0.75">
      <c r="E443">
        <v>438</v>
      </c>
      <c r="F443">
        <f t="shared" si="362"/>
        <v>100</v>
      </c>
      <c r="G443">
        <f t="shared" ca="1" si="363"/>
        <v>100.83703856853879</v>
      </c>
      <c r="H443">
        <f t="shared" ca="1" si="363"/>
        <v>98.626697321585937</v>
      </c>
      <c r="I443">
        <f t="shared" ca="1" si="363"/>
        <v>104.15311013116359</v>
      </c>
      <c r="J443">
        <f t="shared" ref="J443:P443" ca="1" si="410">I443*EXP(($C$6-0.5*$C$7^2)*$C$12+$C$7*SQRT($C$12)*NORMINV(RAND(),0,1))</f>
        <v>116.87148443304818</v>
      </c>
      <c r="K443">
        <f t="shared" ca="1" si="410"/>
        <v>123.23224492841548</v>
      </c>
      <c r="L443">
        <f t="shared" ca="1" si="410"/>
        <v>120.77010299793075</v>
      </c>
      <c r="M443">
        <f t="shared" ca="1" si="410"/>
        <v>127.93980822439865</v>
      </c>
      <c r="N443">
        <f t="shared" ca="1" si="410"/>
        <v>126.11598321175408</v>
      </c>
      <c r="O443">
        <f t="shared" ca="1" si="410"/>
        <v>119.60036606690429</v>
      </c>
      <c r="P443">
        <f t="shared" ca="1" si="410"/>
        <v>111.0827203578763</v>
      </c>
      <c r="Q443">
        <f t="shared" ca="1" si="364"/>
        <v>127.93980822439865</v>
      </c>
      <c r="R443">
        <f t="shared" ca="1" si="365"/>
        <v>0</v>
      </c>
      <c r="S443">
        <f t="shared" ca="1" si="366"/>
        <v>0</v>
      </c>
    </row>
    <row r="444" spans="5:19" x14ac:dyDescent="0.75">
      <c r="E444">
        <v>439</v>
      </c>
      <c r="F444">
        <f t="shared" si="362"/>
        <v>100</v>
      </c>
      <c r="G444">
        <f t="shared" ca="1" si="363"/>
        <v>96.023181468455405</v>
      </c>
      <c r="H444">
        <f t="shared" ca="1" si="363"/>
        <v>90.298734040699145</v>
      </c>
      <c r="I444">
        <f t="shared" ca="1" si="363"/>
        <v>95.046527563062085</v>
      </c>
      <c r="J444">
        <f t="shared" ref="J444:P444" ca="1" si="411">I444*EXP(($C$6-0.5*$C$7^2)*$C$12+$C$7*SQRT($C$12)*NORMINV(RAND(),0,1))</f>
        <v>102.09908993420184</v>
      </c>
      <c r="K444">
        <f t="shared" ca="1" si="411"/>
        <v>102.18993505621638</v>
      </c>
      <c r="L444">
        <f t="shared" ca="1" si="411"/>
        <v>101.93390913019212</v>
      </c>
      <c r="M444">
        <f t="shared" ca="1" si="411"/>
        <v>104.83597327297339</v>
      </c>
      <c r="N444">
        <f t="shared" ca="1" si="411"/>
        <v>110.00779180477129</v>
      </c>
      <c r="O444">
        <f t="shared" ca="1" si="411"/>
        <v>106.4515789400218</v>
      </c>
      <c r="P444">
        <f t="shared" ca="1" si="411"/>
        <v>104.33249973646187</v>
      </c>
      <c r="Q444">
        <f t="shared" ca="1" si="364"/>
        <v>110.00779180477129</v>
      </c>
      <c r="R444">
        <f t="shared" ca="1" si="365"/>
        <v>0</v>
      </c>
      <c r="S444">
        <f t="shared" ca="1" si="366"/>
        <v>0</v>
      </c>
    </row>
    <row r="445" spans="5:19" x14ac:dyDescent="0.75">
      <c r="E445">
        <v>440</v>
      </c>
      <c r="F445">
        <f t="shared" si="362"/>
        <v>100</v>
      </c>
      <c r="G445">
        <f t="shared" ca="1" si="363"/>
        <v>111.74930542510762</v>
      </c>
      <c r="H445">
        <f t="shared" ca="1" si="363"/>
        <v>113.89368712943512</v>
      </c>
      <c r="I445">
        <f t="shared" ca="1" si="363"/>
        <v>116.07502476438063</v>
      </c>
      <c r="J445">
        <f t="shared" ref="J445:P445" ca="1" si="412">I445*EXP(($C$6-0.5*$C$7^2)*$C$12+$C$7*SQRT($C$12)*NORMINV(RAND(),0,1))</f>
        <v>117.62167107513523</v>
      </c>
      <c r="K445">
        <f t="shared" ca="1" si="412"/>
        <v>118.71980633415528</v>
      </c>
      <c r="L445">
        <f t="shared" ca="1" si="412"/>
        <v>122.75723971569282</v>
      </c>
      <c r="M445">
        <f t="shared" ca="1" si="412"/>
        <v>129.50390291377246</v>
      </c>
      <c r="N445">
        <f t="shared" ca="1" si="412"/>
        <v>130.60107182409277</v>
      </c>
      <c r="O445">
        <f t="shared" ca="1" si="412"/>
        <v>134.24868251540434</v>
      </c>
      <c r="P445">
        <f t="shared" ca="1" si="412"/>
        <v>139.52632116833962</v>
      </c>
      <c r="Q445">
        <f t="shared" ca="1" si="364"/>
        <v>139.52632116833962</v>
      </c>
      <c r="R445">
        <f t="shared" ca="1" si="365"/>
        <v>0</v>
      </c>
      <c r="S445">
        <f t="shared" ca="1" si="366"/>
        <v>0</v>
      </c>
    </row>
    <row r="446" spans="5:19" x14ac:dyDescent="0.75">
      <c r="E446">
        <v>441</v>
      </c>
      <c r="F446">
        <f t="shared" si="362"/>
        <v>100</v>
      </c>
      <c r="G446">
        <f t="shared" ca="1" si="363"/>
        <v>94.40516904756231</v>
      </c>
      <c r="H446">
        <f t="shared" ca="1" si="363"/>
        <v>90.644338397629767</v>
      </c>
      <c r="I446">
        <f t="shared" ca="1" si="363"/>
        <v>86.231030313713532</v>
      </c>
      <c r="J446">
        <f t="shared" ref="J446:P446" ca="1" si="413">I446*EXP(($C$6-0.5*$C$7^2)*$C$12+$C$7*SQRT($C$12)*NORMINV(RAND(),0,1))</f>
        <v>85.695608995313961</v>
      </c>
      <c r="K446">
        <f t="shared" ca="1" si="413"/>
        <v>86.064405922578899</v>
      </c>
      <c r="L446">
        <f t="shared" ca="1" si="413"/>
        <v>85.018294587678199</v>
      </c>
      <c r="M446">
        <f t="shared" ca="1" si="413"/>
        <v>82.030576142307126</v>
      </c>
      <c r="N446">
        <f t="shared" ca="1" si="413"/>
        <v>83.54963669162639</v>
      </c>
      <c r="O446">
        <f t="shared" ca="1" si="413"/>
        <v>85.784036268551858</v>
      </c>
      <c r="P446">
        <f t="shared" ca="1" si="413"/>
        <v>84.972962801789066</v>
      </c>
      <c r="Q446">
        <f t="shared" ca="1" si="364"/>
        <v>94.40516904756231</v>
      </c>
      <c r="R446">
        <f t="shared" ca="1" si="365"/>
        <v>0</v>
      </c>
      <c r="S446">
        <f t="shared" ca="1" si="366"/>
        <v>0</v>
      </c>
    </row>
    <row r="447" spans="5:19" x14ac:dyDescent="0.75">
      <c r="E447">
        <v>442</v>
      </c>
      <c r="F447">
        <f t="shared" si="362"/>
        <v>100</v>
      </c>
      <c r="G447">
        <f t="shared" ca="1" si="363"/>
        <v>103.88083175146964</v>
      </c>
      <c r="H447">
        <f t="shared" ca="1" si="363"/>
        <v>90.343244781795818</v>
      </c>
      <c r="I447">
        <f t="shared" ca="1" si="363"/>
        <v>89.642041741466471</v>
      </c>
      <c r="J447">
        <f t="shared" ref="J447:P447" ca="1" si="414">I447*EXP(($C$6-0.5*$C$7^2)*$C$12+$C$7*SQRT($C$12)*NORMINV(RAND(),0,1))</f>
        <v>90.28116304449739</v>
      </c>
      <c r="K447">
        <f t="shared" ca="1" si="414"/>
        <v>87.142428357521041</v>
      </c>
      <c r="L447">
        <f t="shared" ca="1" si="414"/>
        <v>85.17777257250988</v>
      </c>
      <c r="M447">
        <f t="shared" ca="1" si="414"/>
        <v>83.564379176698608</v>
      </c>
      <c r="N447">
        <f t="shared" ca="1" si="414"/>
        <v>82.914506932646447</v>
      </c>
      <c r="O447">
        <f t="shared" ca="1" si="414"/>
        <v>81.713748619714906</v>
      </c>
      <c r="P447">
        <f t="shared" ca="1" si="414"/>
        <v>81.240994465223849</v>
      </c>
      <c r="Q447">
        <f t="shared" ca="1" si="364"/>
        <v>103.88083175146964</v>
      </c>
      <c r="R447">
        <f t="shared" ca="1" si="365"/>
        <v>0</v>
      </c>
      <c r="S447">
        <f t="shared" ca="1" si="366"/>
        <v>0</v>
      </c>
    </row>
    <row r="448" spans="5:19" x14ac:dyDescent="0.75">
      <c r="E448">
        <v>443</v>
      </c>
      <c r="F448">
        <f t="shared" si="362"/>
        <v>100</v>
      </c>
      <c r="G448">
        <f t="shared" ca="1" si="363"/>
        <v>99.02494452117412</v>
      </c>
      <c r="H448">
        <f t="shared" ca="1" si="363"/>
        <v>102.39277907173803</v>
      </c>
      <c r="I448">
        <f t="shared" ca="1" si="363"/>
        <v>104.6192560046518</v>
      </c>
      <c r="J448">
        <f t="shared" ref="J448:P448" ca="1" si="415">I448*EXP(($C$6-0.5*$C$7^2)*$C$12+$C$7*SQRT($C$12)*NORMINV(RAND(),0,1))</f>
        <v>101.93523511270133</v>
      </c>
      <c r="K448">
        <f t="shared" ca="1" si="415"/>
        <v>100.69408883673078</v>
      </c>
      <c r="L448">
        <f t="shared" ca="1" si="415"/>
        <v>97.177424218325754</v>
      </c>
      <c r="M448">
        <f t="shared" ca="1" si="415"/>
        <v>97.251603066199408</v>
      </c>
      <c r="N448">
        <f t="shared" ca="1" si="415"/>
        <v>95.884756514960202</v>
      </c>
      <c r="O448">
        <f t="shared" ca="1" si="415"/>
        <v>95.147591688585138</v>
      </c>
      <c r="P448">
        <f t="shared" ca="1" si="415"/>
        <v>90.925335561800225</v>
      </c>
      <c r="Q448">
        <f t="shared" ca="1" si="364"/>
        <v>104.6192560046518</v>
      </c>
      <c r="R448">
        <f t="shared" ca="1" si="365"/>
        <v>0</v>
      </c>
      <c r="S448">
        <f t="shared" ca="1" si="366"/>
        <v>0</v>
      </c>
    </row>
    <row r="449" spans="5:19" x14ac:dyDescent="0.75">
      <c r="E449">
        <v>444</v>
      </c>
      <c r="F449">
        <f t="shared" si="362"/>
        <v>100</v>
      </c>
      <c r="G449">
        <f t="shared" ca="1" si="363"/>
        <v>98.993953236121541</v>
      </c>
      <c r="H449">
        <f t="shared" ca="1" si="363"/>
        <v>102.85812656625933</v>
      </c>
      <c r="I449">
        <f t="shared" ca="1" si="363"/>
        <v>101.76061182042369</v>
      </c>
      <c r="J449">
        <f t="shared" ref="J449:P449" ca="1" si="416">I449*EXP(($C$6-0.5*$C$7^2)*$C$12+$C$7*SQRT($C$12)*NORMINV(RAND(),0,1))</f>
        <v>101.65707148638737</v>
      </c>
      <c r="K449">
        <f t="shared" ca="1" si="416"/>
        <v>98.582075470150045</v>
      </c>
      <c r="L449">
        <f t="shared" ca="1" si="416"/>
        <v>99.963580440710814</v>
      </c>
      <c r="M449">
        <f t="shared" ca="1" si="416"/>
        <v>94.138294428821581</v>
      </c>
      <c r="N449">
        <f t="shared" ca="1" si="416"/>
        <v>95.102375194919361</v>
      </c>
      <c r="O449">
        <f t="shared" ca="1" si="416"/>
        <v>96.222215847069265</v>
      </c>
      <c r="P449">
        <f t="shared" ca="1" si="416"/>
        <v>94.367784267291469</v>
      </c>
      <c r="Q449">
        <f t="shared" ca="1" si="364"/>
        <v>102.85812656625933</v>
      </c>
      <c r="R449">
        <f t="shared" ca="1" si="365"/>
        <v>0</v>
      </c>
      <c r="S449">
        <f t="shared" ca="1" si="366"/>
        <v>0</v>
      </c>
    </row>
    <row r="450" spans="5:19" x14ac:dyDescent="0.75">
      <c r="E450">
        <v>445</v>
      </c>
      <c r="F450">
        <f t="shared" si="362"/>
        <v>100</v>
      </c>
      <c r="G450">
        <f t="shared" ca="1" si="363"/>
        <v>100.32110387302744</v>
      </c>
      <c r="H450">
        <f t="shared" ca="1" si="363"/>
        <v>102.46103166064067</v>
      </c>
      <c r="I450">
        <f t="shared" ca="1" si="363"/>
        <v>99.7896120284353</v>
      </c>
      <c r="J450">
        <f t="shared" ref="J450:P450" ca="1" si="417">I450*EXP(($C$6-0.5*$C$7^2)*$C$12+$C$7*SQRT($C$12)*NORMINV(RAND(),0,1))</f>
        <v>94.775398533986518</v>
      </c>
      <c r="K450">
        <f t="shared" ca="1" si="417"/>
        <v>94.286111689799085</v>
      </c>
      <c r="L450">
        <f t="shared" ca="1" si="417"/>
        <v>99.322652663253379</v>
      </c>
      <c r="M450">
        <f t="shared" ca="1" si="417"/>
        <v>93.286469156967755</v>
      </c>
      <c r="N450">
        <f t="shared" ca="1" si="417"/>
        <v>88.808456689500559</v>
      </c>
      <c r="O450">
        <f t="shared" ca="1" si="417"/>
        <v>94.248348478777345</v>
      </c>
      <c r="P450">
        <f t="shared" ca="1" si="417"/>
        <v>99.246920746432863</v>
      </c>
      <c r="Q450">
        <f t="shared" ca="1" si="364"/>
        <v>102.46103166064067</v>
      </c>
      <c r="R450">
        <f t="shared" ca="1" si="365"/>
        <v>0</v>
      </c>
      <c r="S450">
        <f t="shared" ca="1" si="366"/>
        <v>0</v>
      </c>
    </row>
    <row r="451" spans="5:19" x14ac:dyDescent="0.75">
      <c r="E451">
        <v>446</v>
      </c>
      <c r="F451">
        <f t="shared" si="362"/>
        <v>100</v>
      </c>
      <c r="G451">
        <f t="shared" ca="1" si="363"/>
        <v>101.23812055656556</v>
      </c>
      <c r="H451">
        <f t="shared" ca="1" si="363"/>
        <v>98.115266463782703</v>
      </c>
      <c r="I451">
        <f t="shared" ca="1" si="363"/>
        <v>100.495020901446</v>
      </c>
      <c r="J451">
        <f t="shared" ref="J451:P451" ca="1" si="418">I451*EXP(($C$6-0.5*$C$7^2)*$C$12+$C$7*SQRT($C$12)*NORMINV(RAND(),0,1))</f>
        <v>104.90281592278932</v>
      </c>
      <c r="K451">
        <f t="shared" ca="1" si="418"/>
        <v>102.78419098001298</v>
      </c>
      <c r="L451">
        <f t="shared" ca="1" si="418"/>
        <v>108.31425716761838</v>
      </c>
      <c r="M451">
        <f t="shared" ca="1" si="418"/>
        <v>111.65097285050955</v>
      </c>
      <c r="N451">
        <f t="shared" ca="1" si="418"/>
        <v>116.15594902567305</v>
      </c>
      <c r="O451">
        <f t="shared" ca="1" si="418"/>
        <v>120.29700851589881</v>
      </c>
      <c r="P451">
        <f t="shared" ca="1" si="418"/>
        <v>116.136688285372</v>
      </c>
      <c r="Q451">
        <f t="shared" ca="1" si="364"/>
        <v>120.29700851589881</v>
      </c>
      <c r="R451">
        <f t="shared" ca="1" si="365"/>
        <v>0</v>
      </c>
      <c r="S451">
        <f t="shared" ca="1" si="366"/>
        <v>0</v>
      </c>
    </row>
    <row r="452" spans="5:19" x14ac:dyDescent="0.75">
      <c r="E452">
        <v>447</v>
      </c>
      <c r="F452">
        <f t="shared" si="362"/>
        <v>100</v>
      </c>
      <c r="G452">
        <f t="shared" ca="1" si="363"/>
        <v>96.319703877627333</v>
      </c>
      <c r="H452">
        <f t="shared" ca="1" si="363"/>
        <v>95.518712663061962</v>
      </c>
      <c r="I452">
        <f t="shared" ca="1" si="363"/>
        <v>101.11342797492011</v>
      </c>
      <c r="J452">
        <f t="shared" ref="J452:P452" ca="1" si="419">I452*EXP(($C$6-0.5*$C$7^2)*$C$12+$C$7*SQRT($C$12)*NORMINV(RAND(),0,1))</f>
        <v>97.20763952705515</v>
      </c>
      <c r="K452">
        <f t="shared" ca="1" si="419"/>
        <v>104.64151549170701</v>
      </c>
      <c r="L452">
        <f t="shared" ca="1" si="419"/>
        <v>113.93633234790484</v>
      </c>
      <c r="M452">
        <f t="shared" ca="1" si="419"/>
        <v>113.52864327437568</v>
      </c>
      <c r="N452">
        <f t="shared" ca="1" si="419"/>
        <v>107.88640848115804</v>
      </c>
      <c r="O452">
        <f t="shared" ca="1" si="419"/>
        <v>107.06044890052858</v>
      </c>
      <c r="P452">
        <f t="shared" ca="1" si="419"/>
        <v>93.045013181912253</v>
      </c>
      <c r="Q452">
        <f t="shared" ca="1" si="364"/>
        <v>113.93633234790484</v>
      </c>
      <c r="R452">
        <f t="shared" ca="1" si="365"/>
        <v>0</v>
      </c>
      <c r="S452">
        <f t="shared" ca="1" si="366"/>
        <v>0</v>
      </c>
    </row>
    <row r="453" spans="5:19" x14ac:dyDescent="0.75">
      <c r="E453">
        <v>448</v>
      </c>
      <c r="F453">
        <f t="shared" si="362"/>
        <v>100</v>
      </c>
      <c r="G453">
        <f t="shared" ca="1" si="363"/>
        <v>95.345914364841903</v>
      </c>
      <c r="H453">
        <f t="shared" ca="1" si="363"/>
        <v>101.4262129173306</v>
      </c>
      <c r="I453">
        <f t="shared" ca="1" si="363"/>
        <v>102.10530637718585</v>
      </c>
      <c r="J453">
        <f t="shared" ref="J453:P453" ca="1" si="420">I453*EXP(($C$6-0.5*$C$7^2)*$C$12+$C$7*SQRT($C$12)*NORMINV(RAND(),0,1))</f>
        <v>102.5862358623347</v>
      </c>
      <c r="K453">
        <f t="shared" ca="1" si="420"/>
        <v>97.052654128137092</v>
      </c>
      <c r="L453">
        <f t="shared" ca="1" si="420"/>
        <v>97.475620909054257</v>
      </c>
      <c r="M453">
        <f t="shared" ca="1" si="420"/>
        <v>97.911220725005066</v>
      </c>
      <c r="N453">
        <f t="shared" ca="1" si="420"/>
        <v>100.88786870582032</v>
      </c>
      <c r="O453">
        <f t="shared" ca="1" si="420"/>
        <v>102.8660074939214</v>
      </c>
      <c r="P453">
        <f t="shared" ca="1" si="420"/>
        <v>101.13253490598792</v>
      </c>
      <c r="Q453">
        <f t="shared" ca="1" si="364"/>
        <v>102.8660074939214</v>
      </c>
      <c r="R453">
        <f t="shared" ca="1" si="365"/>
        <v>0</v>
      </c>
      <c r="S453">
        <f t="shared" ca="1" si="366"/>
        <v>0</v>
      </c>
    </row>
    <row r="454" spans="5:19" x14ac:dyDescent="0.75">
      <c r="E454">
        <v>449</v>
      </c>
      <c r="F454">
        <f t="shared" si="362"/>
        <v>100</v>
      </c>
      <c r="G454">
        <f t="shared" ca="1" si="363"/>
        <v>98.806075774680323</v>
      </c>
      <c r="H454">
        <f t="shared" ca="1" si="363"/>
        <v>99.279542681871447</v>
      </c>
      <c r="I454">
        <f t="shared" ca="1" si="363"/>
        <v>99.868103033128861</v>
      </c>
      <c r="J454">
        <f t="shared" ref="J454:P454" ca="1" si="421">I454*EXP(($C$6-0.5*$C$7^2)*$C$12+$C$7*SQRT($C$12)*NORMINV(RAND(),0,1))</f>
        <v>96.82563756013252</v>
      </c>
      <c r="K454">
        <f t="shared" ca="1" si="421"/>
        <v>96.25543863232248</v>
      </c>
      <c r="L454">
        <f t="shared" ca="1" si="421"/>
        <v>102.55713911540465</v>
      </c>
      <c r="M454">
        <f t="shared" ca="1" si="421"/>
        <v>106.56414562340879</v>
      </c>
      <c r="N454">
        <f t="shared" ca="1" si="421"/>
        <v>100.08319308230428</v>
      </c>
      <c r="O454">
        <f t="shared" ca="1" si="421"/>
        <v>112.54294705993233</v>
      </c>
      <c r="P454">
        <f t="shared" ca="1" si="421"/>
        <v>114.55110157423024</v>
      </c>
      <c r="Q454">
        <f t="shared" ca="1" si="364"/>
        <v>114.55110157423024</v>
      </c>
      <c r="R454">
        <f t="shared" ca="1" si="365"/>
        <v>0</v>
      </c>
      <c r="S454">
        <f t="shared" ca="1" si="366"/>
        <v>0</v>
      </c>
    </row>
    <row r="455" spans="5:19" x14ac:dyDescent="0.75">
      <c r="E455">
        <v>450</v>
      </c>
      <c r="F455">
        <f t="shared" ref="F455:F518" si="422">$C$5</f>
        <v>100</v>
      </c>
      <c r="G455">
        <f t="shared" ref="G455:P518" ca="1" si="423">F455*EXP(($C$6-0.5*$C$7^2)*$C$12+$C$7*SQRT($C$12)*NORMINV(RAND(),0,1))</f>
        <v>92.941807763598405</v>
      </c>
      <c r="H455">
        <f t="shared" ca="1" si="423"/>
        <v>96.916436659928678</v>
      </c>
      <c r="I455">
        <f t="shared" ca="1" si="423"/>
        <v>101.14778316389824</v>
      </c>
      <c r="J455">
        <f t="shared" ca="1" si="423"/>
        <v>92.983492230273782</v>
      </c>
      <c r="K455">
        <f t="shared" ca="1" si="423"/>
        <v>89.015141423644906</v>
      </c>
      <c r="L455">
        <f t="shared" ca="1" si="423"/>
        <v>88.145865340227857</v>
      </c>
      <c r="M455">
        <f t="shared" ca="1" si="423"/>
        <v>86.136784394274997</v>
      </c>
      <c r="N455">
        <f t="shared" ca="1" si="423"/>
        <v>91.59371135375963</v>
      </c>
      <c r="O455">
        <f t="shared" ca="1" si="423"/>
        <v>89.788982274079018</v>
      </c>
      <c r="P455">
        <f t="shared" ca="1" si="423"/>
        <v>85.840295562870352</v>
      </c>
      <c r="Q455">
        <f t="shared" ref="Q455:Q518" ca="1" si="424">MAX(G455:P455)</f>
        <v>101.14778316389824</v>
      </c>
      <c r="R455">
        <f t="shared" ref="R455:R518" ca="1" si="425">IF(Q455&gt;=$C$13,0, MAX(P455-$C$9,0))</f>
        <v>0</v>
      </c>
      <c r="S455">
        <f t="shared" ref="S455:S518" ca="1" si="426">EXP(-$C$6*$C$8)*R455</f>
        <v>0</v>
      </c>
    </row>
    <row r="456" spans="5:19" x14ac:dyDescent="0.75">
      <c r="E456">
        <v>451</v>
      </c>
      <c r="F456">
        <f t="shared" si="422"/>
        <v>100</v>
      </c>
      <c r="G456">
        <f t="shared" ca="1" si="423"/>
        <v>96.368275666957885</v>
      </c>
      <c r="H456">
        <f t="shared" ca="1" si="423"/>
        <v>94.745471608117441</v>
      </c>
      <c r="I456">
        <f t="shared" ca="1" si="423"/>
        <v>102.54943736417876</v>
      </c>
      <c r="J456">
        <f t="shared" ca="1" si="423"/>
        <v>102.88496262347543</v>
      </c>
      <c r="K456">
        <f t="shared" ca="1" si="423"/>
        <v>94.776208962292273</v>
      </c>
      <c r="L456">
        <f t="shared" ca="1" si="423"/>
        <v>98.252056900231594</v>
      </c>
      <c r="M456">
        <f t="shared" ca="1" si="423"/>
        <v>95.894551217974524</v>
      </c>
      <c r="N456">
        <f t="shared" ca="1" si="423"/>
        <v>94.263150573792913</v>
      </c>
      <c r="O456">
        <f t="shared" ca="1" si="423"/>
        <v>98.890033451732322</v>
      </c>
      <c r="P456">
        <f t="shared" ca="1" si="423"/>
        <v>106.16107141578246</v>
      </c>
      <c r="Q456">
        <f t="shared" ca="1" si="424"/>
        <v>106.16107141578246</v>
      </c>
      <c r="R456">
        <f t="shared" ca="1" si="425"/>
        <v>4.1610714157824589</v>
      </c>
      <c r="S456">
        <f t="shared" ca="1" si="426"/>
        <v>4.0583341964703994</v>
      </c>
    </row>
    <row r="457" spans="5:19" x14ac:dyDescent="0.75">
      <c r="E457">
        <v>452</v>
      </c>
      <c r="F457">
        <f t="shared" si="422"/>
        <v>100</v>
      </c>
      <c r="G457">
        <f t="shared" ca="1" si="423"/>
        <v>97.912828696717398</v>
      </c>
      <c r="H457">
        <f t="shared" ca="1" si="423"/>
        <v>91.723333728062798</v>
      </c>
      <c r="I457">
        <f t="shared" ca="1" si="423"/>
        <v>92.357278849483052</v>
      </c>
      <c r="J457">
        <f t="shared" ca="1" si="423"/>
        <v>95.350259445856906</v>
      </c>
      <c r="K457">
        <f t="shared" ca="1" si="423"/>
        <v>98.118286804073151</v>
      </c>
      <c r="L457">
        <f t="shared" ca="1" si="423"/>
        <v>92.061647155746144</v>
      </c>
      <c r="M457">
        <f t="shared" ca="1" si="423"/>
        <v>94.402283666827742</v>
      </c>
      <c r="N457">
        <f t="shared" ca="1" si="423"/>
        <v>100.21352442320777</v>
      </c>
      <c r="O457">
        <f t="shared" ca="1" si="423"/>
        <v>105.81924347999626</v>
      </c>
      <c r="P457">
        <f t="shared" ca="1" si="423"/>
        <v>103.74428013989078</v>
      </c>
      <c r="Q457">
        <f t="shared" ca="1" si="424"/>
        <v>105.81924347999626</v>
      </c>
      <c r="R457">
        <f t="shared" ca="1" si="425"/>
        <v>1.7442801398907761</v>
      </c>
      <c r="S457">
        <f t="shared" ca="1" si="426"/>
        <v>1.7012137097896405</v>
      </c>
    </row>
    <row r="458" spans="5:19" x14ac:dyDescent="0.75">
      <c r="E458">
        <v>453</v>
      </c>
      <c r="F458">
        <f t="shared" si="422"/>
        <v>100</v>
      </c>
      <c r="G458">
        <f t="shared" ca="1" si="423"/>
        <v>97.656401463199131</v>
      </c>
      <c r="H458">
        <f t="shared" ca="1" si="423"/>
        <v>88.394285114208145</v>
      </c>
      <c r="I458">
        <f t="shared" ca="1" si="423"/>
        <v>93.741408224104148</v>
      </c>
      <c r="J458">
        <f t="shared" ca="1" si="423"/>
        <v>93.371595269494264</v>
      </c>
      <c r="K458">
        <f t="shared" ca="1" si="423"/>
        <v>88.10438580951994</v>
      </c>
      <c r="L458">
        <f t="shared" ca="1" si="423"/>
        <v>88.849787175191224</v>
      </c>
      <c r="M458">
        <f t="shared" ca="1" si="423"/>
        <v>84.640896488469522</v>
      </c>
      <c r="N458">
        <f t="shared" ca="1" si="423"/>
        <v>87.464701397556198</v>
      </c>
      <c r="O458">
        <f t="shared" ca="1" si="423"/>
        <v>89.603414926058718</v>
      </c>
      <c r="P458">
        <f t="shared" ca="1" si="423"/>
        <v>84.587726141057018</v>
      </c>
      <c r="Q458">
        <f t="shared" ca="1" si="424"/>
        <v>97.656401463199131</v>
      </c>
      <c r="R458">
        <f t="shared" ca="1" si="425"/>
        <v>0</v>
      </c>
      <c r="S458">
        <f t="shared" ca="1" si="426"/>
        <v>0</v>
      </c>
    </row>
    <row r="459" spans="5:19" x14ac:dyDescent="0.75">
      <c r="E459">
        <v>454</v>
      </c>
      <c r="F459">
        <f t="shared" si="422"/>
        <v>100</v>
      </c>
      <c r="G459">
        <f t="shared" ca="1" si="423"/>
        <v>102.08345281077906</v>
      </c>
      <c r="H459">
        <f t="shared" ca="1" si="423"/>
        <v>98.425490430624976</v>
      </c>
      <c r="I459">
        <f t="shared" ca="1" si="423"/>
        <v>101.81447207580283</v>
      </c>
      <c r="J459">
        <f t="shared" ca="1" si="423"/>
        <v>108.54314900356044</v>
      </c>
      <c r="K459">
        <f t="shared" ca="1" si="423"/>
        <v>111.60892999133935</v>
      </c>
      <c r="L459">
        <f t="shared" ca="1" si="423"/>
        <v>115.29975916743825</v>
      </c>
      <c r="M459">
        <f t="shared" ca="1" si="423"/>
        <v>120.71841360150275</v>
      </c>
      <c r="N459">
        <f t="shared" ca="1" si="423"/>
        <v>119.44215036849475</v>
      </c>
      <c r="O459">
        <f t="shared" ca="1" si="423"/>
        <v>120.73127594136352</v>
      </c>
      <c r="P459">
        <f t="shared" ca="1" si="423"/>
        <v>125.26559830120479</v>
      </c>
      <c r="Q459">
        <f t="shared" ca="1" si="424"/>
        <v>125.26559830120479</v>
      </c>
      <c r="R459">
        <f t="shared" ca="1" si="425"/>
        <v>0</v>
      </c>
      <c r="S459">
        <f t="shared" ca="1" si="426"/>
        <v>0</v>
      </c>
    </row>
    <row r="460" spans="5:19" x14ac:dyDescent="0.75">
      <c r="E460">
        <v>455</v>
      </c>
      <c r="F460">
        <f t="shared" si="422"/>
        <v>100</v>
      </c>
      <c r="G460">
        <f t="shared" ca="1" si="423"/>
        <v>93.484323843342551</v>
      </c>
      <c r="H460">
        <f t="shared" ca="1" si="423"/>
        <v>97.39610512375711</v>
      </c>
      <c r="I460">
        <f t="shared" ca="1" si="423"/>
        <v>93.475359388582291</v>
      </c>
      <c r="J460">
        <f t="shared" ca="1" si="423"/>
        <v>90.374608484638514</v>
      </c>
      <c r="K460">
        <f t="shared" ca="1" si="423"/>
        <v>89.245828635465514</v>
      </c>
      <c r="L460">
        <f t="shared" ca="1" si="423"/>
        <v>96.071259756544706</v>
      </c>
      <c r="M460">
        <f t="shared" ca="1" si="423"/>
        <v>94.271771691208329</v>
      </c>
      <c r="N460">
        <f t="shared" ca="1" si="423"/>
        <v>87.217661582211477</v>
      </c>
      <c r="O460">
        <f t="shared" ca="1" si="423"/>
        <v>84.126534508037409</v>
      </c>
      <c r="P460">
        <f t="shared" ca="1" si="423"/>
        <v>81.292617160189863</v>
      </c>
      <c r="Q460">
        <f t="shared" ca="1" si="424"/>
        <v>97.39610512375711</v>
      </c>
      <c r="R460">
        <f t="shared" ca="1" si="425"/>
        <v>0</v>
      </c>
      <c r="S460">
        <f t="shared" ca="1" si="426"/>
        <v>0</v>
      </c>
    </row>
    <row r="461" spans="5:19" x14ac:dyDescent="0.75">
      <c r="E461">
        <v>456</v>
      </c>
      <c r="F461">
        <f t="shared" si="422"/>
        <v>100</v>
      </c>
      <c r="G461">
        <f t="shared" ca="1" si="423"/>
        <v>105.32699421944504</v>
      </c>
      <c r="H461">
        <f t="shared" ca="1" si="423"/>
        <v>105.06627035868415</v>
      </c>
      <c r="I461">
        <f t="shared" ca="1" si="423"/>
        <v>107.47508674772878</v>
      </c>
      <c r="J461">
        <f t="shared" ca="1" si="423"/>
        <v>113.53680008953771</v>
      </c>
      <c r="K461">
        <f t="shared" ca="1" si="423"/>
        <v>127.74574225382288</v>
      </c>
      <c r="L461">
        <f t="shared" ca="1" si="423"/>
        <v>141.42527078617798</v>
      </c>
      <c r="M461">
        <f t="shared" ca="1" si="423"/>
        <v>130.37016704409484</v>
      </c>
      <c r="N461">
        <f t="shared" ca="1" si="423"/>
        <v>134.88080766396422</v>
      </c>
      <c r="O461">
        <f t="shared" ca="1" si="423"/>
        <v>135.93800316204627</v>
      </c>
      <c r="P461">
        <f t="shared" ca="1" si="423"/>
        <v>134.32429559918634</v>
      </c>
      <c r="Q461">
        <f t="shared" ca="1" si="424"/>
        <v>141.42527078617798</v>
      </c>
      <c r="R461">
        <f t="shared" ca="1" si="425"/>
        <v>0</v>
      </c>
      <c r="S461">
        <f t="shared" ca="1" si="426"/>
        <v>0</v>
      </c>
    </row>
    <row r="462" spans="5:19" x14ac:dyDescent="0.75">
      <c r="E462">
        <v>457</v>
      </c>
      <c r="F462">
        <f t="shared" si="422"/>
        <v>100</v>
      </c>
      <c r="G462">
        <f t="shared" ca="1" si="423"/>
        <v>105.89905471717658</v>
      </c>
      <c r="H462">
        <f t="shared" ca="1" si="423"/>
        <v>112.88034966407501</v>
      </c>
      <c r="I462">
        <f t="shared" ca="1" si="423"/>
        <v>116.77155781649603</v>
      </c>
      <c r="J462">
        <f t="shared" ca="1" si="423"/>
        <v>107.74082569082267</v>
      </c>
      <c r="K462">
        <f t="shared" ca="1" si="423"/>
        <v>114.08554118779185</v>
      </c>
      <c r="L462">
        <f t="shared" ca="1" si="423"/>
        <v>108.30531701187029</v>
      </c>
      <c r="M462">
        <f t="shared" ca="1" si="423"/>
        <v>116.12487686176334</v>
      </c>
      <c r="N462">
        <f t="shared" ca="1" si="423"/>
        <v>112.34024976091088</v>
      </c>
      <c r="O462">
        <f t="shared" ca="1" si="423"/>
        <v>113.09372284399576</v>
      </c>
      <c r="P462">
        <f t="shared" ca="1" si="423"/>
        <v>110.85055019278055</v>
      </c>
      <c r="Q462">
        <f t="shared" ca="1" si="424"/>
        <v>116.77155781649603</v>
      </c>
      <c r="R462">
        <f t="shared" ca="1" si="425"/>
        <v>0</v>
      </c>
      <c r="S462">
        <f t="shared" ca="1" si="426"/>
        <v>0</v>
      </c>
    </row>
    <row r="463" spans="5:19" x14ac:dyDescent="0.75">
      <c r="E463">
        <v>458</v>
      </c>
      <c r="F463">
        <f t="shared" si="422"/>
        <v>100</v>
      </c>
      <c r="G463">
        <f t="shared" ca="1" si="423"/>
        <v>106.27618640439607</v>
      </c>
      <c r="H463">
        <f t="shared" ca="1" si="423"/>
        <v>106.26588730939979</v>
      </c>
      <c r="I463">
        <f t="shared" ca="1" si="423"/>
        <v>107.2071870655359</v>
      </c>
      <c r="J463">
        <f t="shared" ca="1" si="423"/>
        <v>109.67882438022539</v>
      </c>
      <c r="K463">
        <f t="shared" ca="1" si="423"/>
        <v>113.99927972124685</v>
      </c>
      <c r="L463">
        <f t="shared" ca="1" si="423"/>
        <v>123.20147931716924</v>
      </c>
      <c r="M463">
        <f t="shared" ca="1" si="423"/>
        <v>117.75886395084119</v>
      </c>
      <c r="N463">
        <f t="shared" ca="1" si="423"/>
        <v>124.06891691520562</v>
      </c>
      <c r="O463">
        <f t="shared" ca="1" si="423"/>
        <v>124.20648811433588</v>
      </c>
      <c r="P463">
        <f t="shared" ca="1" si="423"/>
        <v>121.19887846290572</v>
      </c>
      <c r="Q463">
        <f t="shared" ca="1" si="424"/>
        <v>124.20648811433588</v>
      </c>
      <c r="R463">
        <f t="shared" ca="1" si="425"/>
        <v>0</v>
      </c>
      <c r="S463">
        <f t="shared" ca="1" si="426"/>
        <v>0</v>
      </c>
    </row>
    <row r="464" spans="5:19" x14ac:dyDescent="0.75">
      <c r="E464">
        <v>459</v>
      </c>
      <c r="F464">
        <f t="shared" si="422"/>
        <v>100</v>
      </c>
      <c r="G464">
        <f t="shared" ca="1" si="423"/>
        <v>95.878672867647964</v>
      </c>
      <c r="H464">
        <f t="shared" ca="1" si="423"/>
        <v>97.099875837115036</v>
      </c>
      <c r="I464">
        <f t="shared" ca="1" si="423"/>
        <v>96.273763509952133</v>
      </c>
      <c r="J464">
        <f t="shared" ref="J464:P464" ca="1" si="427">I464*EXP(($C$6-0.5*$C$7^2)*$C$12+$C$7*SQRT($C$12)*NORMINV(RAND(),0,1))</f>
        <v>94.935159404056208</v>
      </c>
      <c r="K464">
        <f t="shared" ca="1" si="427"/>
        <v>105.03533508790804</v>
      </c>
      <c r="L464">
        <f t="shared" ca="1" si="427"/>
        <v>107.0554125709575</v>
      </c>
      <c r="M464">
        <f t="shared" ca="1" si="427"/>
        <v>114.97887330703206</v>
      </c>
      <c r="N464">
        <f t="shared" ca="1" si="427"/>
        <v>107.94628273779304</v>
      </c>
      <c r="O464">
        <f t="shared" ca="1" si="427"/>
        <v>105.58080562962145</v>
      </c>
      <c r="P464">
        <f t="shared" ca="1" si="427"/>
        <v>111.81024095976134</v>
      </c>
      <c r="Q464">
        <f t="shared" ca="1" si="424"/>
        <v>114.97887330703206</v>
      </c>
      <c r="R464">
        <f t="shared" ca="1" si="425"/>
        <v>0</v>
      </c>
      <c r="S464">
        <f t="shared" ca="1" si="426"/>
        <v>0</v>
      </c>
    </row>
    <row r="465" spans="5:19" x14ac:dyDescent="0.75">
      <c r="E465">
        <v>460</v>
      </c>
      <c r="F465">
        <f t="shared" si="422"/>
        <v>100</v>
      </c>
      <c r="G465">
        <f t="shared" ca="1" si="423"/>
        <v>108.1773258543605</v>
      </c>
      <c r="H465">
        <f t="shared" ca="1" si="423"/>
        <v>110.361134266486</v>
      </c>
      <c r="I465">
        <f t="shared" ca="1" si="423"/>
        <v>106.35929251810646</v>
      </c>
      <c r="J465">
        <f t="shared" ref="J465:P465" ca="1" si="428">I465*EXP(($C$6-0.5*$C$7^2)*$C$12+$C$7*SQRT($C$12)*NORMINV(RAND(),0,1))</f>
        <v>103.01168903990354</v>
      </c>
      <c r="K465">
        <f t="shared" ca="1" si="428"/>
        <v>99.839932880089634</v>
      </c>
      <c r="L465">
        <f t="shared" ca="1" si="428"/>
        <v>106.23792806396645</v>
      </c>
      <c r="M465">
        <f t="shared" ca="1" si="428"/>
        <v>106.62362764828782</v>
      </c>
      <c r="N465">
        <f t="shared" ca="1" si="428"/>
        <v>114.28169053399233</v>
      </c>
      <c r="O465">
        <f t="shared" ca="1" si="428"/>
        <v>108.32740866250468</v>
      </c>
      <c r="P465">
        <f t="shared" ca="1" si="428"/>
        <v>115.43396072712983</v>
      </c>
      <c r="Q465">
        <f t="shared" ca="1" si="424"/>
        <v>115.43396072712983</v>
      </c>
      <c r="R465">
        <f t="shared" ca="1" si="425"/>
        <v>0</v>
      </c>
      <c r="S465">
        <f t="shared" ca="1" si="426"/>
        <v>0</v>
      </c>
    </row>
    <row r="466" spans="5:19" x14ac:dyDescent="0.75">
      <c r="E466">
        <v>461</v>
      </c>
      <c r="F466">
        <f t="shared" si="422"/>
        <v>100</v>
      </c>
      <c r="G466">
        <f t="shared" ca="1" si="423"/>
        <v>97.227368498595368</v>
      </c>
      <c r="H466">
        <f t="shared" ca="1" si="423"/>
        <v>97.752001704767935</v>
      </c>
      <c r="I466">
        <f t="shared" ca="1" si="423"/>
        <v>92.771262726181575</v>
      </c>
      <c r="J466">
        <f t="shared" ref="J466:P466" ca="1" si="429">I466*EXP(($C$6-0.5*$C$7^2)*$C$12+$C$7*SQRT($C$12)*NORMINV(RAND(),0,1))</f>
        <v>95.091558878078104</v>
      </c>
      <c r="K466">
        <f t="shared" ca="1" si="429"/>
        <v>90.920181450439685</v>
      </c>
      <c r="L466">
        <f t="shared" ca="1" si="429"/>
        <v>84.232541385999909</v>
      </c>
      <c r="M466">
        <f t="shared" ca="1" si="429"/>
        <v>83.554206538749682</v>
      </c>
      <c r="N466">
        <f t="shared" ca="1" si="429"/>
        <v>84.875876708909786</v>
      </c>
      <c r="O466">
        <f t="shared" ca="1" si="429"/>
        <v>81.397382718754542</v>
      </c>
      <c r="P466">
        <f t="shared" ca="1" si="429"/>
        <v>81.631307325862906</v>
      </c>
      <c r="Q466">
        <f t="shared" ca="1" si="424"/>
        <v>97.752001704767935</v>
      </c>
      <c r="R466">
        <f t="shared" ca="1" si="425"/>
        <v>0</v>
      </c>
      <c r="S466">
        <f t="shared" ca="1" si="426"/>
        <v>0</v>
      </c>
    </row>
    <row r="467" spans="5:19" x14ac:dyDescent="0.75">
      <c r="E467">
        <v>462</v>
      </c>
      <c r="F467">
        <f t="shared" si="422"/>
        <v>100</v>
      </c>
      <c r="G467">
        <f t="shared" ca="1" si="423"/>
        <v>94.096037438390994</v>
      </c>
      <c r="H467">
        <f t="shared" ca="1" si="423"/>
        <v>88.446064042264339</v>
      </c>
      <c r="I467">
        <f t="shared" ca="1" si="423"/>
        <v>94.600529176419698</v>
      </c>
      <c r="J467">
        <f t="shared" ref="J467:P467" ca="1" si="430">I467*EXP(($C$6-0.5*$C$7^2)*$C$12+$C$7*SQRT($C$12)*NORMINV(RAND(),0,1))</f>
        <v>95.865515992108826</v>
      </c>
      <c r="K467">
        <f t="shared" ca="1" si="430"/>
        <v>103.3718143603398</v>
      </c>
      <c r="L467">
        <f t="shared" ca="1" si="430"/>
        <v>104.2188049085465</v>
      </c>
      <c r="M467">
        <f t="shared" ca="1" si="430"/>
        <v>106.08413057861118</v>
      </c>
      <c r="N467">
        <f t="shared" ca="1" si="430"/>
        <v>107.60854954486116</v>
      </c>
      <c r="O467">
        <f t="shared" ca="1" si="430"/>
        <v>99.246377283117482</v>
      </c>
      <c r="P467">
        <f t="shared" ca="1" si="430"/>
        <v>98.97016308305902</v>
      </c>
      <c r="Q467">
        <f t="shared" ca="1" si="424"/>
        <v>107.60854954486116</v>
      </c>
      <c r="R467">
        <f t="shared" ca="1" si="425"/>
        <v>0</v>
      </c>
      <c r="S467">
        <f t="shared" ca="1" si="426"/>
        <v>0</v>
      </c>
    </row>
    <row r="468" spans="5:19" x14ac:dyDescent="0.75">
      <c r="E468">
        <v>463</v>
      </c>
      <c r="F468">
        <f t="shared" si="422"/>
        <v>100</v>
      </c>
      <c r="G468">
        <f t="shared" ca="1" si="423"/>
        <v>111.94793168980361</v>
      </c>
      <c r="H468">
        <f t="shared" ca="1" si="423"/>
        <v>108.77450382675602</v>
      </c>
      <c r="I468">
        <f t="shared" ca="1" si="423"/>
        <v>109.65400273433477</v>
      </c>
      <c r="J468">
        <f t="shared" ref="J468:P468" ca="1" si="431">I468*EXP(($C$6-0.5*$C$7^2)*$C$12+$C$7*SQRT($C$12)*NORMINV(RAND(),0,1))</f>
        <v>105.15323514101962</v>
      </c>
      <c r="K468">
        <f t="shared" ca="1" si="431"/>
        <v>112.17814364035085</v>
      </c>
      <c r="L468">
        <f t="shared" ca="1" si="431"/>
        <v>110.48008939670093</v>
      </c>
      <c r="M468">
        <f t="shared" ca="1" si="431"/>
        <v>109.85364549277308</v>
      </c>
      <c r="N468">
        <f t="shared" ca="1" si="431"/>
        <v>113.35591010022584</v>
      </c>
      <c r="O468">
        <f t="shared" ca="1" si="431"/>
        <v>115.77813021307935</v>
      </c>
      <c r="P468">
        <f t="shared" ca="1" si="431"/>
        <v>116.93533255815714</v>
      </c>
      <c r="Q468">
        <f t="shared" ca="1" si="424"/>
        <v>116.93533255815714</v>
      </c>
      <c r="R468">
        <f t="shared" ca="1" si="425"/>
        <v>0</v>
      </c>
      <c r="S468">
        <f t="shared" ca="1" si="426"/>
        <v>0</v>
      </c>
    </row>
    <row r="469" spans="5:19" x14ac:dyDescent="0.75">
      <c r="E469">
        <v>464</v>
      </c>
      <c r="F469">
        <f t="shared" si="422"/>
        <v>100</v>
      </c>
      <c r="G469">
        <f t="shared" ca="1" si="423"/>
        <v>104.91315608004028</v>
      </c>
      <c r="H469">
        <f t="shared" ca="1" si="423"/>
        <v>103.90713731065662</v>
      </c>
      <c r="I469">
        <f t="shared" ca="1" si="423"/>
        <v>102.38285800874849</v>
      </c>
      <c r="J469">
        <f t="shared" ref="J469:P469" ca="1" si="432">I469*EXP(($C$6-0.5*$C$7^2)*$C$12+$C$7*SQRT($C$12)*NORMINV(RAND(),0,1))</f>
        <v>109.35404548880881</v>
      </c>
      <c r="K469">
        <f t="shared" ca="1" si="432"/>
        <v>110.29863875894334</v>
      </c>
      <c r="L469">
        <f t="shared" ca="1" si="432"/>
        <v>104.33030376079475</v>
      </c>
      <c r="M469">
        <f t="shared" ca="1" si="432"/>
        <v>113.81577757908092</v>
      </c>
      <c r="N469">
        <f t="shared" ca="1" si="432"/>
        <v>108.01076207955762</v>
      </c>
      <c r="O469">
        <f t="shared" ca="1" si="432"/>
        <v>110.73049377451407</v>
      </c>
      <c r="P469">
        <f t="shared" ca="1" si="432"/>
        <v>108.99517558647011</v>
      </c>
      <c r="Q469">
        <f t="shared" ca="1" si="424"/>
        <v>113.81577757908092</v>
      </c>
      <c r="R469">
        <f t="shared" ca="1" si="425"/>
        <v>0</v>
      </c>
      <c r="S469">
        <f t="shared" ca="1" si="426"/>
        <v>0</v>
      </c>
    </row>
    <row r="470" spans="5:19" x14ac:dyDescent="0.75">
      <c r="E470">
        <v>465</v>
      </c>
      <c r="F470">
        <f t="shared" si="422"/>
        <v>100</v>
      </c>
      <c r="G470">
        <f t="shared" ca="1" si="423"/>
        <v>97.601973837934381</v>
      </c>
      <c r="H470">
        <f t="shared" ca="1" si="423"/>
        <v>104.38761697482596</v>
      </c>
      <c r="I470">
        <f t="shared" ca="1" si="423"/>
        <v>108.50271533747355</v>
      </c>
      <c r="J470">
        <f t="shared" ref="J470:P470" ca="1" si="433">I470*EXP(($C$6-0.5*$C$7^2)*$C$12+$C$7*SQRT($C$12)*NORMINV(RAND(),0,1))</f>
        <v>113.63062048914038</v>
      </c>
      <c r="K470">
        <f t="shared" ca="1" si="433"/>
        <v>109.91290746514329</v>
      </c>
      <c r="L470">
        <f t="shared" ca="1" si="433"/>
        <v>108.40056194169777</v>
      </c>
      <c r="M470">
        <f t="shared" ca="1" si="433"/>
        <v>112.64915713124115</v>
      </c>
      <c r="N470">
        <f t="shared" ca="1" si="433"/>
        <v>106.65402568288253</v>
      </c>
      <c r="O470">
        <f t="shared" ca="1" si="433"/>
        <v>103.47778487694009</v>
      </c>
      <c r="P470">
        <f t="shared" ca="1" si="433"/>
        <v>115.30211864412497</v>
      </c>
      <c r="Q470">
        <f t="shared" ca="1" si="424"/>
        <v>115.30211864412497</v>
      </c>
      <c r="R470">
        <f t="shared" ca="1" si="425"/>
        <v>0</v>
      </c>
      <c r="S470">
        <f t="shared" ca="1" si="426"/>
        <v>0</v>
      </c>
    </row>
    <row r="471" spans="5:19" x14ac:dyDescent="0.75">
      <c r="E471">
        <v>466</v>
      </c>
      <c r="F471">
        <f t="shared" si="422"/>
        <v>100</v>
      </c>
      <c r="G471">
        <f t="shared" ca="1" si="423"/>
        <v>94.970186122826945</v>
      </c>
      <c r="H471">
        <f t="shared" ca="1" si="423"/>
        <v>88.91898106438407</v>
      </c>
      <c r="I471">
        <f t="shared" ca="1" si="423"/>
        <v>91.270355959071082</v>
      </c>
      <c r="J471">
        <f t="shared" ref="J471:P471" ca="1" si="434">I471*EXP(($C$6-0.5*$C$7^2)*$C$12+$C$7*SQRT($C$12)*NORMINV(RAND(),0,1))</f>
        <v>87.707496819933311</v>
      </c>
      <c r="K471">
        <f t="shared" ca="1" si="434"/>
        <v>86.977466189859783</v>
      </c>
      <c r="L471">
        <f t="shared" ca="1" si="434"/>
        <v>87.160536120143206</v>
      </c>
      <c r="M471">
        <f t="shared" ca="1" si="434"/>
        <v>92.928460092957096</v>
      </c>
      <c r="N471">
        <f t="shared" ca="1" si="434"/>
        <v>93.182969941715257</v>
      </c>
      <c r="O471">
        <f t="shared" ca="1" si="434"/>
        <v>92.003556991644317</v>
      </c>
      <c r="P471">
        <f t="shared" ca="1" si="434"/>
        <v>95.187169330596021</v>
      </c>
      <c r="Q471">
        <f t="shared" ca="1" si="424"/>
        <v>95.187169330596021</v>
      </c>
      <c r="R471">
        <f t="shared" ca="1" si="425"/>
        <v>0</v>
      </c>
      <c r="S471">
        <f t="shared" ca="1" si="426"/>
        <v>0</v>
      </c>
    </row>
    <row r="472" spans="5:19" x14ac:dyDescent="0.75">
      <c r="E472">
        <v>467</v>
      </c>
      <c r="F472">
        <f t="shared" si="422"/>
        <v>100</v>
      </c>
      <c r="G472">
        <f t="shared" ca="1" si="423"/>
        <v>109.74665837757081</v>
      </c>
      <c r="H472">
        <f t="shared" ca="1" si="423"/>
        <v>111.1890339868112</v>
      </c>
      <c r="I472">
        <f t="shared" ca="1" si="423"/>
        <v>107.27200415408369</v>
      </c>
      <c r="J472">
        <f t="shared" ref="J472:P472" ca="1" si="435">I472*EXP(($C$6-0.5*$C$7^2)*$C$12+$C$7*SQRT($C$12)*NORMINV(RAND(),0,1))</f>
        <v>109.01478371045964</v>
      </c>
      <c r="K472">
        <f t="shared" ca="1" si="435"/>
        <v>107.76045072371377</v>
      </c>
      <c r="L472">
        <f t="shared" ca="1" si="435"/>
        <v>102.91669815236975</v>
      </c>
      <c r="M472">
        <f t="shared" ca="1" si="435"/>
        <v>98.958681337514179</v>
      </c>
      <c r="N472">
        <f t="shared" ca="1" si="435"/>
        <v>96.616377110612675</v>
      </c>
      <c r="O472">
        <f t="shared" ca="1" si="435"/>
        <v>91.796216694985404</v>
      </c>
      <c r="P472">
        <f t="shared" ca="1" si="435"/>
        <v>92.542179332253568</v>
      </c>
      <c r="Q472">
        <f t="shared" ca="1" si="424"/>
        <v>111.1890339868112</v>
      </c>
      <c r="R472">
        <f t="shared" ca="1" si="425"/>
        <v>0</v>
      </c>
      <c r="S472">
        <f t="shared" ca="1" si="426"/>
        <v>0</v>
      </c>
    </row>
    <row r="473" spans="5:19" x14ac:dyDescent="0.75">
      <c r="E473">
        <v>468</v>
      </c>
      <c r="F473">
        <f t="shared" si="422"/>
        <v>100</v>
      </c>
      <c r="G473">
        <f t="shared" ca="1" si="423"/>
        <v>99.122106445257089</v>
      </c>
      <c r="H473">
        <f t="shared" ca="1" si="423"/>
        <v>104.90795862142684</v>
      </c>
      <c r="I473">
        <f t="shared" ca="1" si="423"/>
        <v>105.88209482171946</v>
      </c>
      <c r="J473">
        <f t="shared" ref="J473:P473" ca="1" si="436">I473*EXP(($C$6-0.5*$C$7^2)*$C$12+$C$7*SQRT($C$12)*NORMINV(RAND(),0,1))</f>
        <v>118.19079967268753</v>
      </c>
      <c r="K473">
        <f t="shared" ca="1" si="436"/>
        <v>121.50535341554068</v>
      </c>
      <c r="L473">
        <f t="shared" ca="1" si="436"/>
        <v>118.15259680173449</v>
      </c>
      <c r="M473">
        <f t="shared" ca="1" si="436"/>
        <v>119.34858409225509</v>
      </c>
      <c r="N473">
        <f t="shared" ca="1" si="436"/>
        <v>113.02566379842025</v>
      </c>
      <c r="O473">
        <f t="shared" ca="1" si="436"/>
        <v>120.81216227542492</v>
      </c>
      <c r="P473">
        <f t="shared" ca="1" si="436"/>
        <v>122.38014211698462</v>
      </c>
      <c r="Q473">
        <f t="shared" ca="1" si="424"/>
        <v>122.38014211698462</v>
      </c>
      <c r="R473">
        <f t="shared" ca="1" si="425"/>
        <v>0</v>
      </c>
      <c r="S473">
        <f t="shared" ca="1" si="426"/>
        <v>0</v>
      </c>
    </row>
    <row r="474" spans="5:19" x14ac:dyDescent="0.75">
      <c r="E474">
        <v>469</v>
      </c>
      <c r="F474">
        <f t="shared" si="422"/>
        <v>100</v>
      </c>
      <c r="G474">
        <f t="shared" ca="1" si="423"/>
        <v>111.72018924352555</v>
      </c>
      <c r="H474">
        <f t="shared" ca="1" si="423"/>
        <v>107.8243621798443</v>
      </c>
      <c r="I474">
        <f t="shared" ca="1" si="423"/>
        <v>110.13541872103758</v>
      </c>
      <c r="J474">
        <f t="shared" ref="J474:P474" ca="1" si="437">I474*EXP(($C$6-0.5*$C$7^2)*$C$12+$C$7*SQRT($C$12)*NORMINV(RAND(),0,1))</f>
        <v>110.99595386227341</v>
      </c>
      <c r="K474">
        <f t="shared" ca="1" si="437"/>
        <v>115.95182194686218</v>
      </c>
      <c r="L474">
        <f t="shared" ca="1" si="437"/>
        <v>112.19305967654159</v>
      </c>
      <c r="M474">
        <f t="shared" ca="1" si="437"/>
        <v>118.07699551626963</v>
      </c>
      <c r="N474">
        <f t="shared" ca="1" si="437"/>
        <v>118.46143453998842</v>
      </c>
      <c r="O474">
        <f t="shared" ca="1" si="437"/>
        <v>113.37366698237726</v>
      </c>
      <c r="P474">
        <f t="shared" ca="1" si="437"/>
        <v>119.28159216461761</v>
      </c>
      <c r="Q474">
        <f t="shared" ca="1" si="424"/>
        <v>119.28159216461761</v>
      </c>
      <c r="R474">
        <f t="shared" ca="1" si="425"/>
        <v>0</v>
      </c>
      <c r="S474">
        <f t="shared" ca="1" si="426"/>
        <v>0</v>
      </c>
    </row>
    <row r="475" spans="5:19" x14ac:dyDescent="0.75">
      <c r="E475">
        <v>470</v>
      </c>
      <c r="F475">
        <f t="shared" si="422"/>
        <v>100</v>
      </c>
      <c r="G475">
        <f t="shared" ca="1" si="423"/>
        <v>97.128398506876835</v>
      </c>
      <c r="H475">
        <f t="shared" ca="1" si="423"/>
        <v>97.111981497562979</v>
      </c>
      <c r="I475">
        <f t="shared" ca="1" si="423"/>
        <v>97.661097604539961</v>
      </c>
      <c r="J475">
        <f t="shared" ref="J475:P475" ca="1" si="438">I475*EXP(($C$6-0.5*$C$7^2)*$C$12+$C$7*SQRT($C$12)*NORMINV(RAND(),0,1))</f>
        <v>101.75783873726095</v>
      </c>
      <c r="K475">
        <f t="shared" ca="1" si="438"/>
        <v>108.18346214167724</v>
      </c>
      <c r="L475">
        <f t="shared" ca="1" si="438"/>
        <v>111.33941647279119</v>
      </c>
      <c r="M475">
        <f t="shared" ca="1" si="438"/>
        <v>111.0962699208409</v>
      </c>
      <c r="N475">
        <f t="shared" ca="1" si="438"/>
        <v>110.14018703903062</v>
      </c>
      <c r="O475">
        <f t="shared" ca="1" si="438"/>
        <v>105.85962015809319</v>
      </c>
      <c r="P475">
        <f t="shared" ca="1" si="438"/>
        <v>106.29344321897922</v>
      </c>
      <c r="Q475">
        <f t="shared" ca="1" si="424"/>
        <v>111.33941647279119</v>
      </c>
      <c r="R475">
        <f t="shared" ca="1" si="425"/>
        <v>0</v>
      </c>
      <c r="S475">
        <f t="shared" ca="1" si="426"/>
        <v>0</v>
      </c>
    </row>
    <row r="476" spans="5:19" x14ac:dyDescent="0.75">
      <c r="E476">
        <v>471</v>
      </c>
      <c r="F476">
        <f t="shared" si="422"/>
        <v>100</v>
      </c>
      <c r="G476">
        <f t="shared" ca="1" si="423"/>
        <v>104.05614298892594</v>
      </c>
      <c r="H476">
        <f t="shared" ca="1" si="423"/>
        <v>105.32311918400227</v>
      </c>
      <c r="I476">
        <f t="shared" ca="1" si="423"/>
        <v>98.641955760377655</v>
      </c>
      <c r="J476">
        <f t="shared" ref="J476:P476" ca="1" si="439">I476*EXP(($C$6-0.5*$C$7^2)*$C$12+$C$7*SQRT($C$12)*NORMINV(RAND(),0,1))</f>
        <v>99.879928889525942</v>
      </c>
      <c r="K476">
        <f t="shared" ca="1" si="439"/>
        <v>100.00876278139282</v>
      </c>
      <c r="L476">
        <f t="shared" ca="1" si="439"/>
        <v>102.28189331067946</v>
      </c>
      <c r="M476">
        <f t="shared" ca="1" si="439"/>
        <v>104.70269693205437</v>
      </c>
      <c r="N476">
        <f t="shared" ca="1" si="439"/>
        <v>101.94240222258726</v>
      </c>
      <c r="O476">
        <f t="shared" ca="1" si="439"/>
        <v>102.83206076654712</v>
      </c>
      <c r="P476">
        <f t="shared" ca="1" si="439"/>
        <v>104.93647405021791</v>
      </c>
      <c r="Q476">
        <f t="shared" ca="1" si="424"/>
        <v>105.32311918400227</v>
      </c>
      <c r="R476">
        <f t="shared" ca="1" si="425"/>
        <v>2.9364740502179103</v>
      </c>
      <c r="S476">
        <f t="shared" ca="1" si="426"/>
        <v>2.8639722475915117</v>
      </c>
    </row>
    <row r="477" spans="5:19" x14ac:dyDescent="0.75">
      <c r="E477">
        <v>472</v>
      </c>
      <c r="F477">
        <f t="shared" si="422"/>
        <v>100</v>
      </c>
      <c r="G477">
        <f t="shared" ca="1" si="423"/>
        <v>97.740923870007208</v>
      </c>
      <c r="H477">
        <f t="shared" ca="1" si="423"/>
        <v>99.263203826095278</v>
      </c>
      <c r="I477">
        <f t="shared" ca="1" si="423"/>
        <v>99.377992922334954</v>
      </c>
      <c r="J477">
        <f t="shared" ref="J477:P477" ca="1" si="440">I477*EXP(($C$6-0.5*$C$7^2)*$C$12+$C$7*SQRT($C$12)*NORMINV(RAND(),0,1))</f>
        <v>97.668718660403499</v>
      </c>
      <c r="K477">
        <f t="shared" ca="1" si="440"/>
        <v>91.09613646834049</v>
      </c>
      <c r="L477">
        <f t="shared" ca="1" si="440"/>
        <v>91.028530062700142</v>
      </c>
      <c r="M477">
        <f t="shared" ca="1" si="440"/>
        <v>91.584939995705625</v>
      </c>
      <c r="N477">
        <f t="shared" ca="1" si="440"/>
        <v>94.409949930630503</v>
      </c>
      <c r="O477">
        <f t="shared" ca="1" si="440"/>
        <v>94.49455295569868</v>
      </c>
      <c r="P477">
        <f t="shared" ca="1" si="440"/>
        <v>92.07581697317994</v>
      </c>
      <c r="Q477">
        <f t="shared" ca="1" si="424"/>
        <v>99.377992922334954</v>
      </c>
      <c r="R477">
        <f t="shared" ca="1" si="425"/>
        <v>0</v>
      </c>
      <c r="S477">
        <f t="shared" ca="1" si="426"/>
        <v>0</v>
      </c>
    </row>
    <row r="478" spans="5:19" x14ac:dyDescent="0.75">
      <c r="E478">
        <v>473</v>
      </c>
      <c r="F478">
        <f t="shared" si="422"/>
        <v>100</v>
      </c>
      <c r="G478">
        <f t="shared" ca="1" si="423"/>
        <v>97.777729856098972</v>
      </c>
      <c r="H478">
        <f t="shared" ca="1" si="423"/>
        <v>111.43635600422046</v>
      </c>
      <c r="I478">
        <f t="shared" ca="1" si="423"/>
        <v>110.49854599677474</v>
      </c>
      <c r="J478">
        <f t="shared" ref="J478:P478" ca="1" si="441">I478*EXP(($C$6-0.5*$C$7^2)*$C$12+$C$7*SQRT($C$12)*NORMINV(RAND(),0,1))</f>
        <v>106.33195336627102</v>
      </c>
      <c r="K478">
        <f t="shared" ca="1" si="441"/>
        <v>95.557326121205392</v>
      </c>
      <c r="L478">
        <f t="shared" ca="1" si="441"/>
        <v>96.983836498199906</v>
      </c>
      <c r="M478">
        <f t="shared" ca="1" si="441"/>
        <v>93.518724207651445</v>
      </c>
      <c r="N478">
        <f t="shared" ca="1" si="441"/>
        <v>90.454053119026057</v>
      </c>
      <c r="O478">
        <f t="shared" ca="1" si="441"/>
        <v>95.651361379495953</v>
      </c>
      <c r="P478">
        <f t="shared" ca="1" si="441"/>
        <v>92.694293346803533</v>
      </c>
      <c r="Q478">
        <f t="shared" ca="1" si="424"/>
        <v>111.43635600422046</v>
      </c>
      <c r="R478">
        <f t="shared" ca="1" si="425"/>
        <v>0</v>
      </c>
      <c r="S478">
        <f t="shared" ca="1" si="426"/>
        <v>0</v>
      </c>
    </row>
    <row r="479" spans="5:19" x14ac:dyDescent="0.75">
      <c r="E479">
        <v>474</v>
      </c>
      <c r="F479">
        <f t="shared" si="422"/>
        <v>100</v>
      </c>
      <c r="G479">
        <f t="shared" ca="1" si="423"/>
        <v>106.69506862149983</v>
      </c>
      <c r="H479">
        <f t="shared" ca="1" si="423"/>
        <v>105.90036949249856</v>
      </c>
      <c r="I479">
        <f t="shared" ca="1" si="423"/>
        <v>106.72508192662636</v>
      </c>
      <c r="J479">
        <f t="shared" ref="J479:P479" ca="1" si="442">I479*EXP(($C$6-0.5*$C$7^2)*$C$12+$C$7*SQRT($C$12)*NORMINV(RAND(),0,1))</f>
        <v>102.41085834471926</v>
      </c>
      <c r="K479">
        <f t="shared" ca="1" si="442"/>
        <v>101.02449006892746</v>
      </c>
      <c r="L479">
        <f t="shared" ca="1" si="442"/>
        <v>102.5193872161414</v>
      </c>
      <c r="M479">
        <f t="shared" ca="1" si="442"/>
        <v>101.30143363984989</v>
      </c>
      <c r="N479">
        <f t="shared" ca="1" si="442"/>
        <v>103.85150716206194</v>
      </c>
      <c r="O479">
        <f t="shared" ca="1" si="442"/>
        <v>108.0311188992704</v>
      </c>
      <c r="P479">
        <f t="shared" ca="1" si="442"/>
        <v>109.90127442832953</v>
      </c>
      <c r="Q479">
        <f t="shared" ca="1" si="424"/>
        <v>109.90127442832953</v>
      </c>
      <c r="R479">
        <f t="shared" ca="1" si="425"/>
        <v>7.9012744283295291</v>
      </c>
      <c r="S479">
        <f t="shared" ca="1" si="426"/>
        <v>7.7061912676057869</v>
      </c>
    </row>
    <row r="480" spans="5:19" x14ac:dyDescent="0.75">
      <c r="E480">
        <v>475</v>
      </c>
      <c r="F480">
        <f t="shared" si="422"/>
        <v>100</v>
      </c>
      <c r="G480">
        <f t="shared" ca="1" si="423"/>
        <v>102.91203045617105</v>
      </c>
      <c r="H480">
        <f t="shared" ca="1" si="423"/>
        <v>108.04701114682084</v>
      </c>
      <c r="I480">
        <f t="shared" ca="1" si="423"/>
        <v>106.82438169099507</v>
      </c>
      <c r="J480">
        <f t="shared" ref="J480:P480" ca="1" si="443">I480*EXP(($C$6-0.5*$C$7^2)*$C$12+$C$7*SQRT($C$12)*NORMINV(RAND(),0,1))</f>
        <v>111.46209034624248</v>
      </c>
      <c r="K480">
        <f t="shared" ca="1" si="443"/>
        <v>110.90498246301831</v>
      </c>
      <c r="L480">
        <f t="shared" ca="1" si="443"/>
        <v>113.64528360837038</v>
      </c>
      <c r="M480">
        <f t="shared" ca="1" si="443"/>
        <v>124.3540214817864</v>
      </c>
      <c r="N480">
        <f t="shared" ca="1" si="443"/>
        <v>124.49670947650924</v>
      </c>
      <c r="O480">
        <f t="shared" ca="1" si="443"/>
        <v>133.38141705227432</v>
      </c>
      <c r="P480">
        <f t="shared" ca="1" si="443"/>
        <v>130.56166146717146</v>
      </c>
      <c r="Q480">
        <f t="shared" ca="1" si="424"/>
        <v>133.38141705227432</v>
      </c>
      <c r="R480">
        <f t="shared" ca="1" si="425"/>
        <v>0</v>
      </c>
      <c r="S480">
        <f t="shared" ca="1" si="426"/>
        <v>0</v>
      </c>
    </row>
    <row r="481" spans="5:19" x14ac:dyDescent="0.75">
      <c r="E481">
        <v>476</v>
      </c>
      <c r="F481">
        <f t="shared" si="422"/>
        <v>100</v>
      </c>
      <c r="G481">
        <f t="shared" ca="1" si="423"/>
        <v>99.669170062024179</v>
      </c>
      <c r="H481">
        <f t="shared" ca="1" si="423"/>
        <v>94.977768302388867</v>
      </c>
      <c r="I481">
        <f t="shared" ca="1" si="423"/>
        <v>91.71452600907628</v>
      </c>
      <c r="J481">
        <f t="shared" ref="J481:P481" ca="1" si="444">I481*EXP(($C$6-0.5*$C$7^2)*$C$12+$C$7*SQRT($C$12)*NORMINV(RAND(),0,1))</f>
        <v>94.668829471107216</v>
      </c>
      <c r="K481">
        <f t="shared" ca="1" si="444"/>
        <v>95.373941164388597</v>
      </c>
      <c r="L481">
        <f t="shared" ca="1" si="444"/>
        <v>97.16963811784801</v>
      </c>
      <c r="M481">
        <f t="shared" ca="1" si="444"/>
        <v>101.59815293098092</v>
      </c>
      <c r="N481">
        <f t="shared" ca="1" si="444"/>
        <v>107.24404001516037</v>
      </c>
      <c r="O481">
        <f t="shared" ca="1" si="444"/>
        <v>108.36577423669834</v>
      </c>
      <c r="P481">
        <f t="shared" ca="1" si="444"/>
        <v>112.920095600916</v>
      </c>
      <c r="Q481">
        <f t="shared" ca="1" si="424"/>
        <v>112.920095600916</v>
      </c>
      <c r="R481">
        <f t="shared" ca="1" si="425"/>
        <v>0</v>
      </c>
      <c r="S481">
        <f t="shared" ca="1" si="426"/>
        <v>0</v>
      </c>
    </row>
    <row r="482" spans="5:19" x14ac:dyDescent="0.75">
      <c r="E482">
        <v>477</v>
      </c>
      <c r="F482">
        <f t="shared" si="422"/>
        <v>100</v>
      </c>
      <c r="G482">
        <f t="shared" ca="1" si="423"/>
        <v>100.40908884309533</v>
      </c>
      <c r="H482">
        <f t="shared" ca="1" si="423"/>
        <v>106.0531200990094</v>
      </c>
      <c r="I482">
        <f t="shared" ca="1" si="423"/>
        <v>106.59061283166254</v>
      </c>
      <c r="J482">
        <f t="shared" ref="J482:P482" ca="1" si="445">I482*EXP(($C$6-0.5*$C$7^2)*$C$12+$C$7*SQRT($C$12)*NORMINV(RAND(),0,1))</f>
        <v>106.17714305729791</v>
      </c>
      <c r="K482">
        <f t="shared" ca="1" si="445"/>
        <v>104.57541747489195</v>
      </c>
      <c r="L482">
        <f t="shared" ca="1" si="445"/>
        <v>115.73072478584373</v>
      </c>
      <c r="M482">
        <f t="shared" ca="1" si="445"/>
        <v>114.04809091493304</v>
      </c>
      <c r="N482">
        <f t="shared" ca="1" si="445"/>
        <v>123.4008391796592</v>
      </c>
      <c r="O482">
        <f t="shared" ca="1" si="445"/>
        <v>125.69603478431956</v>
      </c>
      <c r="P482">
        <f t="shared" ca="1" si="445"/>
        <v>129.55663909778013</v>
      </c>
      <c r="Q482">
        <f t="shared" ca="1" si="424"/>
        <v>129.55663909778013</v>
      </c>
      <c r="R482">
        <f t="shared" ca="1" si="425"/>
        <v>0</v>
      </c>
      <c r="S482">
        <f t="shared" ca="1" si="426"/>
        <v>0</v>
      </c>
    </row>
    <row r="483" spans="5:19" x14ac:dyDescent="0.75">
      <c r="E483">
        <v>478</v>
      </c>
      <c r="F483">
        <f t="shared" si="422"/>
        <v>100</v>
      </c>
      <c r="G483">
        <f t="shared" ca="1" si="423"/>
        <v>99.854241056931741</v>
      </c>
      <c r="H483">
        <f t="shared" ca="1" si="423"/>
        <v>95.791024976510982</v>
      </c>
      <c r="I483">
        <f t="shared" ca="1" si="423"/>
        <v>99.121806693793232</v>
      </c>
      <c r="J483">
        <f t="shared" ref="J483:P483" ca="1" si="446">I483*EXP(($C$6-0.5*$C$7^2)*$C$12+$C$7*SQRT($C$12)*NORMINV(RAND(),0,1))</f>
        <v>107.72426136693332</v>
      </c>
      <c r="K483">
        <f t="shared" ca="1" si="446"/>
        <v>106.28391322995789</v>
      </c>
      <c r="L483">
        <f t="shared" ca="1" si="446"/>
        <v>106.13402498845524</v>
      </c>
      <c r="M483">
        <f t="shared" ca="1" si="446"/>
        <v>111.80089494401439</v>
      </c>
      <c r="N483">
        <f t="shared" ca="1" si="446"/>
        <v>107.14472011439142</v>
      </c>
      <c r="O483">
        <f t="shared" ca="1" si="446"/>
        <v>109.19927456444051</v>
      </c>
      <c r="P483">
        <f t="shared" ca="1" si="446"/>
        <v>112.35816410248225</v>
      </c>
      <c r="Q483">
        <f t="shared" ca="1" si="424"/>
        <v>112.35816410248225</v>
      </c>
      <c r="R483">
        <f t="shared" ca="1" si="425"/>
        <v>0</v>
      </c>
      <c r="S483">
        <f t="shared" ca="1" si="426"/>
        <v>0</v>
      </c>
    </row>
    <row r="484" spans="5:19" x14ac:dyDescent="0.75">
      <c r="E484">
        <v>479</v>
      </c>
      <c r="F484">
        <f t="shared" si="422"/>
        <v>100</v>
      </c>
      <c r="G484">
        <f t="shared" ca="1" si="423"/>
        <v>98.136887683313702</v>
      </c>
      <c r="H484">
        <f t="shared" ca="1" si="423"/>
        <v>97.622142983040547</v>
      </c>
      <c r="I484">
        <f t="shared" ca="1" si="423"/>
        <v>97.86840744162275</v>
      </c>
      <c r="J484">
        <f t="shared" ref="J484:P484" ca="1" si="447">I484*EXP(($C$6-0.5*$C$7^2)*$C$12+$C$7*SQRT($C$12)*NORMINV(RAND(),0,1))</f>
        <v>89.986931252300508</v>
      </c>
      <c r="K484">
        <f t="shared" ca="1" si="447"/>
        <v>85.729390575843553</v>
      </c>
      <c r="L484">
        <f t="shared" ca="1" si="447"/>
        <v>91.020030542736095</v>
      </c>
      <c r="M484">
        <f t="shared" ca="1" si="447"/>
        <v>86.257140816456442</v>
      </c>
      <c r="N484">
        <f t="shared" ca="1" si="447"/>
        <v>87.146864285849489</v>
      </c>
      <c r="O484">
        <f t="shared" ca="1" si="447"/>
        <v>89.400206162331713</v>
      </c>
      <c r="P484">
        <f t="shared" ca="1" si="447"/>
        <v>95.455700925266953</v>
      </c>
      <c r="Q484">
        <f t="shared" ca="1" si="424"/>
        <v>98.136887683313702</v>
      </c>
      <c r="R484">
        <f t="shared" ca="1" si="425"/>
        <v>0</v>
      </c>
      <c r="S484">
        <f t="shared" ca="1" si="426"/>
        <v>0</v>
      </c>
    </row>
    <row r="485" spans="5:19" x14ac:dyDescent="0.75">
      <c r="E485">
        <v>480</v>
      </c>
      <c r="F485">
        <f t="shared" si="422"/>
        <v>100</v>
      </c>
      <c r="G485">
        <f t="shared" ca="1" si="423"/>
        <v>100.53009110405984</v>
      </c>
      <c r="H485">
        <f t="shared" ca="1" si="423"/>
        <v>103.96554958069443</v>
      </c>
      <c r="I485">
        <f t="shared" ca="1" si="423"/>
        <v>97.277449669665145</v>
      </c>
      <c r="J485">
        <f t="shared" ref="J485:P485" ca="1" si="448">I485*EXP(($C$6-0.5*$C$7^2)*$C$12+$C$7*SQRT($C$12)*NORMINV(RAND(),0,1))</f>
        <v>92.067341465897499</v>
      </c>
      <c r="K485">
        <f t="shared" ca="1" si="448"/>
        <v>94.334063866762165</v>
      </c>
      <c r="L485">
        <f t="shared" ca="1" si="448"/>
        <v>92.523121758043814</v>
      </c>
      <c r="M485">
        <f t="shared" ca="1" si="448"/>
        <v>88.746887083733952</v>
      </c>
      <c r="N485">
        <f t="shared" ca="1" si="448"/>
        <v>86.873508726482541</v>
      </c>
      <c r="O485">
        <f t="shared" ca="1" si="448"/>
        <v>85.354998489139049</v>
      </c>
      <c r="P485">
        <f t="shared" ca="1" si="448"/>
        <v>89.33954832804244</v>
      </c>
      <c r="Q485">
        <f t="shared" ca="1" si="424"/>
        <v>103.96554958069443</v>
      </c>
      <c r="R485">
        <f t="shared" ca="1" si="425"/>
        <v>0</v>
      </c>
      <c r="S485">
        <f t="shared" ca="1" si="426"/>
        <v>0</v>
      </c>
    </row>
    <row r="486" spans="5:19" x14ac:dyDescent="0.75">
      <c r="E486">
        <v>481</v>
      </c>
      <c r="F486">
        <f t="shared" si="422"/>
        <v>100</v>
      </c>
      <c r="G486">
        <f t="shared" ca="1" si="423"/>
        <v>105.96759483783948</v>
      </c>
      <c r="H486">
        <f t="shared" ca="1" si="423"/>
        <v>108.75597855272284</v>
      </c>
      <c r="I486">
        <f t="shared" ca="1" si="423"/>
        <v>113.13281756675147</v>
      </c>
      <c r="J486">
        <f t="shared" ref="J486:P486" ca="1" si="449">I486*EXP(($C$6-0.5*$C$7^2)*$C$12+$C$7*SQRT($C$12)*NORMINV(RAND(),0,1))</f>
        <v>122.39568334503859</v>
      </c>
      <c r="K486">
        <f t="shared" ca="1" si="449"/>
        <v>126.43178082662247</v>
      </c>
      <c r="L486">
        <f t="shared" ca="1" si="449"/>
        <v>121.12950603490188</v>
      </c>
      <c r="M486">
        <f t="shared" ca="1" si="449"/>
        <v>128.85979471320687</v>
      </c>
      <c r="N486">
        <f t="shared" ca="1" si="449"/>
        <v>127.01444285119391</v>
      </c>
      <c r="O486">
        <f t="shared" ca="1" si="449"/>
        <v>140.24347991913442</v>
      </c>
      <c r="P486">
        <f t="shared" ca="1" si="449"/>
        <v>135.27272813687725</v>
      </c>
      <c r="Q486">
        <f t="shared" ca="1" si="424"/>
        <v>140.24347991913442</v>
      </c>
      <c r="R486">
        <f t="shared" ca="1" si="425"/>
        <v>0</v>
      </c>
      <c r="S486">
        <f t="shared" ca="1" si="426"/>
        <v>0</v>
      </c>
    </row>
    <row r="487" spans="5:19" x14ac:dyDescent="0.75">
      <c r="E487">
        <v>482</v>
      </c>
      <c r="F487">
        <f t="shared" si="422"/>
        <v>100</v>
      </c>
      <c r="G487">
        <f t="shared" ca="1" si="423"/>
        <v>91.598679744519103</v>
      </c>
      <c r="H487">
        <f t="shared" ca="1" si="423"/>
        <v>96.472463311789738</v>
      </c>
      <c r="I487">
        <f t="shared" ca="1" si="423"/>
        <v>97.74367669370875</v>
      </c>
      <c r="J487">
        <f t="shared" ref="J487:P487" ca="1" si="450">I487*EXP(($C$6-0.5*$C$7^2)*$C$12+$C$7*SQRT($C$12)*NORMINV(RAND(),0,1))</f>
        <v>91.650351623291883</v>
      </c>
      <c r="K487">
        <f t="shared" ca="1" si="450"/>
        <v>91.026343507425878</v>
      </c>
      <c r="L487">
        <f t="shared" ca="1" si="450"/>
        <v>87.149960952774762</v>
      </c>
      <c r="M487">
        <f t="shared" ca="1" si="450"/>
        <v>93.975844583083898</v>
      </c>
      <c r="N487">
        <f t="shared" ca="1" si="450"/>
        <v>92.935813474630592</v>
      </c>
      <c r="O487">
        <f t="shared" ca="1" si="450"/>
        <v>89.819427820771935</v>
      </c>
      <c r="P487">
        <f t="shared" ca="1" si="450"/>
        <v>85.768681814851334</v>
      </c>
      <c r="Q487">
        <f t="shared" ca="1" si="424"/>
        <v>97.74367669370875</v>
      </c>
      <c r="R487">
        <f t="shared" ca="1" si="425"/>
        <v>0</v>
      </c>
      <c r="S487">
        <f t="shared" ca="1" si="426"/>
        <v>0</v>
      </c>
    </row>
    <row r="488" spans="5:19" x14ac:dyDescent="0.75">
      <c r="E488">
        <v>483</v>
      </c>
      <c r="F488">
        <f t="shared" si="422"/>
        <v>100</v>
      </c>
      <c r="G488">
        <f t="shared" ca="1" si="423"/>
        <v>100.33670925613505</v>
      </c>
      <c r="H488">
        <f t="shared" ca="1" si="423"/>
        <v>98.190718562679947</v>
      </c>
      <c r="I488">
        <f t="shared" ca="1" si="423"/>
        <v>96.958910724341393</v>
      </c>
      <c r="J488">
        <f t="shared" ref="J488:P488" ca="1" si="451">I488*EXP(($C$6-0.5*$C$7^2)*$C$12+$C$7*SQRT($C$12)*NORMINV(RAND(),0,1))</f>
        <v>95.195742969696909</v>
      </c>
      <c r="K488">
        <f t="shared" ca="1" si="451"/>
        <v>97.15858182567932</v>
      </c>
      <c r="L488">
        <f t="shared" ca="1" si="451"/>
        <v>98.727113130495226</v>
      </c>
      <c r="M488">
        <f t="shared" ca="1" si="451"/>
        <v>96.555258268760426</v>
      </c>
      <c r="N488">
        <f t="shared" ca="1" si="451"/>
        <v>99.411901147943581</v>
      </c>
      <c r="O488">
        <f t="shared" ca="1" si="451"/>
        <v>96.736956662122211</v>
      </c>
      <c r="P488">
        <f t="shared" ca="1" si="451"/>
        <v>88.847291945354812</v>
      </c>
      <c r="Q488">
        <f t="shared" ca="1" si="424"/>
        <v>100.33670925613505</v>
      </c>
      <c r="R488">
        <f t="shared" ca="1" si="425"/>
        <v>0</v>
      </c>
      <c r="S488">
        <f t="shared" ca="1" si="426"/>
        <v>0</v>
      </c>
    </row>
    <row r="489" spans="5:19" x14ac:dyDescent="0.75">
      <c r="E489">
        <v>484</v>
      </c>
      <c r="F489">
        <f t="shared" si="422"/>
        <v>100</v>
      </c>
      <c r="G489">
        <f t="shared" ca="1" si="423"/>
        <v>100.65619598426889</v>
      </c>
      <c r="H489">
        <f t="shared" ca="1" si="423"/>
        <v>102.18078289006318</v>
      </c>
      <c r="I489">
        <f t="shared" ca="1" si="423"/>
        <v>99.990495201275721</v>
      </c>
      <c r="J489">
        <f t="shared" ref="J489:P489" ca="1" si="452">I489*EXP(($C$6-0.5*$C$7^2)*$C$12+$C$7*SQRT($C$12)*NORMINV(RAND(),0,1))</f>
        <v>101.39108113479791</v>
      </c>
      <c r="K489">
        <f t="shared" ca="1" si="452"/>
        <v>103.71530732602855</v>
      </c>
      <c r="L489">
        <f t="shared" ca="1" si="452"/>
        <v>110.20979230558332</v>
      </c>
      <c r="M489">
        <f t="shared" ca="1" si="452"/>
        <v>105.20531012267848</v>
      </c>
      <c r="N489">
        <f t="shared" ca="1" si="452"/>
        <v>105.06243445268902</v>
      </c>
      <c r="O489">
        <f t="shared" ca="1" si="452"/>
        <v>108.05901045247674</v>
      </c>
      <c r="P489">
        <f t="shared" ca="1" si="452"/>
        <v>107.80504120317478</v>
      </c>
      <c r="Q489">
        <f t="shared" ca="1" si="424"/>
        <v>110.20979230558332</v>
      </c>
      <c r="R489">
        <f t="shared" ca="1" si="425"/>
        <v>0</v>
      </c>
      <c r="S489">
        <f t="shared" ca="1" si="426"/>
        <v>0</v>
      </c>
    </row>
    <row r="490" spans="5:19" x14ac:dyDescent="0.75">
      <c r="E490">
        <v>485</v>
      </c>
      <c r="F490">
        <f t="shared" si="422"/>
        <v>100</v>
      </c>
      <c r="G490">
        <f t="shared" ca="1" si="423"/>
        <v>101.78054814354201</v>
      </c>
      <c r="H490">
        <f t="shared" ca="1" si="423"/>
        <v>101.81100873623912</v>
      </c>
      <c r="I490">
        <f t="shared" ca="1" si="423"/>
        <v>108.70380006046412</v>
      </c>
      <c r="J490">
        <f t="shared" ref="J490:P490" ca="1" si="453">I490*EXP(($C$6-0.5*$C$7^2)*$C$12+$C$7*SQRT($C$12)*NORMINV(RAND(),0,1))</f>
        <v>114.2534348755743</v>
      </c>
      <c r="K490">
        <f t="shared" ca="1" si="453"/>
        <v>113.00777260581158</v>
      </c>
      <c r="L490">
        <f t="shared" ca="1" si="453"/>
        <v>119.86246590200938</v>
      </c>
      <c r="M490">
        <f t="shared" ca="1" si="453"/>
        <v>110.96098921488863</v>
      </c>
      <c r="N490">
        <f t="shared" ca="1" si="453"/>
        <v>107.72403863041444</v>
      </c>
      <c r="O490">
        <f t="shared" ca="1" si="453"/>
        <v>104.38505448020061</v>
      </c>
      <c r="P490">
        <f t="shared" ca="1" si="453"/>
        <v>102.96544529485887</v>
      </c>
      <c r="Q490">
        <f t="shared" ca="1" si="424"/>
        <v>119.86246590200938</v>
      </c>
      <c r="R490">
        <f t="shared" ca="1" si="425"/>
        <v>0</v>
      </c>
      <c r="S490">
        <f t="shared" ca="1" si="426"/>
        <v>0</v>
      </c>
    </row>
    <row r="491" spans="5:19" x14ac:dyDescent="0.75">
      <c r="E491">
        <v>486</v>
      </c>
      <c r="F491">
        <f t="shared" si="422"/>
        <v>100</v>
      </c>
      <c r="G491">
        <f t="shared" ca="1" si="423"/>
        <v>105.29977486358288</v>
      </c>
      <c r="H491">
        <f t="shared" ca="1" si="423"/>
        <v>107.28502346622093</v>
      </c>
      <c r="I491">
        <f t="shared" ca="1" si="423"/>
        <v>112.04927403706289</v>
      </c>
      <c r="J491">
        <f t="shared" ref="J491:P491" ca="1" si="454">I491*EXP(($C$6-0.5*$C$7^2)*$C$12+$C$7*SQRT($C$12)*NORMINV(RAND(),0,1))</f>
        <v>108.03640561598878</v>
      </c>
      <c r="K491">
        <f t="shared" ca="1" si="454"/>
        <v>106.47396350488651</v>
      </c>
      <c r="L491">
        <f t="shared" ca="1" si="454"/>
        <v>102.47271693715682</v>
      </c>
      <c r="M491">
        <f t="shared" ca="1" si="454"/>
        <v>104.59889967288221</v>
      </c>
      <c r="N491">
        <f t="shared" ca="1" si="454"/>
        <v>109.28708821538292</v>
      </c>
      <c r="O491">
        <f t="shared" ca="1" si="454"/>
        <v>120.56993818757169</v>
      </c>
      <c r="P491">
        <f t="shared" ca="1" si="454"/>
        <v>122.63863275375621</v>
      </c>
      <c r="Q491">
        <f t="shared" ca="1" si="424"/>
        <v>122.63863275375621</v>
      </c>
      <c r="R491">
        <f t="shared" ca="1" si="425"/>
        <v>0</v>
      </c>
      <c r="S491">
        <f t="shared" ca="1" si="426"/>
        <v>0</v>
      </c>
    </row>
    <row r="492" spans="5:19" x14ac:dyDescent="0.75">
      <c r="E492">
        <v>487</v>
      </c>
      <c r="F492">
        <f t="shared" si="422"/>
        <v>100</v>
      </c>
      <c r="G492">
        <f t="shared" ca="1" si="423"/>
        <v>100.56748667433821</v>
      </c>
      <c r="H492">
        <f t="shared" ca="1" si="423"/>
        <v>96.236864207136435</v>
      </c>
      <c r="I492">
        <f t="shared" ca="1" si="423"/>
        <v>96.648399075366243</v>
      </c>
      <c r="J492">
        <f t="shared" ref="J492:P492" ca="1" si="455">I492*EXP(($C$6-0.5*$C$7^2)*$C$12+$C$7*SQRT($C$12)*NORMINV(RAND(),0,1))</f>
        <v>97.081579869847914</v>
      </c>
      <c r="K492">
        <f t="shared" ca="1" si="455"/>
        <v>93.691141344222842</v>
      </c>
      <c r="L492">
        <f t="shared" ca="1" si="455"/>
        <v>92.567575504432568</v>
      </c>
      <c r="M492">
        <f t="shared" ca="1" si="455"/>
        <v>84.23482349322029</v>
      </c>
      <c r="N492">
        <f t="shared" ca="1" si="455"/>
        <v>90.615119669078709</v>
      </c>
      <c r="O492">
        <f t="shared" ca="1" si="455"/>
        <v>86.22640785929066</v>
      </c>
      <c r="P492">
        <f t="shared" ca="1" si="455"/>
        <v>89.012511990457725</v>
      </c>
      <c r="Q492">
        <f t="shared" ca="1" si="424"/>
        <v>100.56748667433821</v>
      </c>
      <c r="R492">
        <f t="shared" ca="1" si="425"/>
        <v>0</v>
      </c>
      <c r="S492">
        <f t="shared" ca="1" si="426"/>
        <v>0</v>
      </c>
    </row>
    <row r="493" spans="5:19" x14ac:dyDescent="0.75">
      <c r="E493">
        <v>488</v>
      </c>
      <c r="F493">
        <f t="shared" si="422"/>
        <v>100</v>
      </c>
      <c r="G493">
        <f t="shared" ca="1" si="423"/>
        <v>99.060199966121957</v>
      </c>
      <c r="H493">
        <f t="shared" ca="1" si="423"/>
        <v>101.82984563235463</v>
      </c>
      <c r="I493">
        <f t="shared" ca="1" si="423"/>
        <v>93.149746023848451</v>
      </c>
      <c r="J493">
        <f t="shared" ref="J493:P493" ca="1" si="456">I493*EXP(($C$6-0.5*$C$7^2)*$C$12+$C$7*SQRT($C$12)*NORMINV(RAND(),0,1))</f>
        <v>95.8146312364441</v>
      </c>
      <c r="K493">
        <f t="shared" ca="1" si="456"/>
        <v>98.083307959515921</v>
      </c>
      <c r="L493">
        <f t="shared" ca="1" si="456"/>
        <v>103.50444384318067</v>
      </c>
      <c r="M493">
        <f t="shared" ca="1" si="456"/>
        <v>117.0242340018382</v>
      </c>
      <c r="N493">
        <f t="shared" ca="1" si="456"/>
        <v>118.22240560368361</v>
      </c>
      <c r="O493">
        <f t="shared" ca="1" si="456"/>
        <v>111.03869651516519</v>
      </c>
      <c r="P493">
        <f t="shared" ca="1" si="456"/>
        <v>108.30989528049923</v>
      </c>
      <c r="Q493">
        <f t="shared" ca="1" si="424"/>
        <v>118.22240560368361</v>
      </c>
      <c r="R493">
        <f t="shared" ca="1" si="425"/>
        <v>0</v>
      </c>
      <c r="S493">
        <f t="shared" ca="1" si="426"/>
        <v>0</v>
      </c>
    </row>
    <row r="494" spans="5:19" x14ac:dyDescent="0.75">
      <c r="E494">
        <v>489</v>
      </c>
      <c r="F494">
        <f t="shared" si="422"/>
        <v>100</v>
      </c>
      <c r="G494">
        <f t="shared" ca="1" si="423"/>
        <v>111.5578809314849</v>
      </c>
      <c r="H494">
        <f t="shared" ca="1" si="423"/>
        <v>111.6022638425147</v>
      </c>
      <c r="I494">
        <f t="shared" ca="1" si="423"/>
        <v>104.67269474519247</v>
      </c>
      <c r="J494">
        <f t="shared" ref="J494:P494" ca="1" si="457">I494*EXP(($C$6-0.5*$C$7^2)*$C$12+$C$7*SQRT($C$12)*NORMINV(RAND(),0,1))</f>
        <v>108.29677905212772</v>
      </c>
      <c r="K494">
        <f t="shared" ca="1" si="457"/>
        <v>103.12430043127029</v>
      </c>
      <c r="L494">
        <f t="shared" ca="1" si="457"/>
        <v>113.47847142730717</v>
      </c>
      <c r="M494">
        <f t="shared" ca="1" si="457"/>
        <v>112.91818458840386</v>
      </c>
      <c r="N494">
        <f t="shared" ca="1" si="457"/>
        <v>119.74729447679022</v>
      </c>
      <c r="O494">
        <f t="shared" ca="1" si="457"/>
        <v>111.3442005658431</v>
      </c>
      <c r="P494">
        <f t="shared" ca="1" si="457"/>
        <v>117.59995480171531</v>
      </c>
      <c r="Q494">
        <f t="shared" ca="1" si="424"/>
        <v>119.74729447679022</v>
      </c>
      <c r="R494">
        <f t="shared" ca="1" si="425"/>
        <v>0</v>
      </c>
      <c r="S494">
        <f t="shared" ca="1" si="426"/>
        <v>0</v>
      </c>
    </row>
    <row r="495" spans="5:19" x14ac:dyDescent="0.75">
      <c r="E495">
        <v>490</v>
      </c>
      <c r="F495">
        <f t="shared" si="422"/>
        <v>100</v>
      </c>
      <c r="G495">
        <f t="shared" ca="1" si="423"/>
        <v>99.853338891487425</v>
      </c>
      <c r="H495">
        <f t="shared" ca="1" si="423"/>
        <v>107.16753730579062</v>
      </c>
      <c r="I495">
        <f t="shared" ca="1" si="423"/>
        <v>106.97193197677089</v>
      </c>
      <c r="J495">
        <f t="shared" ref="J495:P495" ca="1" si="458">I495*EXP(($C$6-0.5*$C$7^2)*$C$12+$C$7*SQRT($C$12)*NORMINV(RAND(),0,1))</f>
        <v>105.69323853282748</v>
      </c>
      <c r="K495">
        <f t="shared" ca="1" si="458"/>
        <v>105.86707895534585</v>
      </c>
      <c r="L495">
        <f t="shared" ca="1" si="458"/>
        <v>101.95250488250396</v>
      </c>
      <c r="M495">
        <f t="shared" ca="1" si="458"/>
        <v>103.80479271954685</v>
      </c>
      <c r="N495">
        <f t="shared" ca="1" si="458"/>
        <v>103.54877952256986</v>
      </c>
      <c r="O495">
        <f t="shared" ca="1" si="458"/>
        <v>102.88857022066631</v>
      </c>
      <c r="P495">
        <f t="shared" ca="1" si="458"/>
        <v>103.38306783179512</v>
      </c>
      <c r="Q495">
        <f t="shared" ca="1" si="424"/>
        <v>107.16753730579062</v>
      </c>
      <c r="R495">
        <f t="shared" ca="1" si="425"/>
        <v>1.3830678317951168</v>
      </c>
      <c r="S495">
        <f t="shared" ca="1" si="426"/>
        <v>1.3489197653573122</v>
      </c>
    </row>
    <row r="496" spans="5:19" x14ac:dyDescent="0.75">
      <c r="E496">
        <v>491</v>
      </c>
      <c r="F496">
        <f t="shared" si="422"/>
        <v>100</v>
      </c>
      <c r="G496">
        <f t="shared" ca="1" si="423"/>
        <v>95.986832726387235</v>
      </c>
      <c r="H496">
        <f t="shared" ca="1" si="423"/>
        <v>97.628487045823576</v>
      </c>
      <c r="I496">
        <f t="shared" ca="1" si="423"/>
        <v>103.14271756720763</v>
      </c>
      <c r="J496">
        <f t="shared" ref="J496:P496" ca="1" si="459">I496*EXP(($C$6-0.5*$C$7^2)*$C$12+$C$7*SQRT($C$12)*NORMINV(RAND(),0,1))</f>
        <v>108.38638709974722</v>
      </c>
      <c r="K496">
        <f t="shared" ca="1" si="459"/>
        <v>106.87590980737301</v>
      </c>
      <c r="L496">
        <f t="shared" ca="1" si="459"/>
        <v>107.42460874738877</v>
      </c>
      <c r="M496">
        <f t="shared" ca="1" si="459"/>
        <v>108.11809110236364</v>
      </c>
      <c r="N496">
        <f t="shared" ca="1" si="459"/>
        <v>103.91430070064739</v>
      </c>
      <c r="O496">
        <f t="shared" ca="1" si="459"/>
        <v>101.9866254529779</v>
      </c>
      <c r="P496">
        <f t="shared" ca="1" si="459"/>
        <v>108.76532844115599</v>
      </c>
      <c r="Q496">
        <f t="shared" ca="1" si="424"/>
        <v>108.76532844115599</v>
      </c>
      <c r="R496">
        <f t="shared" ca="1" si="425"/>
        <v>6.7653284411559866</v>
      </c>
      <c r="S496">
        <f t="shared" ca="1" si="426"/>
        <v>6.5982918867866216</v>
      </c>
    </row>
    <row r="497" spans="5:19" x14ac:dyDescent="0.75">
      <c r="E497">
        <v>492</v>
      </c>
      <c r="F497">
        <f t="shared" si="422"/>
        <v>100</v>
      </c>
      <c r="G497">
        <f t="shared" ca="1" si="423"/>
        <v>106.35069867175338</v>
      </c>
      <c r="H497">
        <f t="shared" ca="1" si="423"/>
        <v>104.31670534194669</v>
      </c>
      <c r="I497">
        <f t="shared" ca="1" si="423"/>
        <v>106.36175939568037</v>
      </c>
      <c r="J497">
        <f t="shared" ref="J497:P497" ca="1" si="460">I497*EXP(($C$6-0.5*$C$7^2)*$C$12+$C$7*SQRT($C$12)*NORMINV(RAND(),0,1))</f>
        <v>100.08436459404761</v>
      </c>
      <c r="K497">
        <f t="shared" ca="1" si="460"/>
        <v>102.73819113648247</v>
      </c>
      <c r="L497">
        <f t="shared" ca="1" si="460"/>
        <v>99.981584957570504</v>
      </c>
      <c r="M497">
        <f t="shared" ca="1" si="460"/>
        <v>98.722467758952121</v>
      </c>
      <c r="N497">
        <f t="shared" ca="1" si="460"/>
        <v>97.604333728482487</v>
      </c>
      <c r="O497">
        <f t="shared" ca="1" si="460"/>
        <v>95.988920840569591</v>
      </c>
      <c r="P497">
        <f t="shared" ca="1" si="460"/>
        <v>91.627094938026119</v>
      </c>
      <c r="Q497">
        <f t="shared" ca="1" si="424"/>
        <v>106.36175939568037</v>
      </c>
      <c r="R497">
        <f t="shared" ca="1" si="425"/>
        <v>0</v>
      </c>
      <c r="S497">
        <f t="shared" ca="1" si="426"/>
        <v>0</v>
      </c>
    </row>
    <row r="498" spans="5:19" x14ac:dyDescent="0.75">
      <c r="E498">
        <v>493</v>
      </c>
      <c r="F498">
        <f t="shared" si="422"/>
        <v>100</v>
      </c>
      <c r="G498">
        <f t="shared" ca="1" si="423"/>
        <v>104.6267904046595</v>
      </c>
      <c r="H498">
        <f t="shared" ca="1" si="423"/>
        <v>102.71139965555335</v>
      </c>
      <c r="I498">
        <f t="shared" ca="1" si="423"/>
        <v>104.34527910146541</v>
      </c>
      <c r="J498">
        <f t="shared" ref="J498:P498" ca="1" si="461">I498*EXP(($C$6-0.5*$C$7^2)*$C$12+$C$7*SQRT($C$12)*NORMINV(RAND(),0,1))</f>
        <v>103.00290421774901</v>
      </c>
      <c r="K498">
        <f t="shared" ca="1" si="461"/>
        <v>110.67227317597889</v>
      </c>
      <c r="L498">
        <f t="shared" ca="1" si="461"/>
        <v>110.05369875460143</v>
      </c>
      <c r="M498">
        <f t="shared" ca="1" si="461"/>
        <v>115.69308054621965</v>
      </c>
      <c r="N498">
        <f t="shared" ca="1" si="461"/>
        <v>111.5348935032292</v>
      </c>
      <c r="O498">
        <f t="shared" ca="1" si="461"/>
        <v>117.01045751617991</v>
      </c>
      <c r="P498">
        <f t="shared" ca="1" si="461"/>
        <v>122.08385984572111</v>
      </c>
      <c r="Q498">
        <f t="shared" ca="1" si="424"/>
        <v>122.08385984572111</v>
      </c>
      <c r="R498">
        <f t="shared" ca="1" si="425"/>
        <v>0</v>
      </c>
      <c r="S498">
        <f t="shared" ca="1" si="426"/>
        <v>0</v>
      </c>
    </row>
    <row r="499" spans="5:19" x14ac:dyDescent="0.75">
      <c r="E499">
        <v>494</v>
      </c>
      <c r="F499">
        <f t="shared" si="422"/>
        <v>100</v>
      </c>
      <c r="G499">
        <f t="shared" ca="1" si="423"/>
        <v>100.09585063816624</v>
      </c>
      <c r="H499">
        <f t="shared" ca="1" si="423"/>
        <v>106.10039218719079</v>
      </c>
      <c r="I499">
        <f t="shared" ca="1" si="423"/>
        <v>107.64378228483505</v>
      </c>
      <c r="J499">
        <f t="shared" ref="J499:P499" ca="1" si="462">I499*EXP(($C$6-0.5*$C$7^2)*$C$12+$C$7*SQRT($C$12)*NORMINV(RAND(),0,1))</f>
        <v>110.61822373009669</v>
      </c>
      <c r="K499">
        <f t="shared" ca="1" si="462"/>
        <v>111.86183200758762</v>
      </c>
      <c r="L499">
        <f t="shared" ca="1" si="462"/>
        <v>112.3198016480263</v>
      </c>
      <c r="M499">
        <f t="shared" ca="1" si="462"/>
        <v>98.617903301180277</v>
      </c>
      <c r="N499">
        <f t="shared" ca="1" si="462"/>
        <v>92.322293043438179</v>
      </c>
      <c r="O499">
        <f t="shared" ca="1" si="462"/>
        <v>83.661547507917305</v>
      </c>
      <c r="P499">
        <f t="shared" ca="1" si="462"/>
        <v>84.043341816451132</v>
      </c>
      <c r="Q499">
        <f t="shared" ca="1" si="424"/>
        <v>112.3198016480263</v>
      </c>
      <c r="R499">
        <f t="shared" ca="1" si="425"/>
        <v>0</v>
      </c>
      <c r="S499">
        <f t="shared" ca="1" si="426"/>
        <v>0</v>
      </c>
    </row>
    <row r="500" spans="5:19" x14ac:dyDescent="0.75">
      <c r="E500">
        <v>495</v>
      </c>
      <c r="F500">
        <f t="shared" si="422"/>
        <v>100</v>
      </c>
      <c r="G500">
        <f t="shared" ca="1" si="423"/>
        <v>103.55622759498866</v>
      </c>
      <c r="H500">
        <f t="shared" ca="1" si="423"/>
        <v>108.79408041366457</v>
      </c>
      <c r="I500">
        <f t="shared" ca="1" si="423"/>
        <v>102.21539421523238</v>
      </c>
      <c r="J500">
        <f t="shared" ref="J500:P500" ca="1" si="463">I500*EXP(($C$6-0.5*$C$7^2)*$C$12+$C$7*SQRT($C$12)*NORMINV(RAND(),0,1))</f>
        <v>100.86597638539205</v>
      </c>
      <c r="K500">
        <f t="shared" ca="1" si="463"/>
        <v>97.014063782846662</v>
      </c>
      <c r="L500">
        <f t="shared" ca="1" si="463"/>
        <v>95.763327019629713</v>
      </c>
      <c r="M500">
        <f t="shared" ca="1" si="463"/>
        <v>101.31883327211102</v>
      </c>
      <c r="N500">
        <f t="shared" ca="1" si="463"/>
        <v>107.54372908455376</v>
      </c>
      <c r="O500">
        <f t="shared" ca="1" si="463"/>
        <v>117.98260188407437</v>
      </c>
      <c r="P500">
        <f t="shared" ca="1" si="463"/>
        <v>124.53203987100412</v>
      </c>
      <c r="Q500">
        <f t="shared" ca="1" si="424"/>
        <v>124.53203987100412</v>
      </c>
      <c r="R500">
        <f t="shared" ca="1" si="425"/>
        <v>0</v>
      </c>
      <c r="S500">
        <f t="shared" ca="1" si="426"/>
        <v>0</v>
      </c>
    </row>
    <row r="501" spans="5:19" x14ac:dyDescent="0.75">
      <c r="E501">
        <v>496</v>
      </c>
      <c r="F501">
        <f t="shared" si="422"/>
        <v>100</v>
      </c>
      <c r="G501">
        <f t="shared" ca="1" si="423"/>
        <v>98.435606950998292</v>
      </c>
      <c r="H501">
        <f t="shared" ca="1" si="423"/>
        <v>91.616034651377916</v>
      </c>
      <c r="I501">
        <f t="shared" ca="1" si="423"/>
        <v>90.378053645292908</v>
      </c>
      <c r="J501">
        <f t="shared" ref="J501:P501" ca="1" si="464">I501*EXP(($C$6-0.5*$C$7^2)*$C$12+$C$7*SQRT($C$12)*NORMINV(RAND(),0,1))</f>
        <v>86.803776999426987</v>
      </c>
      <c r="K501">
        <f t="shared" ca="1" si="464"/>
        <v>89.846323683205128</v>
      </c>
      <c r="L501">
        <f t="shared" ca="1" si="464"/>
        <v>94.13180926562795</v>
      </c>
      <c r="M501">
        <f t="shared" ca="1" si="464"/>
        <v>89.947261676803222</v>
      </c>
      <c r="N501">
        <f t="shared" ca="1" si="464"/>
        <v>86.851628794633157</v>
      </c>
      <c r="O501">
        <f t="shared" ca="1" si="464"/>
        <v>82.394399641791907</v>
      </c>
      <c r="P501">
        <f t="shared" ca="1" si="464"/>
        <v>81.527823550847714</v>
      </c>
      <c r="Q501">
        <f t="shared" ca="1" si="424"/>
        <v>98.435606950998292</v>
      </c>
      <c r="R501">
        <f t="shared" ca="1" si="425"/>
        <v>0</v>
      </c>
      <c r="S501">
        <f t="shared" ca="1" si="426"/>
        <v>0</v>
      </c>
    </row>
    <row r="502" spans="5:19" x14ac:dyDescent="0.75">
      <c r="E502">
        <v>497</v>
      </c>
      <c r="F502">
        <f t="shared" si="422"/>
        <v>100</v>
      </c>
      <c r="G502">
        <f t="shared" ca="1" si="423"/>
        <v>98.633649440519136</v>
      </c>
      <c r="H502">
        <f t="shared" ca="1" si="423"/>
        <v>98.97246533075409</v>
      </c>
      <c r="I502">
        <f t="shared" ca="1" si="423"/>
        <v>101.66094673913101</v>
      </c>
      <c r="J502">
        <f t="shared" ref="J502:P502" ca="1" si="465">I502*EXP(($C$6-0.5*$C$7^2)*$C$12+$C$7*SQRT($C$12)*NORMINV(RAND(),0,1))</f>
        <v>104.51728839846244</v>
      </c>
      <c r="K502">
        <f t="shared" ca="1" si="465"/>
        <v>106.59627051861526</v>
      </c>
      <c r="L502">
        <f t="shared" ca="1" si="465"/>
        <v>108.61875874298683</v>
      </c>
      <c r="M502">
        <f t="shared" ca="1" si="465"/>
        <v>104.16082464501245</v>
      </c>
      <c r="N502">
        <f t="shared" ca="1" si="465"/>
        <v>99.284979813839783</v>
      </c>
      <c r="O502">
        <f t="shared" ca="1" si="465"/>
        <v>99.691442934727036</v>
      </c>
      <c r="P502">
        <f t="shared" ca="1" si="465"/>
        <v>99.470568496905045</v>
      </c>
      <c r="Q502">
        <f t="shared" ca="1" si="424"/>
        <v>108.61875874298683</v>
      </c>
      <c r="R502">
        <f t="shared" ca="1" si="425"/>
        <v>0</v>
      </c>
      <c r="S502">
        <f t="shared" ca="1" si="426"/>
        <v>0</v>
      </c>
    </row>
    <row r="503" spans="5:19" x14ac:dyDescent="0.75">
      <c r="E503">
        <v>498</v>
      </c>
      <c r="F503">
        <f t="shared" si="422"/>
        <v>100</v>
      </c>
      <c r="G503">
        <f t="shared" ca="1" si="423"/>
        <v>100.55428040021556</v>
      </c>
      <c r="H503">
        <f t="shared" ca="1" si="423"/>
        <v>107.40584224776995</v>
      </c>
      <c r="I503">
        <f t="shared" ca="1" si="423"/>
        <v>99.808963609489794</v>
      </c>
      <c r="J503">
        <f t="shared" ref="J503:P503" ca="1" si="466">I503*EXP(($C$6-0.5*$C$7^2)*$C$12+$C$7*SQRT($C$12)*NORMINV(RAND(),0,1))</f>
        <v>98.698213381953593</v>
      </c>
      <c r="K503">
        <f t="shared" ca="1" si="466"/>
        <v>103.56062224232387</v>
      </c>
      <c r="L503">
        <f t="shared" ca="1" si="466"/>
        <v>108.29537416840311</v>
      </c>
      <c r="M503">
        <f t="shared" ca="1" si="466"/>
        <v>100.02297872167733</v>
      </c>
      <c r="N503">
        <f t="shared" ca="1" si="466"/>
        <v>88.53040789429113</v>
      </c>
      <c r="O503">
        <f t="shared" ca="1" si="466"/>
        <v>82.342671006367283</v>
      </c>
      <c r="P503">
        <f t="shared" ca="1" si="466"/>
        <v>87.530484177966557</v>
      </c>
      <c r="Q503">
        <f t="shared" ca="1" si="424"/>
        <v>108.29537416840311</v>
      </c>
      <c r="R503">
        <f t="shared" ca="1" si="425"/>
        <v>0</v>
      </c>
      <c r="S503">
        <f t="shared" ca="1" si="426"/>
        <v>0</v>
      </c>
    </row>
    <row r="504" spans="5:19" x14ac:dyDescent="0.75">
      <c r="E504">
        <v>499</v>
      </c>
      <c r="F504">
        <f t="shared" si="422"/>
        <v>100</v>
      </c>
      <c r="G504">
        <f t="shared" ca="1" si="423"/>
        <v>101.20443644666506</v>
      </c>
      <c r="H504">
        <f t="shared" ca="1" si="423"/>
        <v>102.27346075755364</v>
      </c>
      <c r="I504">
        <f t="shared" ca="1" si="423"/>
        <v>99.617842673778441</v>
      </c>
      <c r="J504">
        <f t="shared" ref="J504:P504" ca="1" si="467">I504*EXP(($C$6-0.5*$C$7^2)*$C$12+$C$7*SQRT($C$12)*NORMINV(RAND(),0,1))</f>
        <v>98.081094413839793</v>
      </c>
      <c r="K504">
        <f t="shared" ca="1" si="467"/>
        <v>102.4772796069946</v>
      </c>
      <c r="L504">
        <f t="shared" ca="1" si="467"/>
        <v>104.21721869485503</v>
      </c>
      <c r="M504">
        <f t="shared" ca="1" si="467"/>
        <v>110.84205302527812</v>
      </c>
      <c r="N504">
        <f t="shared" ca="1" si="467"/>
        <v>103.61599131561958</v>
      </c>
      <c r="O504">
        <f t="shared" ca="1" si="467"/>
        <v>101.64353185628308</v>
      </c>
      <c r="P504">
        <f t="shared" ca="1" si="467"/>
        <v>106.40087886340829</v>
      </c>
      <c r="Q504">
        <f t="shared" ca="1" si="424"/>
        <v>110.84205302527812</v>
      </c>
      <c r="R504">
        <f t="shared" ca="1" si="425"/>
        <v>0</v>
      </c>
      <c r="S504">
        <f t="shared" ca="1" si="426"/>
        <v>0</v>
      </c>
    </row>
    <row r="505" spans="5:19" x14ac:dyDescent="0.75">
      <c r="E505">
        <v>500</v>
      </c>
      <c r="F505">
        <f t="shared" si="422"/>
        <v>100</v>
      </c>
      <c r="G505">
        <f t="shared" ca="1" si="423"/>
        <v>100.44577872488696</v>
      </c>
      <c r="H505">
        <f t="shared" ca="1" si="423"/>
        <v>94.43020464191811</v>
      </c>
      <c r="I505">
        <f t="shared" ca="1" si="423"/>
        <v>98.047654013137176</v>
      </c>
      <c r="J505">
        <f t="shared" ref="J505:P505" ca="1" si="468">I505*EXP(($C$6-0.5*$C$7^2)*$C$12+$C$7*SQRT($C$12)*NORMINV(RAND(),0,1))</f>
        <v>96.605405944653967</v>
      </c>
      <c r="K505">
        <f t="shared" ca="1" si="468"/>
        <v>92.74947717265816</v>
      </c>
      <c r="L505">
        <f t="shared" ca="1" si="468"/>
        <v>94.548676108991131</v>
      </c>
      <c r="M505">
        <f t="shared" ca="1" si="468"/>
        <v>95.366403882174936</v>
      </c>
      <c r="N505">
        <f t="shared" ca="1" si="468"/>
        <v>100.75057482979605</v>
      </c>
      <c r="O505">
        <f t="shared" ca="1" si="468"/>
        <v>104.79496029637576</v>
      </c>
      <c r="P505">
        <f t="shared" ca="1" si="468"/>
        <v>109.34066517835284</v>
      </c>
      <c r="Q505">
        <f t="shared" ca="1" si="424"/>
        <v>109.34066517835284</v>
      </c>
      <c r="R505">
        <f t="shared" ca="1" si="425"/>
        <v>7.3406651783528361</v>
      </c>
      <c r="S505">
        <f t="shared" ca="1" si="426"/>
        <v>7.1594235093287493</v>
      </c>
    </row>
    <row r="506" spans="5:19" x14ac:dyDescent="0.75">
      <c r="E506">
        <v>501</v>
      </c>
      <c r="F506">
        <f t="shared" si="422"/>
        <v>100</v>
      </c>
      <c r="G506">
        <f t="shared" ca="1" si="423"/>
        <v>97.999708848900326</v>
      </c>
      <c r="H506">
        <f t="shared" ca="1" si="423"/>
        <v>104.14028954093595</v>
      </c>
      <c r="I506">
        <f t="shared" ca="1" si="423"/>
        <v>100.59050372073645</v>
      </c>
      <c r="J506">
        <f t="shared" ref="J506:P506" ca="1" si="469">I506*EXP(($C$6-0.5*$C$7^2)*$C$12+$C$7*SQRT($C$12)*NORMINV(RAND(),0,1))</f>
        <v>102.00350559577649</v>
      </c>
      <c r="K506">
        <f t="shared" ca="1" si="469"/>
        <v>111.94571267239698</v>
      </c>
      <c r="L506">
        <f t="shared" ca="1" si="469"/>
        <v>115.3689447353274</v>
      </c>
      <c r="M506">
        <f t="shared" ca="1" si="469"/>
        <v>111.52379648938249</v>
      </c>
      <c r="N506">
        <f t="shared" ca="1" si="469"/>
        <v>111.1960217705215</v>
      </c>
      <c r="O506">
        <f t="shared" ca="1" si="469"/>
        <v>108.689656379029</v>
      </c>
      <c r="P506">
        <f t="shared" ca="1" si="469"/>
        <v>110.07213385351483</v>
      </c>
      <c r="Q506">
        <f t="shared" ca="1" si="424"/>
        <v>115.3689447353274</v>
      </c>
      <c r="R506">
        <f t="shared" ca="1" si="425"/>
        <v>0</v>
      </c>
      <c r="S506">
        <f t="shared" ca="1" si="426"/>
        <v>0</v>
      </c>
    </row>
    <row r="507" spans="5:19" x14ac:dyDescent="0.75">
      <c r="E507">
        <v>502</v>
      </c>
      <c r="F507">
        <f t="shared" si="422"/>
        <v>100</v>
      </c>
      <c r="G507">
        <f t="shared" ca="1" si="423"/>
        <v>97.53596400011007</v>
      </c>
      <c r="H507">
        <f t="shared" ca="1" si="423"/>
        <v>97.827849466762558</v>
      </c>
      <c r="I507">
        <f t="shared" ca="1" si="423"/>
        <v>98.419546390445447</v>
      </c>
      <c r="J507">
        <f t="shared" ref="J507:P507" ca="1" si="470">I507*EXP(($C$6-0.5*$C$7^2)*$C$12+$C$7*SQRT($C$12)*NORMINV(RAND(),0,1))</f>
        <v>94.654107599204778</v>
      </c>
      <c r="K507">
        <f t="shared" ca="1" si="470"/>
        <v>93.763925949922594</v>
      </c>
      <c r="L507">
        <f t="shared" ca="1" si="470"/>
        <v>94.938997432264998</v>
      </c>
      <c r="M507">
        <f t="shared" ca="1" si="470"/>
        <v>99.417489436511204</v>
      </c>
      <c r="N507">
        <f t="shared" ca="1" si="470"/>
        <v>97.75786046465808</v>
      </c>
      <c r="O507">
        <f t="shared" ca="1" si="470"/>
        <v>96.771178894514264</v>
      </c>
      <c r="P507">
        <f t="shared" ca="1" si="470"/>
        <v>93.59507690357519</v>
      </c>
      <c r="Q507">
        <f t="shared" ca="1" si="424"/>
        <v>99.417489436511204</v>
      </c>
      <c r="R507">
        <f t="shared" ca="1" si="425"/>
        <v>0</v>
      </c>
      <c r="S507">
        <f t="shared" ca="1" si="426"/>
        <v>0</v>
      </c>
    </row>
    <row r="508" spans="5:19" x14ac:dyDescent="0.75">
      <c r="E508">
        <v>503</v>
      </c>
      <c r="F508">
        <f t="shared" si="422"/>
        <v>100</v>
      </c>
      <c r="G508">
        <f t="shared" ca="1" si="423"/>
        <v>96.161285591336508</v>
      </c>
      <c r="H508">
        <f t="shared" ca="1" si="423"/>
        <v>95.592430422029253</v>
      </c>
      <c r="I508">
        <f t="shared" ca="1" si="423"/>
        <v>98.894128867966614</v>
      </c>
      <c r="J508">
        <f t="shared" ref="J508:P508" ca="1" si="471">I508*EXP(($C$6-0.5*$C$7^2)*$C$12+$C$7*SQRT($C$12)*NORMINV(RAND(),0,1))</f>
        <v>99.383922635128087</v>
      </c>
      <c r="K508">
        <f t="shared" ca="1" si="471"/>
        <v>102.41312005939743</v>
      </c>
      <c r="L508">
        <f t="shared" ca="1" si="471"/>
        <v>96.348918449350322</v>
      </c>
      <c r="M508">
        <f t="shared" ca="1" si="471"/>
        <v>96.562359056854476</v>
      </c>
      <c r="N508">
        <f t="shared" ca="1" si="471"/>
        <v>98.563852161535962</v>
      </c>
      <c r="O508">
        <f t="shared" ca="1" si="471"/>
        <v>108.52522890274133</v>
      </c>
      <c r="P508">
        <f t="shared" ca="1" si="471"/>
        <v>107.26276780382791</v>
      </c>
      <c r="Q508">
        <f t="shared" ca="1" si="424"/>
        <v>108.52522890274133</v>
      </c>
      <c r="R508">
        <f t="shared" ca="1" si="425"/>
        <v>5.2627678038279129</v>
      </c>
      <c r="S508">
        <f t="shared" ca="1" si="426"/>
        <v>5.1328296037769432</v>
      </c>
    </row>
    <row r="509" spans="5:19" x14ac:dyDescent="0.75">
      <c r="E509">
        <v>504</v>
      </c>
      <c r="F509">
        <f t="shared" si="422"/>
        <v>100</v>
      </c>
      <c r="G509">
        <f t="shared" ca="1" si="423"/>
        <v>94.154079893329396</v>
      </c>
      <c r="H509">
        <f t="shared" ca="1" si="423"/>
        <v>95.139634446875618</v>
      </c>
      <c r="I509">
        <f t="shared" ca="1" si="423"/>
        <v>88.721612522673766</v>
      </c>
      <c r="J509">
        <f t="shared" ref="J509:P509" ca="1" si="472">I509*EXP(($C$6-0.5*$C$7^2)*$C$12+$C$7*SQRT($C$12)*NORMINV(RAND(),0,1))</f>
        <v>96.080959941952145</v>
      </c>
      <c r="K509">
        <f t="shared" ca="1" si="472"/>
        <v>97.432906860246533</v>
      </c>
      <c r="L509">
        <f t="shared" ca="1" si="472"/>
        <v>101.64321790964114</v>
      </c>
      <c r="M509">
        <f t="shared" ca="1" si="472"/>
        <v>110.69107030766695</v>
      </c>
      <c r="N509">
        <f t="shared" ca="1" si="472"/>
        <v>112.45745255638194</v>
      </c>
      <c r="O509">
        <f t="shared" ca="1" si="472"/>
        <v>108.71893478203239</v>
      </c>
      <c r="P509">
        <f t="shared" ca="1" si="472"/>
        <v>106.90698627422096</v>
      </c>
      <c r="Q509">
        <f t="shared" ca="1" si="424"/>
        <v>112.45745255638194</v>
      </c>
      <c r="R509">
        <f t="shared" ca="1" si="425"/>
        <v>0</v>
      </c>
      <c r="S509">
        <f t="shared" ca="1" si="426"/>
        <v>0</v>
      </c>
    </row>
    <row r="510" spans="5:19" x14ac:dyDescent="0.75">
      <c r="E510">
        <v>505</v>
      </c>
      <c r="F510">
        <f t="shared" si="422"/>
        <v>100</v>
      </c>
      <c r="G510">
        <f t="shared" ca="1" si="423"/>
        <v>94.805822995602611</v>
      </c>
      <c r="H510">
        <f t="shared" ca="1" si="423"/>
        <v>93.793722091159836</v>
      </c>
      <c r="I510">
        <f t="shared" ca="1" si="423"/>
        <v>85.287509653824742</v>
      </c>
      <c r="J510">
        <f t="shared" ref="J510:P510" ca="1" si="473">I510*EXP(($C$6-0.5*$C$7^2)*$C$12+$C$7*SQRT($C$12)*NORMINV(RAND(),0,1))</f>
        <v>82.781559004370038</v>
      </c>
      <c r="K510">
        <f t="shared" ca="1" si="473"/>
        <v>84.591033560751356</v>
      </c>
      <c r="L510">
        <f t="shared" ca="1" si="473"/>
        <v>85.645554796843996</v>
      </c>
      <c r="M510">
        <f t="shared" ca="1" si="473"/>
        <v>79.494555542656045</v>
      </c>
      <c r="N510">
        <f t="shared" ca="1" si="473"/>
        <v>83.797078383943528</v>
      </c>
      <c r="O510">
        <f t="shared" ca="1" si="473"/>
        <v>82.77791105001431</v>
      </c>
      <c r="P510">
        <f t="shared" ca="1" si="473"/>
        <v>86.231405274655145</v>
      </c>
      <c r="Q510">
        <f t="shared" ca="1" si="424"/>
        <v>94.805822995602611</v>
      </c>
      <c r="R510">
        <f t="shared" ca="1" si="425"/>
        <v>0</v>
      </c>
      <c r="S510">
        <f t="shared" ca="1" si="426"/>
        <v>0</v>
      </c>
    </row>
    <row r="511" spans="5:19" x14ac:dyDescent="0.75">
      <c r="E511">
        <v>506</v>
      </c>
      <c r="F511">
        <f t="shared" si="422"/>
        <v>100</v>
      </c>
      <c r="G511">
        <f t="shared" ca="1" si="423"/>
        <v>97.211476955832893</v>
      </c>
      <c r="H511">
        <f t="shared" ca="1" si="423"/>
        <v>94.669751992759586</v>
      </c>
      <c r="I511">
        <f t="shared" ca="1" si="423"/>
        <v>98.146090756941604</v>
      </c>
      <c r="J511">
        <f t="shared" ref="J511:P511" ca="1" si="474">I511*EXP(($C$6-0.5*$C$7^2)*$C$12+$C$7*SQRT($C$12)*NORMINV(RAND(),0,1))</f>
        <v>98.979817107341034</v>
      </c>
      <c r="K511">
        <f t="shared" ca="1" si="474"/>
        <v>91.674601864676177</v>
      </c>
      <c r="L511">
        <f t="shared" ca="1" si="474"/>
        <v>98.085783816953693</v>
      </c>
      <c r="M511">
        <f t="shared" ca="1" si="474"/>
        <v>96.891423033847786</v>
      </c>
      <c r="N511">
        <f t="shared" ca="1" si="474"/>
        <v>91.131493375814401</v>
      </c>
      <c r="O511">
        <f t="shared" ca="1" si="474"/>
        <v>92.341787084817156</v>
      </c>
      <c r="P511">
        <f t="shared" ca="1" si="474"/>
        <v>95.4931237710625</v>
      </c>
      <c r="Q511">
        <f t="shared" ca="1" si="424"/>
        <v>98.979817107341034</v>
      </c>
      <c r="R511">
        <f t="shared" ca="1" si="425"/>
        <v>0</v>
      </c>
      <c r="S511">
        <f t="shared" ca="1" si="426"/>
        <v>0</v>
      </c>
    </row>
    <row r="512" spans="5:19" x14ac:dyDescent="0.75">
      <c r="E512">
        <v>507</v>
      </c>
      <c r="F512">
        <f t="shared" si="422"/>
        <v>100</v>
      </c>
      <c r="G512">
        <f t="shared" ca="1" si="423"/>
        <v>96.227119986760385</v>
      </c>
      <c r="H512">
        <f t="shared" ca="1" si="423"/>
        <v>98.533416225739515</v>
      </c>
      <c r="I512">
        <f t="shared" ca="1" si="423"/>
        <v>96.200432942775066</v>
      </c>
      <c r="J512">
        <f t="shared" ref="J512:P512" ca="1" si="475">I512*EXP(($C$6-0.5*$C$7^2)*$C$12+$C$7*SQRT($C$12)*NORMINV(RAND(),0,1))</f>
        <v>99.829461755944891</v>
      </c>
      <c r="K512">
        <f t="shared" ca="1" si="475"/>
        <v>101.34490133982436</v>
      </c>
      <c r="L512">
        <f t="shared" ca="1" si="475"/>
        <v>104.05802284206264</v>
      </c>
      <c r="M512">
        <f t="shared" ca="1" si="475"/>
        <v>110.37049054044596</v>
      </c>
      <c r="N512">
        <f t="shared" ca="1" si="475"/>
        <v>105.93334125165873</v>
      </c>
      <c r="O512">
        <f t="shared" ca="1" si="475"/>
        <v>101.94785336433863</v>
      </c>
      <c r="P512">
        <f t="shared" ca="1" si="475"/>
        <v>94.061709709091502</v>
      </c>
      <c r="Q512">
        <f t="shared" ca="1" si="424"/>
        <v>110.37049054044596</v>
      </c>
      <c r="R512">
        <f t="shared" ca="1" si="425"/>
        <v>0</v>
      </c>
      <c r="S512">
        <f t="shared" ca="1" si="426"/>
        <v>0</v>
      </c>
    </row>
    <row r="513" spans="5:19" x14ac:dyDescent="0.75">
      <c r="E513">
        <v>508</v>
      </c>
      <c r="F513">
        <f t="shared" si="422"/>
        <v>100</v>
      </c>
      <c r="G513">
        <f t="shared" ca="1" si="423"/>
        <v>96.64071649733836</v>
      </c>
      <c r="H513">
        <f t="shared" ca="1" si="423"/>
        <v>101.80781586561214</v>
      </c>
      <c r="I513">
        <f t="shared" ca="1" si="423"/>
        <v>100.76147493772609</v>
      </c>
      <c r="J513">
        <f t="shared" ref="J513:P513" ca="1" si="476">I513*EXP(($C$6-0.5*$C$7^2)*$C$12+$C$7*SQRT($C$12)*NORMINV(RAND(),0,1))</f>
        <v>99.0956819876032</v>
      </c>
      <c r="K513">
        <f t="shared" ca="1" si="476"/>
        <v>97.477386724290142</v>
      </c>
      <c r="L513">
        <f t="shared" ca="1" si="476"/>
        <v>107.87039069113109</v>
      </c>
      <c r="M513">
        <f t="shared" ca="1" si="476"/>
        <v>110.19316332168644</v>
      </c>
      <c r="N513">
        <f t="shared" ca="1" si="476"/>
        <v>117.87965232413119</v>
      </c>
      <c r="O513">
        <f t="shared" ca="1" si="476"/>
        <v>127.3968188748436</v>
      </c>
      <c r="P513">
        <f t="shared" ca="1" si="476"/>
        <v>123.68914615852736</v>
      </c>
      <c r="Q513">
        <f t="shared" ca="1" si="424"/>
        <v>127.3968188748436</v>
      </c>
      <c r="R513">
        <f t="shared" ca="1" si="425"/>
        <v>0</v>
      </c>
      <c r="S513">
        <f t="shared" ca="1" si="426"/>
        <v>0</v>
      </c>
    </row>
    <row r="514" spans="5:19" x14ac:dyDescent="0.75">
      <c r="E514">
        <v>509</v>
      </c>
      <c r="F514">
        <f t="shared" si="422"/>
        <v>100</v>
      </c>
      <c r="G514">
        <f t="shared" ca="1" si="423"/>
        <v>93.125950477052612</v>
      </c>
      <c r="H514">
        <f t="shared" ca="1" si="423"/>
        <v>100.00377279516989</v>
      </c>
      <c r="I514">
        <f t="shared" ca="1" si="423"/>
        <v>94.813450416852163</v>
      </c>
      <c r="J514">
        <f t="shared" ref="J514:P514" ca="1" si="477">I514*EXP(($C$6-0.5*$C$7^2)*$C$12+$C$7*SQRT($C$12)*NORMINV(RAND(),0,1))</f>
        <v>84.060511747316028</v>
      </c>
      <c r="K514">
        <f t="shared" ca="1" si="477"/>
        <v>83.094733325496506</v>
      </c>
      <c r="L514">
        <f t="shared" ca="1" si="477"/>
        <v>91.114528964724272</v>
      </c>
      <c r="M514">
        <f t="shared" ca="1" si="477"/>
        <v>89.612649180092319</v>
      </c>
      <c r="N514">
        <f t="shared" ca="1" si="477"/>
        <v>84.307696847871455</v>
      </c>
      <c r="O514">
        <f t="shared" ca="1" si="477"/>
        <v>80.205166604087935</v>
      </c>
      <c r="P514">
        <f t="shared" ca="1" si="477"/>
        <v>87.049196462591524</v>
      </c>
      <c r="Q514">
        <f t="shared" ca="1" si="424"/>
        <v>100.00377279516989</v>
      </c>
      <c r="R514">
        <f t="shared" ca="1" si="425"/>
        <v>0</v>
      </c>
      <c r="S514">
        <f t="shared" ca="1" si="426"/>
        <v>0</v>
      </c>
    </row>
    <row r="515" spans="5:19" x14ac:dyDescent="0.75">
      <c r="E515">
        <v>510</v>
      </c>
      <c r="F515">
        <f t="shared" si="422"/>
        <v>100</v>
      </c>
      <c r="G515">
        <f t="shared" ca="1" si="423"/>
        <v>102.9514438194628</v>
      </c>
      <c r="H515">
        <f t="shared" ca="1" si="423"/>
        <v>103.23552110930494</v>
      </c>
      <c r="I515">
        <f t="shared" ca="1" si="423"/>
        <v>110.74613648053035</v>
      </c>
      <c r="J515">
        <f t="shared" ref="J515:P515" ca="1" si="478">I515*EXP(($C$6-0.5*$C$7^2)*$C$12+$C$7*SQRT($C$12)*NORMINV(RAND(),0,1))</f>
        <v>110.83115500862264</v>
      </c>
      <c r="K515">
        <f t="shared" ca="1" si="478"/>
        <v>107.08444821514911</v>
      </c>
      <c r="L515">
        <f t="shared" ca="1" si="478"/>
        <v>107.48843659275902</v>
      </c>
      <c r="M515">
        <f t="shared" ca="1" si="478"/>
        <v>112.62512763961431</v>
      </c>
      <c r="N515">
        <f t="shared" ca="1" si="478"/>
        <v>106.29640107353968</v>
      </c>
      <c r="O515">
        <f t="shared" ca="1" si="478"/>
        <v>105.60602783124381</v>
      </c>
      <c r="P515">
        <f t="shared" ca="1" si="478"/>
        <v>102.71027621661906</v>
      </c>
      <c r="Q515">
        <f t="shared" ca="1" si="424"/>
        <v>112.62512763961431</v>
      </c>
      <c r="R515">
        <f t="shared" ca="1" si="425"/>
        <v>0</v>
      </c>
      <c r="S515">
        <f t="shared" ca="1" si="426"/>
        <v>0</v>
      </c>
    </row>
    <row r="516" spans="5:19" x14ac:dyDescent="0.75">
      <c r="E516">
        <v>511</v>
      </c>
      <c r="F516">
        <f t="shared" si="422"/>
        <v>100</v>
      </c>
      <c r="G516">
        <f t="shared" ca="1" si="423"/>
        <v>104.92134777333879</v>
      </c>
      <c r="H516">
        <f t="shared" ca="1" si="423"/>
        <v>98.170735233257403</v>
      </c>
      <c r="I516">
        <f t="shared" ca="1" si="423"/>
        <v>91.308959515688628</v>
      </c>
      <c r="J516">
        <f t="shared" ref="J516:P516" ca="1" si="479">I516*EXP(($C$6-0.5*$C$7^2)*$C$12+$C$7*SQRT($C$12)*NORMINV(RAND(),0,1))</f>
        <v>95.720522605031192</v>
      </c>
      <c r="K516">
        <f t="shared" ca="1" si="479"/>
        <v>92.101392884923925</v>
      </c>
      <c r="L516">
        <f t="shared" ca="1" si="479"/>
        <v>85.441311262394848</v>
      </c>
      <c r="M516">
        <f t="shared" ca="1" si="479"/>
        <v>90.242065981216172</v>
      </c>
      <c r="N516">
        <f t="shared" ca="1" si="479"/>
        <v>87.414413903800224</v>
      </c>
      <c r="O516">
        <f t="shared" ca="1" si="479"/>
        <v>92.063309300855735</v>
      </c>
      <c r="P516">
        <f t="shared" ca="1" si="479"/>
        <v>92.079697334310069</v>
      </c>
      <c r="Q516">
        <f t="shared" ca="1" si="424"/>
        <v>104.92134777333879</v>
      </c>
      <c r="R516">
        <f t="shared" ca="1" si="425"/>
        <v>0</v>
      </c>
      <c r="S516">
        <f t="shared" ca="1" si="426"/>
        <v>0</v>
      </c>
    </row>
    <row r="517" spans="5:19" x14ac:dyDescent="0.75">
      <c r="E517">
        <v>512</v>
      </c>
      <c r="F517">
        <f t="shared" si="422"/>
        <v>100</v>
      </c>
      <c r="G517">
        <f t="shared" ca="1" si="423"/>
        <v>98.648166931837835</v>
      </c>
      <c r="H517">
        <f t="shared" ca="1" si="423"/>
        <v>100.75247061922107</v>
      </c>
      <c r="I517">
        <f t="shared" ca="1" si="423"/>
        <v>102.78239082133805</v>
      </c>
      <c r="J517">
        <f t="shared" ref="J517:P517" ca="1" si="480">I517*EXP(($C$6-0.5*$C$7^2)*$C$12+$C$7*SQRT($C$12)*NORMINV(RAND(),0,1))</f>
        <v>108.26509656096285</v>
      </c>
      <c r="K517">
        <f t="shared" ca="1" si="480"/>
        <v>108.89588663599029</v>
      </c>
      <c r="L517">
        <f t="shared" ca="1" si="480"/>
        <v>108.37026744086522</v>
      </c>
      <c r="M517">
        <f t="shared" ca="1" si="480"/>
        <v>110.36651961137069</v>
      </c>
      <c r="N517">
        <f t="shared" ca="1" si="480"/>
        <v>113.49409531522458</v>
      </c>
      <c r="O517">
        <f t="shared" ca="1" si="480"/>
        <v>115.67390535842003</v>
      </c>
      <c r="P517">
        <f t="shared" ca="1" si="480"/>
        <v>115.5338055325355</v>
      </c>
      <c r="Q517">
        <f t="shared" ca="1" si="424"/>
        <v>115.67390535842003</v>
      </c>
      <c r="R517">
        <f t="shared" ca="1" si="425"/>
        <v>0</v>
      </c>
      <c r="S517">
        <f t="shared" ca="1" si="426"/>
        <v>0</v>
      </c>
    </row>
    <row r="518" spans="5:19" x14ac:dyDescent="0.75">
      <c r="E518">
        <v>513</v>
      </c>
      <c r="F518">
        <f t="shared" si="422"/>
        <v>100</v>
      </c>
      <c r="G518">
        <f t="shared" ca="1" si="423"/>
        <v>102.89533205552537</v>
      </c>
      <c r="H518">
        <f t="shared" ca="1" si="423"/>
        <v>108.97441612448554</v>
      </c>
      <c r="I518">
        <f t="shared" ca="1" si="423"/>
        <v>112.09670660688397</v>
      </c>
      <c r="J518">
        <f t="shared" ref="J518:P518" ca="1" si="481">I518*EXP(($C$6-0.5*$C$7^2)*$C$12+$C$7*SQRT($C$12)*NORMINV(RAND(),0,1))</f>
        <v>111.5901676326958</v>
      </c>
      <c r="K518">
        <f t="shared" ca="1" si="481"/>
        <v>111.39786718104713</v>
      </c>
      <c r="L518">
        <f t="shared" ca="1" si="481"/>
        <v>114.33147414648701</v>
      </c>
      <c r="M518">
        <f t="shared" ca="1" si="481"/>
        <v>111.61648429027427</v>
      </c>
      <c r="N518">
        <f t="shared" ca="1" si="481"/>
        <v>114.16287420892152</v>
      </c>
      <c r="O518">
        <f t="shared" ca="1" si="481"/>
        <v>122.1793466452704</v>
      </c>
      <c r="P518">
        <f t="shared" ca="1" si="481"/>
        <v>116.58269887778462</v>
      </c>
      <c r="Q518">
        <f t="shared" ca="1" si="424"/>
        <v>122.1793466452704</v>
      </c>
      <c r="R518">
        <f t="shared" ca="1" si="425"/>
        <v>0</v>
      </c>
      <c r="S518">
        <f t="shared" ca="1" si="426"/>
        <v>0</v>
      </c>
    </row>
    <row r="519" spans="5:19" x14ac:dyDescent="0.75">
      <c r="E519">
        <v>514</v>
      </c>
      <c r="F519">
        <f t="shared" ref="F519:F582" si="482">$C$5</f>
        <v>100</v>
      </c>
      <c r="G519">
        <f t="shared" ref="G519:P582" ca="1" si="483">F519*EXP(($C$6-0.5*$C$7^2)*$C$12+$C$7*SQRT($C$12)*NORMINV(RAND(),0,1))</f>
        <v>95.065219157841426</v>
      </c>
      <c r="H519">
        <f t="shared" ca="1" si="483"/>
        <v>94.571287750995921</v>
      </c>
      <c r="I519">
        <f t="shared" ca="1" si="483"/>
        <v>98.957711203663266</v>
      </c>
      <c r="J519">
        <f t="shared" ca="1" si="483"/>
        <v>91.646720732595952</v>
      </c>
      <c r="K519">
        <f t="shared" ca="1" si="483"/>
        <v>86.191816808308275</v>
      </c>
      <c r="L519">
        <f t="shared" ca="1" si="483"/>
        <v>90.544847604290169</v>
      </c>
      <c r="M519">
        <f t="shared" ca="1" si="483"/>
        <v>93.387996260673688</v>
      </c>
      <c r="N519">
        <f t="shared" ca="1" si="483"/>
        <v>98.079017279262231</v>
      </c>
      <c r="O519">
        <f t="shared" ca="1" si="483"/>
        <v>97.192682758714099</v>
      </c>
      <c r="P519">
        <f t="shared" ca="1" si="483"/>
        <v>95.043410717786671</v>
      </c>
      <c r="Q519">
        <f t="shared" ref="Q519:Q582" ca="1" si="484">MAX(G519:P519)</f>
        <v>98.957711203663266</v>
      </c>
      <c r="R519">
        <f t="shared" ref="R519:R582" ca="1" si="485">IF(Q519&gt;=$C$13,0, MAX(P519-$C$9,0))</f>
        <v>0</v>
      </c>
      <c r="S519">
        <f t="shared" ref="S519:S582" ca="1" si="486">EXP(-$C$6*$C$8)*R519</f>
        <v>0</v>
      </c>
    </row>
    <row r="520" spans="5:19" x14ac:dyDescent="0.75">
      <c r="E520">
        <v>515</v>
      </c>
      <c r="F520">
        <f t="shared" si="482"/>
        <v>100</v>
      </c>
      <c r="G520">
        <f t="shared" ca="1" si="483"/>
        <v>95.67336939415793</v>
      </c>
      <c r="H520">
        <f t="shared" ca="1" si="483"/>
        <v>94.361680235104373</v>
      </c>
      <c r="I520">
        <f t="shared" ca="1" si="483"/>
        <v>92.904521840669375</v>
      </c>
      <c r="J520">
        <f t="shared" ca="1" si="483"/>
        <v>91.499493728630455</v>
      </c>
      <c r="K520">
        <f t="shared" ca="1" si="483"/>
        <v>91.145137181810398</v>
      </c>
      <c r="L520">
        <f t="shared" ca="1" si="483"/>
        <v>94.642538438883449</v>
      </c>
      <c r="M520">
        <f t="shared" ca="1" si="483"/>
        <v>87.985409344704948</v>
      </c>
      <c r="N520">
        <f t="shared" ca="1" si="483"/>
        <v>85.897476215173725</v>
      </c>
      <c r="O520">
        <f t="shared" ca="1" si="483"/>
        <v>92.978924013860393</v>
      </c>
      <c r="P520">
        <f t="shared" ca="1" si="483"/>
        <v>87.647672075711597</v>
      </c>
      <c r="Q520">
        <f t="shared" ca="1" si="484"/>
        <v>95.67336939415793</v>
      </c>
      <c r="R520">
        <f t="shared" ca="1" si="485"/>
        <v>0</v>
      </c>
      <c r="S520">
        <f t="shared" ca="1" si="486"/>
        <v>0</v>
      </c>
    </row>
    <row r="521" spans="5:19" x14ac:dyDescent="0.75">
      <c r="E521">
        <v>516</v>
      </c>
      <c r="F521">
        <f t="shared" si="482"/>
        <v>100</v>
      </c>
      <c r="G521">
        <f t="shared" ca="1" si="483"/>
        <v>106.02447921537743</v>
      </c>
      <c r="H521">
        <f t="shared" ca="1" si="483"/>
        <v>101.62896755326418</v>
      </c>
      <c r="I521">
        <f t="shared" ca="1" si="483"/>
        <v>93.459794566862897</v>
      </c>
      <c r="J521">
        <f t="shared" ca="1" si="483"/>
        <v>98.649399155018699</v>
      </c>
      <c r="K521">
        <f t="shared" ca="1" si="483"/>
        <v>94.833921332587209</v>
      </c>
      <c r="L521">
        <f t="shared" ca="1" si="483"/>
        <v>92.499205727170278</v>
      </c>
      <c r="M521">
        <f t="shared" ca="1" si="483"/>
        <v>91.96284466745567</v>
      </c>
      <c r="N521">
        <f t="shared" ca="1" si="483"/>
        <v>92.325626281640666</v>
      </c>
      <c r="O521">
        <f t="shared" ca="1" si="483"/>
        <v>94.557798871762643</v>
      </c>
      <c r="P521">
        <f t="shared" ca="1" si="483"/>
        <v>94.844779245781268</v>
      </c>
      <c r="Q521">
        <f t="shared" ca="1" si="484"/>
        <v>106.02447921537743</v>
      </c>
      <c r="R521">
        <f t="shared" ca="1" si="485"/>
        <v>0</v>
      </c>
      <c r="S521">
        <f t="shared" ca="1" si="486"/>
        <v>0</v>
      </c>
    </row>
    <row r="522" spans="5:19" x14ac:dyDescent="0.75">
      <c r="E522">
        <v>517</v>
      </c>
      <c r="F522">
        <f t="shared" si="482"/>
        <v>100</v>
      </c>
      <c r="G522">
        <f t="shared" ca="1" si="483"/>
        <v>99.619355606241797</v>
      </c>
      <c r="H522">
        <f t="shared" ca="1" si="483"/>
        <v>99.02345969273658</v>
      </c>
      <c r="I522">
        <f t="shared" ca="1" si="483"/>
        <v>107.14860135326759</v>
      </c>
      <c r="J522">
        <f t="shared" ca="1" si="483"/>
        <v>103.91630004022835</v>
      </c>
      <c r="K522">
        <f t="shared" ca="1" si="483"/>
        <v>109.48897293292227</v>
      </c>
      <c r="L522">
        <f t="shared" ca="1" si="483"/>
        <v>108.9946844145031</v>
      </c>
      <c r="M522">
        <f t="shared" ca="1" si="483"/>
        <v>112.2685822413078</v>
      </c>
      <c r="N522">
        <f t="shared" ca="1" si="483"/>
        <v>115.07853086658886</v>
      </c>
      <c r="O522">
        <f t="shared" ca="1" si="483"/>
        <v>116.85542330270476</v>
      </c>
      <c r="P522">
        <f t="shared" ca="1" si="483"/>
        <v>119.01087192208189</v>
      </c>
      <c r="Q522">
        <f t="shared" ca="1" si="484"/>
        <v>119.01087192208189</v>
      </c>
      <c r="R522">
        <f t="shared" ca="1" si="485"/>
        <v>0</v>
      </c>
      <c r="S522">
        <f t="shared" ca="1" si="486"/>
        <v>0</v>
      </c>
    </row>
    <row r="523" spans="5:19" x14ac:dyDescent="0.75">
      <c r="E523">
        <v>518</v>
      </c>
      <c r="F523">
        <f t="shared" si="482"/>
        <v>100</v>
      </c>
      <c r="G523">
        <f t="shared" ca="1" si="483"/>
        <v>100.60111957840545</v>
      </c>
      <c r="H523">
        <f t="shared" ca="1" si="483"/>
        <v>93.890862547025392</v>
      </c>
      <c r="I523">
        <f t="shared" ca="1" si="483"/>
        <v>92.550726033831523</v>
      </c>
      <c r="J523">
        <f t="shared" ca="1" si="483"/>
        <v>94.792711047438644</v>
      </c>
      <c r="K523">
        <f t="shared" ca="1" si="483"/>
        <v>93.625566913084739</v>
      </c>
      <c r="L523">
        <f t="shared" ca="1" si="483"/>
        <v>94.807425115453881</v>
      </c>
      <c r="M523">
        <f t="shared" ca="1" si="483"/>
        <v>90.70030134895633</v>
      </c>
      <c r="N523">
        <f t="shared" ca="1" si="483"/>
        <v>83.727044562365265</v>
      </c>
      <c r="O523">
        <f t="shared" ca="1" si="483"/>
        <v>81.325571740924843</v>
      </c>
      <c r="P523">
        <f t="shared" ca="1" si="483"/>
        <v>81.156474968608634</v>
      </c>
      <c r="Q523">
        <f t="shared" ca="1" si="484"/>
        <v>100.60111957840545</v>
      </c>
      <c r="R523">
        <f t="shared" ca="1" si="485"/>
        <v>0</v>
      </c>
      <c r="S523">
        <f t="shared" ca="1" si="486"/>
        <v>0</v>
      </c>
    </row>
    <row r="524" spans="5:19" x14ac:dyDescent="0.75">
      <c r="E524">
        <v>519</v>
      </c>
      <c r="F524">
        <f t="shared" si="482"/>
        <v>100</v>
      </c>
      <c r="G524">
        <f t="shared" ca="1" si="483"/>
        <v>105.44703969756952</v>
      </c>
      <c r="H524">
        <f t="shared" ca="1" si="483"/>
        <v>105.08534931570038</v>
      </c>
      <c r="I524">
        <f t="shared" ca="1" si="483"/>
        <v>108.83525628675051</v>
      </c>
      <c r="J524">
        <f t="shared" ca="1" si="483"/>
        <v>114.95879318036768</v>
      </c>
      <c r="K524">
        <f t="shared" ca="1" si="483"/>
        <v>106.44761895799485</v>
      </c>
      <c r="L524">
        <f t="shared" ca="1" si="483"/>
        <v>108.80342750029929</v>
      </c>
      <c r="M524">
        <f t="shared" ca="1" si="483"/>
        <v>110.85596104516506</v>
      </c>
      <c r="N524">
        <f t="shared" ca="1" si="483"/>
        <v>110.69935410265499</v>
      </c>
      <c r="O524">
        <f t="shared" ca="1" si="483"/>
        <v>112.86706648307553</v>
      </c>
      <c r="P524">
        <f t="shared" ca="1" si="483"/>
        <v>110.86629115002589</v>
      </c>
      <c r="Q524">
        <f t="shared" ca="1" si="484"/>
        <v>114.95879318036768</v>
      </c>
      <c r="R524">
        <f t="shared" ca="1" si="485"/>
        <v>0</v>
      </c>
      <c r="S524">
        <f t="shared" ca="1" si="486"/>
        <v>0</v>
      </c>
    </row>
    <row r="525" spans="5:19" x14ac:dyDescent="0.75">
      <c r="E525">
        <v>520</v>
      </c>
      <c r="F525">
        <f t="shared" si="482"/>
        <v>100</v>
      </c>
      <c r="G525">
        <f t="shared" ca="1" si="483"/>
        <v>100.07037570463768</v>
      </c>
      <c r="H525">
        <f t="shared" ca="1" si="483"/>
        <v>101.98765585424343</v>
      </c>
      <c r="I525">
        <f t="shared" ca="1" si="483"/>
        <v>106.01552589453419</v>
      </c>
      <c r="J525">
        <f t="shared" ca="1" si="483"/>
        <v>101.77013126829597</v>
      </c>
      <c r="K525">
        <f t="shared" ca="1" si="483"/>
        <v>91.51694754485716</v>
      </c>
      <c r="L525">
        <f t="shared" ca="1" si="483"/>
        <v>92.597707383943117</v>
      </c>
      <c r="M525">
        <f t="shared" ca="1" si="483"/>
        <v>92.991023095770885</v>
      </c>
      <c r="N525">
        <f t="shared" ca="1" si="483"/>
        <v>93.341917187286356</v>
      </c>
      <c r="O525">
        <f t="shared" ca="1" si="483"/>
        <v>98.474006179065682</v>
      </c>
      <c r="P525">
        <f t="shared" ca="1" si="483"/>
        <v>89.711450206969843</v>
      </c>
      <c r="Q525">
        <f t="shared" ca="1" si="484"/>
        <v>106.01552589453419</v>
      </c>
      <c r="R525">
        <f t="shared" ca="1" si="485"/>
        <v>0</v>
      </c>
      <c r="S525">
        <f t="shared" ca="1" si="486"/>
        <v>0</v>
      </c>
    </row>
    <row r="526" spans="5:19" x14ac:dyDescent="0.75">
      <c r="E526">
        <v>521</v>
      </c>
      <c r="F526">
        <f t="shared" si="482"/>
        <v>100</v>
      </c>
      <c r="G526">
        <f t="shared" ca="1" si="483"/>
        <v>104.96660372453657</v>
      </c>
      <c r="H526">
        <f t="shared" ca="1" si="483"/>
        <v>111.42248338357034</v>
      </c>
      <c r="I526">
        <f t="shared" ca="1" si="483"/>
        <v>111.31673571270366</v>
      </c>
      <c r="J526">
        <f t="shared" ca="1" si="483"/>
        <v>106.79814358850945</v>
      </c>
      <c r="K526">
        <f t="shared" ca="1" si="483"/>
        <v>107.79294023509848</v>
      </c>
      <c r="L526">
        <f t="shared" ca="1" si="483"/>
        <v>103.92955283195145</v>
      </c>
      <c r="M526">
        <f t="shared" ca="1" si="483"/>
        <v>111.33506275403168</v>
      </c>
      <c r="N526">
        <f t="shared" ca="1" si="483"/>
        <v>111.74652214360317</v>
      </c>
      <c r="O526">
        <f t="shared" ca="1" si="483"/>
        <v>115.04783363156405</v>
      </c>
      <c r="P526">
        <f t="shared" ca="1" si="483"/>
        <v>121.10805453999663</v>
      </c>
      <c r="Q526">
        <f t="shared" ca="1" si="484"/>
        <v>121.10805453999663</v>
      </c>
      <c r="R526">
        <f t="shared" ca="1" si="485"/>
        <v>0</v>
      </c>
      <c r="S526">
        <f t="shared" ca="1" si="486"/>
        <v>0</v>
      </c>
    </row>
    <row r="527" spans="5:19" x14ac:dyDescent="0.75">
      <c r="E527">
        <v>522</v>
      </c>
      <c r="F527">
        <f t="shared" si="482"/>
        <v>100</v>
      </c>
      <c r="G527">
        <f t="shared" ca="1" si="483"/>
        <v>97.535189915339856</v>
      </c>
      <c r="H527">
        <f t="shared" ca="1" si="483"/>
        <v>100.5100681543275</v>
      </c>
      <c r="I527">
        <f t="shared" ca="1" si="483"/>
        <v>107.38453758318434</v>
      </c>
      <c r="J527">
        <f t="shared" ca="1" si="483"/>
        <v>113.09981287331826</v>
      </c>
      <c r="K527">
        <f t="shared" ca="1" si="483"/>
        <v>124.39939395581032</v>
      </c>
      <c r="L527">
        <f t="shared" ca="1" si="483"/>
        <v>113.80709121458031</v>
      </c>
      <c r="M527">
        <f t="shared" ca="1" si="483"/>
        <v>118.6261146817414</v>
      </c>
      <c r="N527">
        <f t="shared" ca="1" si="483"/>
        <v>126.20183203978827</v>
      </c>
      <c r="O527">
        <f t="shared" ca="1" si="483"/>
        <v>125.11456391261881</v>
      </c>
      <c r="P527">
        <f t="shared" ca="1" si="483"/>
        <v>133.54064418027991</v>
      </c>
      <c r="Q527">
        <f t="shared" ca="1" si="484"/>
        <v>133.54064418027991</v>
      </c>
      <c r="R527">
        <f t="shared" ca="1" si="485"/>
        <v>0</v>
      </c>
      <c r="S527">
        <f t="shared" ca="1" si="486"/>
        <v>0</v>
      </c>
    </row>
    <row r="528" spans="5:19" x14ac:dyDescent="0.75">
      <c r="E528">
        <v>523</v>
      </c>
      <c r="F528">
        <f t="shared" si="482"/>
        <v>100</v>
      </c>
      <c r="G528">
        <f t="shared" ca="1" si="483"/>
        <v>104.72097344191667</v>
      </c>
      <c r="H528">
        <f t="shared" ca="1" si="483"/>
        <v>102.91104374822039</v>
      </c>
      <c r="I528">
        <f t="shared" ca="1" si="483"/>
        <v>102.34278732242959</v>
      </c>
      <c r="J528">
        <f t="shared" ref="J528:P528" ca="1" si="487">I528*EXP(($C$6-0.5*$C$7^2)*$C$12+$C$7*SQRT($C$12)*NORMINV(RAND(),0,1))</f>
        <v>106.98366795618385</v>
      </c>
      <c r="K528">
        <f t="shared" ca="1" si="487"/>
        <v>100.99959295358788</v>
      </c>
      <c r="L528">
        <f t="shared" ca="1" si="487"/>
        <v>96.003122590865857</v>
      </c>
      <c r="M528">
        <f t="shared" ca="1" si="487"/>
        <v>101.76705966774223</v>
      </c>
      <c r="N528">
        <f t="shared" ca="1" si="487"/>
        <v>100.98908084486403</v>
      </c>
      <c r="O528">
        <f t="shared" ca="1" si="487"/>
        <v>95.169916543968796</v>
      </c>
      <c r="P528">
        <f t="shared" ca="1" si="487"/>
        <v>92.479427181259879</v>
      </c>
      <c r="Q528">
        <f t="shared" ca="1" si="484"/>
        <v>106.98366795618385</v>
      </c>
      <c r="R528">
        <f t="shared" ca="1" si="485"/>
        <v>0</v>
      </c>
      <c r="S528">
        <f t="shared" ca="1" si="486"/>
        <v>0</v>
      </c>
    </row>
    <row r="529" spans="5:19" x14ac:dyDescent="0.75">
      <c r="E529">
        <v>524</v>
      </c>
      <c r="F529">
        <f t="shared" si="482"/>
        <v>100</v>
      </c>
      <c r="G529">
        <f t="shared" ca="1" si="483"/>
        <v>108.27419634566402</v>
      </c>
      <c r="H529">
        <f t="shared" ca="1" si="483"/>
        <v>112.58712700790288</v>
      </c>
      <c r="I529">
        <f t="shared" ca="1" si="483"/>
        <v>117.41817854255062</v>
      </c>
      <c r="J529">
        <f t="shared" ref="J529:P529" ca="1" si="488">I529*EXP(($C$6-0.5*$C$7^2)*$C$12+$C$7*SQRT($C$12)*NORMINV(RAND(),0,1))</f>
        <v>112.66909227899264</v>
      </c>
      <c r="K529">
        <f t="shared" ca="1" si="488"/>
        <v>116.65778154910275</v>
      </c>
      <c r="L529">
        <f t="shared" ca="1" si="488"/>
        <v>116.87188107231631</v>
      </c>
      <c r="M529">
        <f t="shared" ca="1" si="488"/>
        <v>127.18125181942567</v>
      </c>
      <c r="N529">
        <f t="shared" ca="1" si="488"/>
        <v>126.32301318056403</v>
      </c>
      <c r="O529">
        <f t="shared" ca="1" si="488"/>
        <v>129.83225994467955</v>
      </c>
      <c r="P529">
        <f t="shared" ca="1" si="488"/>
        <v>127.04722577703495</v>
      </c>
      <c r="Q529">
        <f t="shared" ca="1" si="484"/>
        <v>129.83225994467955</v>
      </c>
      <c r="R529">
        <f t="shared" ca="1" si="485"/>
        <v>0</v>
      </c>
      <c r="S529">
        <f t="shared" ca="1" si="486"/>
        <v>0</v>
      </c>
    </row>
    <row r="530" spans="5:19" x14ac:dyDescent="0.75">
      <c r="E530">
        <v>525</v>
      </c>
      <c r="F530">
        <f t="shared" si="482"/>
        <v>100</v>
      </c>
      <c r="G530">
        <f t="shared" ca="1" si="483"/>
        <v>98.488675960663457</v>
      </c>
      <c r="H530">
        <f t="shared" ca="1" si="483"/>
        <v>103.02340309474837</v>
      </c>
      <c r="I530">
        <f t="shared" ca="1" si="483"/>
        <v>98.366184406015648</v>
      </c>
      <c r="J530">
        <f t="shared" ref="J530:P530" ca="1" si="489">I530*EXP(($C$6-0.5*$C$7^2)*$C$12+$C$7*SQRT($C$12)*NORMINV(RAND(),0,1))</f>
        <v>86.631755672546021</v>
      </c>
      <c r="K530">
        <f t="shared" ca="1" si="489"/>
        <v>85.894420068441548</v>
      </c>
      <c r="L530">
        <f t="shared" ca="1" si="489"/>
        <v>86.711491965499434</v>
      </c>
      <c r="M530">
        <f t="shared" ca="1" si="489"/>
        <v>87.846721692130913</v>
      </c>
      <c r="N530">
        <f t="shared" ca="1" si="489"/>
        <v>81.64593967624819</v>
      </c>
      <c r="O530">
        <f t="shared" ca="1" si="489"/>
        <v>76.567156323928813</v>
      </c>
      <c r="P530">
        <f t="shared" ca="1" si="489"/>
        <v>74.648232053082637</v>
      </c>
      <c r="Q530">
        <f t="shared" ca="1" si="484"/>
        <v>103.02340309474837</v>
      </c>
      <c r="R530">
        <f t="shared" ca="1" si="485"/>
        <v>0</v>
      </c>
      <c r="S530">
        <f t="shared" ca="1" si="486"/>
        <v>0</v>
      </c>
    </row>
    <row r="531" spans="5:19" x14ac:dyDescent="0.75">
      <c r="E531">
        <v>526</v>
      </c>
      <c r="F531">
        <f t="shared" si="482"/>
        <v>100</v>
      </c>
      <c r="G531">
        <f t="shared" ca="1" si="483"/>
        <v>102.97432787408003</v>
      </c>
      <c r="H531">
        <f t="shared" ca="1" si="483"/>
        <v>104.1954202022211</v>
      </c>
      <c r="I531">
        <f t="shared" ca="1" si="483"/>
        <v>113.4341213329314</v>
      </c>
      <c r="J531">
        <f t="shared" ref="J531:P531" ca="1" si="490">I531*EXP(($C$6-0.5*$C$7^2)*$C$12+$C$7*SQRT($C$12)*NORMINV(RAND(),0,1))</f>
        <v>111.46893639476875</v>
      </c>
      <c r="K531">
        <f t="shared" ca="1" si="490"/>
        <v>100.36883563754861</v>
      </c>
      <c r="L531">
        <f t="shared" ca="1" si="490"/>
        <v>100.42203884880388</v>
      </c>
      <c r="M531">
        <f t="shared" ca="1" si="490"/>
        <v>98.27469053038142</v>
      </c>
      <c r="N531">
        <f t="shared" ca="1" si="490"/>
        <v>102.20926420158233</v>
      </c>
      <c r="O531">
        <f t="shared" ca="1" si="490"/>
        <v>99.875050685416483</v>
      </c>
      <c r="P531">
        <f t="shared" ca="1" si="490"/>
        <v>98.704669791853334</v>
      </c>
      <c r="Q531">
        <f t="shared" ca="1" si="484"/>
        <v>113.4341213329314</v>
      </c>
      <c r="R531">
        <f t="shared" ca="1" si="485"/>
        <v>0</v>
      </c>
      <c r="S531">
        <f t="shared" ca="1" si="486"/>
        <v>0</v>
      </c>
    </row>
    <row r="532" spans="5:19" x14ac:dyDescent="0.75">
      <c r="E532">
        <v>527</v>
      </c>
      <c r="F532">
        <f t="shared" si="482"/>
        <v>100</v>
      </c>
      <c r="G532">
        <f t="shared" ca="1" si="483"/>
        <v>105.78523041125645</v>
      </c>
      <c r="H532">
        <f t="shared" ca="1" si="483"/>
        <v>107.86303115530148</v>
      </c>
      <c r="I532">
        <f t="shared" ca="1" si="483"/>
        <v>100.56287488625024</v>
      </c>
      <c r="J532">
        <f t="shared" ref="J532:P532" ca="1" si="491">I532*EXP(($C$6-0.5*$C$7^2)*$C$12+$C$7*SQRT($C$12)*NORMINV(RAND(),0,1))</f>
        <v>104.8540307616028</v>
      </c>
      <c r="K532">
        <f t="shared" ca="1" si="491"/>
        <v>109.482056911285</v>
      </c>
      <c r="L532">
        <f t="shared" ca="1" si="491"/>
        <v>110.35267242979475</v>
      </c>
      <c r="M532">
        <f t="shared" ca="1" si="491"/>
        <v>119.03988934573944</v>
      </c>
      <c r="N532">
        <f t="shared" ca="1" si="491"/>
        <v>107.06454373898589</v>
      </c>
      <c r="O532">
        <f t="shared" ca="1" si="491"/>
        <v>102.50722901279771</v>
      </c>
      <c r="P532">
        <f t="shared" ca="1" si="491"/>
        <v>107.78187875858519</v>
      </c>
      <c r="Q532">
        <f t="shared" ca="1" si="484"/>
        <v>119.03988934573944</v>
      </c>
      <c r="R532">
        <f t="shared" ca="1" si="485"/>
        <v>0</v>
      </c>
      <c r="S532">
        <f t="shared" ca="1" si="486"/>
        <v>0</v>
      </c>
    </row>
    <row r="533" spans="5:19" x14ac:dyDescent="0.75">
      <c r="E533">
        <v>528</v>
      </c>
      <c r="F533">
        <f t="shared" si="482"/>
        <v>100</v>
      </c>
      <c r="G533">
        <f t="shared" ca="1" si="483"/>
        <v>104.96312747388446</v>
      </c>
      <c r="H533">
        <f t="shared" ca="1" si="483"/>
        <v>102.6167453227136</v>
      </c>
      <c r="I533">
        <f t="shared" ca="1" si="483"/>
        <v>113.32122884854925</v>
      </c>
      <c r="J533">
        <f t="shared" ref="J533:P533" ca="1" si="492">I533*EXP(($C$6-0.5*$C$7^2)*$C$12+$C$7*SQRT($C$12)*NORMINV(RAND(),0,1))</f>
        <v>108.69577102911394</v>
      </c>
      <c r="K533">
        <f t="shared" ca="1" si="492"/>
        <v>112.51734721264022</v>
      </c>
      <c r="L533">
        <f t="shared" ca="1" si="492"/>
        <v>113.17464520313013</v>
      </c>
      <c r="M533">
        <f t="shared" ca="1" si="492"/>
        <v>120.31636585782336</v>
      </c>
      <c r="N533">
        <f t="shared" ca="1" si="492"/>
        <v>125.31958458888387</v>
      </c>
      <c r="O533">
        <f t="shared" ca="1" si="492"/>
        <v>123.56988040506224</v>
      </c>
      <c r="P533">
        <f t="shared" ca="1" si="492"/>
        <v>134.69822254589781</v>
      </c>
      <c r="Q533">
        <f t="shared" ca="1" si="484"/>
        <v>134.69822254589781</v>
      </c>
      <c r="R533">
        <f t="shared" ca="1" si="485"/>
        <v>0</v>
      </c>
      <c r="S533">
        <f t="shared" ca="1" si="486"/>
        <v>0</v>
      </c>
    </row>
    <row r="534" spans="5:19" x14ac:dyDescent="0.75">
      <c r="E534">
        <v>529</v>
      </c>
      <c r="F534">
        <f t="shared" si="482"/>
        <v>100</v>
      </c>
      <c r="G534">
        <f t="shared" ca="1" si="483"/>
        <v>96.731048907655108</v>
      </c>
      <c r="H534">
        <f t="shared" ca="1" si="483"/>
        <v>98.44252026641216</v>
      </c>
      <c r="I534">
        <f t="shared" ca="1" si="483"/>
        <v>98.337646840520165</v>
      </c>
      <c r="J534">
        <f t="shared" ref="J534:P534" ca="1" si="493">I534*EXP(($C$6-0.5*$C$7^2)*$C$12+$C$7*SQRT($C$12)*NORMINV(RAND(),0,1))</f>
        <v>95.015719842731698</v>
      </c>
      <c r="K534">
        <f t="shared" ca="1" si="493"/>
        <v>92.525583804367756</v>
      </c>
      <c r="L534">
        <f t="shared" ca="1" si="493"/>
        <v>98.361403057736169</v>
      </c>
      <c r="M534">
        <f t="shared" ca="1" si="493"/>
        <v>98.827075923773734</v>
      </c>
      <c r="N534">
        <f t="shared" ca="1" si="493"/>
        <v>93.683634502693522</v>
      </c>
      <c r="O534">
        <f t="shared" ca="1" si="493"/>
        <v>92.982150724222876</v>
      </c>
      <c r="P534">
        <f t="shared" ca="1" si="493"/>
        <v>92.537046755150897</v>
      </c>
      <c r="Q534">
        <f t="shared" ca="1" si="484"/>
        <v>98.827075923773734</v>
      </c>
      <c r="R534">
        <f t="shared" ca="1" si="485"/>
        <v>0</v>
      </c>
      <c r="S534">
        <f t="shared" ca="1" si="486"/>
        <v>0</v>
      </c>
    </row>
    <row r="535" spans="5:19" x14ac:dyDescent="0.75">
      <c r="E535">
        <v>530</v>
      </c>
      <c r="F535">
        <f t="shared" si="482"/>
        <v>100</v>
      </c>
      <c r="G535">
        <f t="shared" ca="1" si="483"/>
        <v>104.60843771923092</v>
      </c>
      <c r="H535">
        <f t="shared" ca="1" si="483"/>
        <v>103.86418119068375</v>
      </c>
      <c r="I535">
        <f t="shared" ca="1" si="483"/>
        <v>106.79811681818907</v>
      </c>
      <c r="J535">
        <f t="shared" ref="J535:P535" ca="1" si="494">I535*EXP(($C$6-0.5*$C$7^2)*$C$12+$C$7*SQRT($C$12)*NORMINV(RAND(),0,1))</f>
        <v>107.84605440984804</v>
      </c>
      <c r="K535">
        <f t="shared" ca="1" si="494"/>
        <v>98.980253051888269</v>
      </c>
      <c r="L535">
        <f t="shared" ca="1" si="494"/>
        <v>102.16587787916873</v>
      </c>
      <c r="M535">
        <f t="shared" ca="1" si="494"/>
        <v>100.82384470116772</v>
      </c>
      <c r="N535">
        <f t="shared" ca="1" si="494"/>
        <v>100.99903280927414</v>
      </c>
      <c r="O535">
        <f t="shared" ca="1" si="494"/>
        <v>100.5891985920653</v>
      </c>
      <c r="P535">
        <f t="shared" ca="1" si="494"/>
        <v>105.25520484586929</v>
      </c>
      <c r="Q535">
        <f t="shared" ca="1" si="484"/>
        <v>107.84605440984804</v>
      </c>
      <c r="R535">
        <f t="shared" ca="1" si="485"/>
        <v>3.2552048458692866</v>
      </c>
      <c r="S535">
        <f t="shared" ca="1" si="486"/>
        <v>3.1748335518589759</v>
      </c>
    </row>
    <row r="536" spans="5:19" x14ac:dyDescent="0.75">
      <c r="E536">
        <v>531</v>
      </c>
      <c r="F536">
        <f t="shared" si="482"/>
        <v>100</v>
      </c>
      <c r="G536">
        <f t="shared" ca="1" si="483"/>
        <v>105.50977825526306</v>
      </c>
      <c r="H536">
        <f t="shared" ca="1" si="483"/>
        <v>106.84438487285119</v>
      </c>
      <c r="I536">
        <f t="shared" ca="1" si="483"/>
        <v>108.9818067049284</v>
      </c>
      <c r="J536">
        <f t="shared" ref="J536:P536" ca="1" si="495">I536*EXP(($C$6-0.5*$C$7^2)*$C$12+$C$7*SQRT($C$12)*NORMINV(RAND(),0,1))</f>
        <v>99.224510825464051</v>
      </c>
      <c r="K536">
        <f t="shared" ca="1" si="495"/>
        <v>100.79474104513608</v>
      </c>
      <c r="L536">
        <f t="shared" ca="1" si="495"/>
        <v>105.26247474635838</v>
      </c>
      <c r="M536">
        <f t="shared" ca="1" si="495"/>
        <v>110.2614293029213</v>
      </c>
      <c r="N536">
        <f t="shared" ca="1" si="495"/>
        <v>108.37764159062044</v>
      </c>
      <c r="O536">
        <f t="shared" ca="1" si="495"/>
        <v>110.17203383643692</v>
      </c>
      <c r="P536">
        <f t="shared" ca="1" si="495"/>
        <v>111.47521828638494</v>
      </c>
      <c r="Q536">
        <f t="shared" ca="1" si="484"/>
        <v>111.47521828638494</v>
      </c>
      <c r="R536">
        <f t="shared" ca="1" si="485"/>
        <v>0</v>
      </c>
      <c r="S536">
        <f t="shared" ca="1" si="486"/>
        <v>0</v>
      </c>
    </row>
    <row r="537" spans="5:19" x14ac:dyDescent="0.75">
      <c r="E537">
        <v>532</v>
      </c>
      <c r="F537">
        <f t="shared" si="482"/>
        <v>100</v>
      </c>
      <c r="G537">
        <f t="shared" ca="1" si="483"/>
        <v>100.6749861431876</v>
      </c>
      <c r="H537">
        <f t="shared" ca="1" si="483"/>
        <v>94.808567589209702</v>
      </c>
      <c r="I537">
        <f t="shared" ca="1" si="483"/>
        <v>94.979869801782613</v>
      </c>
      <c r="J537">
        <f t="shared" ref="J537:P537" ca="1" si="496">I537*EXP(($C$6-0.5*$C$7^2)*$C$12+$C$7*SQRT($C$12)*NORMINV(RAND(),0,1))</f>
        <v>96.520000034471337</v>
      </c>
      <c r="K537">
        <f t="shared" ca="1" si="496"/>
        <v>97.617954180419503</v>
      </c>
      <c r="L537">
        <f t="shared" ca="1" si="496"/>
        <v>94.907945240900602</v>
      </c>
      <c r="M537">
        <f t="shared" ca="1" si="496"/>
        <v>89.200440061698259</v>
      </c>
      <c r="N537">
        <f t="shared" ca="1" si="496"/>
        <v>92.662715310842742</v>
      </c>
      <c r="O537">
        <f t="shared" ca="1" si="496"/>
        <v>87.108471644104952</v>
      </c>
      <c r="P537">
        <f t="shared" ca="1" si="496"/>
        <v>92.3664525604365</v>
      </c>
      <c r="Q537">
        <f t="shared" ca="1" si="484"/>
        <v>100.6749861431876</v>
      </c>
      <c r="R537">
        <f t="shared" ca="1" si="485"/>
        <v>0</v>
      </c>
      <c r="S537">
        <f t="shared" ca="1" si="486"/>
        <v>0</v>
      </c>
    </row>
    <row r="538" spans="5:19" x14ac:dyDescent="0.75">
      <c r="E538">
        <v>533</v>
      </c>
      <c r="F538">
        <f t="shared" si="482"/>
        <v>100</v>
      </c>
      <c r="G538">
        <f t="shared" ca="1" si="483"/>
        <v>95.378930899665377</v>
      </c>
      <c r="H538">
        <f t="shared" ca="1" si="483"/>
        <v>99.878916119753171</v>
      </c>
      <c r="I538">
        <f t="shared" ca="1" si="483"/>
        <v>98.693509032033788</v>
      </c>
      <c r="J538">
        <f t="shared" ref="J538:P538" ca="1" si="497">I538*EXP(($C$6-0.5*$C$7^2)*$C$12+$C$7*SQRT($C$12)*NORMINV(RAND(),0,1))</f>
        <v>97.888399201969449</v>
      </c>
      <c r="K538">
        <f t="shared" ca="1" si="497"/>
        <v>98.074361938300811</v>
      </c>
      <c r="L538">
        <f t="shared" ca="1" si="497"/>
        <v>96.590372566019454</v>
      </c>
      <c r="M538">
        <f t="shared" ca="1" si="497"/>
        <v>90.248043341763761</v>
      </c>
      <c r="N538">
        <f t="shared" ca="1" si="497"/>
        <v>89.199083210075798</v>
      </c>
      <c r="O538">
        <f t="shared" ca="1" si="497"/>
        <v>86.055223123676996</v>
      </c>
      <c r="P538">
        <f t="shared" ca="1" si="497"/>
        <v>85.505291846408582</v>
      </c>
      <c r="Q538">
        <f t="shared" ca="1" si="484"/>
        <v>99.878916119753171</v>
      </c>
      <c r="R538">
        <f t="shared" ca="1" si="485"/>
        <v>0</v>
      </c>
      <c r="S538">
        <f t="shared" ca="1" si="486"/>
        <v>0</v>
      </c>
    </row>
    <row r="539" spans="5:19" x14ac:dyDescent="0.75">
      <c r="E539">
        <v>534</v>
      </c>
      <c r="F539">
        <f t="shared" si="482"/>
        <v>100</v>
      </c>
      <c r="G539">
        <f t="shared" ca="1" si="483"/>
        <v>99.839258363064616</v>
      </c>
      <c r="H539">
        <f t="shared" ca="1" si="483"/>
        <v>93.800363503748542</v>
      </c>
      <c r="I539">
        <f t="shared" ca="1" si="483"/>
        <v>99.480167038394669</v>
      </c>
      <c r="J539">
        <f t="shared" ref="J539:P539" ca="1" si="498">I539*EXP(($C$6-0.5*$C$7^2)*$C$12+$C$7*SQRT($C$12)*NORMINV(RAND(),0,1))</f>
        <v>104.83355367067814</v>
      </c>
      <c r="K539">
        <f t="shared" ca="1" si="498"/>
        <v>113.26794428848383</v>
      </c>
      <c r="L539">
        <f t="shared" ca="1" si="498"/>
        <v>116.68121936818306</v>
      </c>
      <c r="M539">
        <f t="shared" ca="1" si="498"/>
        <v>121.25596918855707</v>
      </c>
      <c r="N539">
        <f t="shared" ca="1" si="498"/>
        <v>118.39236122998848</v>
      </c>
      <c r="O539">
        <f t="shared" ca="1" si="498"/>
        <v>122.50729603797546</v>
      </c>
      <c r="P539">
        <f t="shared" ca="1" si="498"/>
        <v>117.03422759034453</v>
      </c>
      <c r="Q539">
        <f t="shared" ca="1" si="484"/>
        <v>122.50729603797546</v>
      </c>
      <c r="R539">
        <f t="shared" ca="1" si="485"/>
        <v>0</v>
      </c>
      <c r="S539">
        <f t="shared" ca="1" si="486"/>
        <v>0</v>
      </c>
    </row>
    <row r="540" spans="5:19" x14ac:dyDescent="0.75">
      <c r="E540">
        <v>535</v>
      </c>
      <c r="F540">
        <f t="shared" si="482"/>
        <v>100</v>
      </c>
      <c r="G540">
        <f t="shared" ca="1" si="483"/>
        <v>103.55982659298013</v>
      </c>
      <c r="H540">
        <f t="shared" ca="1" si="483"/>
        <v>90.800300323457918</v>
      </c>
      <c r="I540">
        <f t="shared" ca="1" si="483"/>
        <v>97.509249960349749</v>
      </c>
      <c r="J540">
        <f t="shared" ref="J540:P540" ca="1" si="499">I540*EXP(($C$6-0.5*$C$7^2)*$C$12+$C$7*SQRT($C$12)*NORMINV(RAND(),0,1))</f>
        <v>96.455960445753107</v>
      </c>
      <c r="K540">
        <f t="shared" ca="1" si="499"/>
        <v>103.5087048530886</v>
      </c>
      <c r="L540">
        <f t="shared" ca="1" si="499"/>
        <v>99.412127721765188</v>
      </c>
      <c r="M540">
        <f t="shared" ca="1" si="499"/>
        <v>94.864805135192569</v>
      </c>
      <c r="N540">
        <f t="shared" ca="1" si="499"/>
        <v>99.343016964332449</v>
      </c>
      <c r="O540">
        <f t="shared" ca="1" si="499"/>
        <v>96.91884272535593</v>
      </c>
      <c r="P540">
        <f t="shared" ca="1" si="499"/>
        <v>91.526566271924992</v>
      </c>
      <c r="Q540">
        <f t="shared" ca="1" si="484"/>
        <v>103.55982659298013</v>
      </c>
      <c r="R540">
        <f t="shared" ca="1" si="485"/>
        <v>0</v>
      </c>
      <c r="S540">
        <f t="shared" ca="1" si="486"/>
        <v>0</v>
      </c>
    </row>
    <row r="541" spans="5:19" x14ac:dyDescent="0.75">
      <c r="E541">
        <v>536</v>
      </c>
      <c r="F541">
        <f t="shared" si="482"/>
        <v>100</v>
      </c>
      <c r="G541">
        <f t="shared" ca="1" si="483"/>
        <v>99.05620152018048</v>
      </c>
      <c r="H541">
        <f t="shared" ca="1" si="483"/>
        <v>100.33078535046968</v>
      </c>
      <c r="I541">
        <f t="shared" ca="1" si="483"/>
        <v>105.4135579085039</v>
      </c>
      <c r="J541">
        <f t="shared" ref="J541:P541" ca="1" si="500">I541*EXP(($C$6-0.5*$C$7^2)*$C$12+$C$7*SQRT($C$12)*NORMINV(RAND(),0,1))</f>
        <v>105.51676444872162</v>
      </c>
      <c r="K541">
        <f t="shared" ca="1" si="500"/>
        <v>105.46988732985368</v>
      </c>
      <c r="L541">
        <f t="shared" ca="1" si="500"/>
        <v>104.72820599177125</v>
      </c>
      <c r="M541">
        <f t="shared" ca="1" si="500"/>
        <v>102.41327806402579</v>
      </c>
      <c r="N541">
        <f t="shared" ca="1" si="500"/>
        <v>99.042303864126836</v>
      </c>
      <c r="O541">
        <f t="shared" ca="1" si="500"/>
        <v>101.19834715642969</v>
      </c>
      <c r="P541">
        <f t="shared" ca="1" si="500"/>
        <v>101.12700864963986</v>
      </c>
      <c r="Q541">
        <f t="shared" ca="1" si="484"/>
        <v>105.51676444872162</v>
      </c>
      <c r="R541">
        <f t="shared" ca="1" si="485"/>
        <v>0</v>
      </c>
      <c r="S541">
        <f t="shared" ca="1" si="486"/>
        <v>0</v>
      </c>
    </row>
    <row r="542" spans="5:19" x14ac:dyDescent="0.75">
      <c r="E542">
        <v>537</v>
      </c>
      <c r="F542">
        <f t="shared" si="482"/>
        <v>100</v>
      </c>
      <c r="G542">
        <f t="shared" ca="1" si="483"/>
        <v>97.708784664862335</v>
      </c>
      <c r="H542">
        <f t="shared" ca="1" si="483"/>
        <v>108.82178573349394</v>
      </c>
      <c r="I542">
        <f t="shared" ca="1" si="483"/>
        <v>106.49062900720244</v>
      </c>
      <c r="J542">
        <f t="shared" ref="J542:P542" ca="1" si="501">I542*EXP(($C$6-0.5*$C$7^2)*$C$12+$C$7*SQRT($C$12)*NORMINV(RAND(),0,1))</f>
        <v>104.5531693080212</v>
      </c>
      <c r="K542">
        <f t="shared" ca="1" si="501"/>
        <v>107.9323021522071</v>
      </c>
      <c r="L542">
        <f t="shared" ca="1" si="501"/>
        <v>111.50930246694675</v>
      </c>
      <c r="M542">
        <f t="shared" ca="1" si="501"/>
        <v>106.54110560468524</v>
      </c>
      <c r="N542">
        <f t="shared" ca="1" si="501"/>
        <v>107.25139708858195</v>
      </c>
      <c r="O542">
        <f t="shared" ca="1" si="501"/>
        <v>106.1606399103153</v>
      </c>
      <c r="P542">
        <f t="shared" ca="1" si="501"/>
        <v>106.60895372590232</v>
      </c>
      <c r="Q542">
        <f t="shared" ca="1" si="484"/>
        <v>111.50930246694675</v>
      </c>
      <c r="R542">
        <f t="shared" ca="1" si="485"/>
        <v>0</v>
      </c>
      <c r="S542">
        <f t="shared" ca="1" si="486"/>
        <v>0</v>
      </c>
    </row>
    <row r="543" spans="5:19" x14ac:dyDescent="0.75">
      <c r="E543">
        <v>538</v>
      </c>
      <c r="F543">
        <f t="shared" si="482"/>
        <v>100</v>
      </c>
      <c r="G543">
        <f t="shared" ca="1" si="483"/>
        <v>102.79633670512587</v>
      </c>
      <c r="H543">
        <f t="shared" ca="1" si="483"/>
        <v>103.29882889068902</v>
      </c>
      <c r="I543">
        <f t="shared" ca="1" si="483"/>
        <v>101.00629321881928</v>
      </c>
      <c r="J543">
        <f t="shared" ref="J543:P543" ca="1" si="502">I543*EXP(($C$6-0.5*$C$7^2)*$C$12+$C$7*SQRT($C$12)*NORMINV(RAND(),0,1))</f>
        <v>96.99716294602419</v>
      </c>
      <c r="K543">
        <f t="shared" ca="1" si="502"/>
        <v>100.32659693587841</v>
      </c>
      <c r="L543">
        <f t="shared" ca="1" si="502"/>
        <v>97.345689893840245</v>
      </c>
      <c r="M543">
        <f t="shared" ca="1" si="502"/>
        <v>97.488841331879058</v>
      </c>
      <c r="N543">
        <f t="shared" ca="1" si="502"/>
        <v>98.195727457186763</v>
      </c>
      <c r="O543">
        <f t="shared" ca="1" si="502"/>
        <v>99.143991725300481</v>
      </c>
      <c r="P543">
        <f t="shared" ca="1" si="502"/>
        <v>99.642797123483177</v>
      </c>
      <c r="Q543">
        <f t="shared" ca="1" si="484"/>
        <v>103.29882889068902</v>
      </c>
      <c r="R543">
        <f t="shared" ca="1" si="485"/>
        <v>0</v>
      </c>
      <c r="S543">
        <f t="shared" ca="1" si="486"/>
        <v>0</v>
      </c>
    </row>
    <row r="544" spans="5:19" x14ac:dyDescent="0.75">
      <c r="E544">
        <v>539</v>
      </c>
      <c r="F544">
        <f t="shared" si="482"/>
        <v>100</v>
      </c>
      <c r="G544">
        <f t="shared" ca="1" si="483"/>
        <v>94.713169093396232</v>
      </c>
      <c r="H544">
        <f t="shared" ca="1" si="483"/>
        <v>89.379873490035067</v>
      </c>
      <c r="I544">
        <f t="shared" ca="1" si="483"/>
        <v>92.806822137504724</v>
      </c>
      <c r="J544">
        <f t="shared" ref="J544:P544" ca="1" si="503">I544*EXP(($C$6-0.5*$C$7^2)*$C$12+$C$7*SQRT($C$12)*NORMINV(RAND(),0,1))</f>
        <v>98.199930688140981</v>
      </c>
      <c r="K544">
        <f t="shared" ca="1" si="503"/>
        <v>97.040480036092262</v>
      </c>
      <c r="L544">
        <f t="shared" ca="1" si="503"/>
        <v>104.97601587901478</v>
      </c>
      <c r="M544">
        <f t="shared" ca="1" si="503"/>
        <v>113.05651734305292</v>
      </c>
      <c r="N544">
        <f t="shared" ca="1" si="503"/>
        <v>114.04187553301935</v>
      </c>
      <c r="O544">
        <f t="shared" ca="1" si="503"/>
        <v>112.94306147546943</v>
      </c>
      <c r="P544">
        <f t="shared" ca="1" si="503"/>
        <v>105.25930679332451</v>
      </c>
      <c r="Q544">
        <f t="shared" ca="1" si="484"/>
        <v>114.04187553301935</v>
      </c>
      <c r="R544">
        <f t="shared" ca="1" si="485"/>
        <v>0</v>
      </c>
      <c r="S544">
        <f t="shared" ca="1" si="486"/>
        <v>0</v>
      </c>
    </row>
    <row r="545" spans="5:19" x14ac:dyDescent="0.75">
      <c r="E545">
        <v>540</v>
      </c>
      <c r="F545">
        <f t="shared" si="482"/>
        <v>100</v>
      </c>
      <c r="G545">
        <f t="shared" ca="1" si="483"/>
        <v>99.974385870644483</v>
      </c>
      <c r="H545">
        <f t="shared" ca="1" si="483"/>
        <v>103.14140238151475</v>
      </c>
      <c r="I545">
        <f t="shared" ca="1" si="483"/>
        <v>103.05890288259799</v>
      </c>
      <c r="J545">
        <f t="shared" ref="J545:P545" ca="1" si="504">I545*EXP(($C$6-0.5*$C$7^2)*$C$12+$C$7*SQRT($C$12)*NORMINV(RAND(),0,1))</f>
        <v>104.06977419741824</v>
      </c>
      <c r="K545">
        <f t="shared" ca="1" si="504"/>
        <v>108.97844064469705</v>
      </c>
      <c r="L545">
        <f t="shared" ca="1" si="504"/>
        <v>110.43761323540099</v>
      </c>
      <c r="M545">
        <f t="shared" ca="1" si="504"/>
        <v>106.03391546240726</v>
      </c>
      <c r="N545">
        <f t="shared" ca="1" si="504"/>
        <v>111.69846907468536</v>
      </c>
      <c r="O545">
        <f t="shared" ca="1" si="504"/>
        <v>109.33809670410673</v>
      </c>
      <c r="P545">
        <f t="shared" ca="1" si="504"/>
        <v>120.10724462581295</v>
      </c>
      <c r="Q545">
        <f t="shared" ca="1" si="484"/>
        <v>120.10724462581295</v>
      </c>
      <c r="R545">
        <f t="shared" ca="1" si="485"/>
        <v>0</v>
      </c>
      <c r="S545">
        <f t="shared" ca="1" si="486"/>
        <v>0</v>
      </c>
    </row>
    <row r="546" spans="5:19" x14ac:dyDescent="0.75">
      <c r="E546">
        <v>541</v>
      </c>
      <c r="F546">
        <f t="shared" si="482"/>
        <v>100</v>
      </c>
      <c r="G546">
        <f t="shared" ca="1" si="483"/>
        <v>100.96711885953363</v>
      </c>
      <c r="H546">
        <f t="shared" ca="1" si="483"/>
        <v>92.794753052160544</v>
      </c>
      <c r="I546">
        <f t="shared" ca="1" si="483"/>
        <v>89.519992589980276</v>
      </c>
      <c r="J546">
        <f t="shared" ref="J546:P546" ca="1" si="505">I546*EXP(($C$6-0.5*$C$7^2)*$C$12+$C$7*SQRT($C$12)*NORMINV(RAND(),0,1))</f>
        <v>89.29152320126903</v>
      </c>
      <c r="K546">
        <f t="shared" ca="1" si="505"/>
        <v>92.690491556474882</v>
      </c>
      <c r="L546">
        <f t="shared" ca="1" si="505"/>
        <v>90.856104365577778</v>
      </c>
      <c r="M546">
        <f t="shared" ca="1" si="505"/>
        <v>94.975915337339245</v>
      </c>
      <c r="N546">
        <f t="shared" ca="1" si="505"/>
        <v>95.868156269081837</v>
      </c>
      <c r="O546">
        <f t="shared" ca="1" si="505"/>
        <v>92.091028750748066</v>
      </c>
      <c r="P546">
        <f t="shared" ca="1" si="505"/>
        <v>88.886232184836715</v>
      </c>
      <c r="Q546">
        <f t="shared" ca="1" si="484"/>
        <v>100.96711885953363</v>
      </c>
      <c r="R546">
        <f t="shared" ca="1" si="485"/>
        <v>0</v>
      </c>
      <c r="S546">
        <f t="shared" ca="1" si="486"/>
        <v>0</v>
      </c>
    </row>
    <row r="547" spans="5:19" x14ac:dyDescent="0.75">
      <c r="E547">
        <v>542</v>
      </c>
      <c r="F547">
        <f t="shared" si="482"/>
        <v>100</v>
      </c>
      <c r="G547">
        <f t="shared" ca="1" si="483"/>
        <v>104.48530957667805</v>
      </c>
      <c r="H547">
        <f t="shared" ca="1" si="483"/>
        <v>106.56345500692187</v>
      </c>
      <c r="I547">
        <f t="shared" ca="1" si="483"/>
        <v>102.9332594845263</v>
      </c>
      <c r="J547">
        <f t="shared" ref="J547:P547" ca="1" si="506">I547*EXP(($C$6-0.5*$C$7^2)*$C$12+$C$7*SQRT($C$12)*NORMINV(RAND(),0,1))</f>
        <v>97.539567080278928</v>
      </c>
      <c r="K547">
        <f t="shared" ca="1" si="506"/>
        <v>100.41976025642821</v>
      </c>
      <c r="L547">
        <f t="shared" ca="1" si="506"/>
        <v>98.214275740409647</v>
      </c>
      <c r="M547">
        <f t="shared" ca="1" si="506"/>
        <v>97.698701239226196</v>
      </c>
      <c r="N547">
        <f t="shared" ca="1" si="506"/>
        <v>94.875690510853573</v>
      </c>
      <c r="O547">
        <f t="shared" ca="1" si="506"/>
        <v>94.052283784155691</v>
      </c>
      <c r="P547">
        <f t="shared" ca="1" si="506"/>
        <v>91.144867640901566</v>
      </c>
      <c r="Q547">
        <f t="shared" ca="1" si="484"/>
        <v>106.56345500692187</v>
      </c>
      <c r="R547">
        <f t="shared" ca="1" si="485"/>
        <v>0</v>
      </c>
      <c r="S547">
        <f t="shared" ca="1" si="486"/>
        <v>0</v>
      </c>
    </row>
    <row r="548" spans="5:19" x14ac:dyDescent="0.75">
      <c r="E548">
        <v>543</v>
      </c>
      <c r="F548">
        <f t="shared" si="482"/>
        <v>100</v>
      </c>
      <c r="G548">
        <f t="shared" ca="1" si="483"/>
        <v>102.42868642146745</v>
      </c>
      <c r="H548">
        <f t="shared" ca="1" si="483"/>
        <v>103.2481663030609</v>
      </c>
      <c r="I548">
        <f t="shared" ca="1" si="483"/>
        <v>92.432297625559613</v>
      </c>
      <c r="J548">
        <f t="shared" ref="J548:P548" ca="1" si="507">I548*EXP(($C$6-0.5*$C$7^2)*$C$12+$C$7*SQRT($C$12)*NORMINV(RAND(),0,1))</f>
        <v>91.176189921316038</v>
      </c>
      <c r="K548">
        <f t="shared" ca="1" si="507"/>
        <v>89.434548213802884</v>
      </c>
      <c r="L548">
        <f t="shared" ca="1" si="507"/>
        <v>86.113730075333436</v>
      </c>
      <c r="M548">
        <f t="shared" ca="1" si="507"/>
        <v>89.725846342874434</v>
      </c>
      <c r="N548">
        <f t="shared" ca="1" si="507"/>
        <v>87.958424171157162</v>
      </c>
      <c r="O548">
        <f t="shared" ca="1" si="507"/>
        <v>90.545501958591004</v>
      </c>
      <c r="P548">
        <f t="shared" ca="1" si="507"/>
        <v>88.836230577524233</v>
      </c>
      <c r="Q548">
        <f t="shared" ca="1" si="484"/>
        <v>103.2481663030609</v>
      </c>
      <c r="R548">
        <f t="shared" ca="1" si="485"/>
        <v>0</v>
      </c>
      <c r="S548">
        <f t="shared" ca="1" si="486"/>
        <v>0</v>
      </c>
    </row>
    <row r="549" spans="5:19" x14ac:dyDescent="0.75">
      <c r="E549">
        <v>544</v>
      </c>
      <c r="F549">
        <f t="shared" si="482"/>
        <v>100</v>
      </c>
      <c r="G549">
        <f t="shared" ca="1" si="483"/>
        <v>98.398583863059883</v>
      </c>
      <c r="H549">
        <f t="shared" ca="1" si="483"/>
        <v>99.067740675140854</v>
      </c>
      <c r="I549">
        <f t="shared" ca="1" si="483"/>
        <v>96.751657418088527</v>
      </c>
      <c r="J549">
        <f t="shared" ref="J549:P549" ca="1" si="508">I549*EXP(($C$6-0.5*$C$7^2)*$C$12+$C$7*SQRT($C$12)*NORMINV(RAND(),0,1))</f>
        <v>99.071662701323518</v>
      </c>
      <c r="K549">
        <f t="shared" ca="1" si="508"/>
        <v>89.651261402681385</v>
      </c>
      <c r="L549">
        <f t="shared" ca="1" si="508"/>
        <v>87.752237054372074</v>
      </c>
      <c r="M549">
        <f t="shared" ca="1" si="508"/>
        <v>89.40359353568023</v>
      </c>
      <c r="N549">
        <f t="shared" ca="1" si="508"/>
        <v>88.099292472965985</v>
      </c>
      <c r="O549">
        <f t="shared" ca="1" si="508"/>
        <v>89.663916076361531</v>
      </c>
      <c r="P549">
        <f t="shared" ca="1" si="508"/>
        <v>84.680022058354254</v>
      </c>
      <c r="Q549">
        <f t="shared" ca="1" si="484"/>
        <v>99.071662701323518</v>
      </c>
      <c r="R549">
        <f t="shared" ca="1" si="485"/>
        <v>0</v>
      </c>
      <c r="S549">
        <f t="shared" ca="1" si="486"/>
        <v>0</v>
      </c>
    </row>
    <row r="550" spans="5:19" x14ac:dyDescent="0.75">
      <c r="E550">
        <v>545</v>
      </c>
      <c r="F550">
        <f t="shared" si="482"/>
        <v>100</v>
      </c>
      <c r="G550">
        <f t="shared" ca="1" si="483"/>
        <v>96.283422032744113</v>
      </c>
      <c r="H550">
        <f t="shared" ca="1" si="483"/>
        <v>101.61057037886796</v>
      </c>
      <c r="I550">
        <f t="shared" ca="1" si="483"/>
        <v>97.636664524624734</v>
      </c>
      <c r="J550">
        <f t="shared" ref="J550:P550" ca="1" si="509">I550*EXP(($C$6-0.5*$C$7^2)*$C$12+$C$7*SQRT($C$12)*NORMINV(RAND(),0,1))</f>
        <v>89.812969109462585</v>
      </c>
      <c r="K550">
        <f t="shared" ca="1" si="509"/>
        <v>84.08927886719961</v>
      </c>
      <c r="L550">
        <f t="shared" ca="1" si="509"/>
        <v>91.523421792262511</v>
      </c>
      <c r="M550">
        <f t="shared" ca="1" si="509"/>
        <v>98.258485077882071</v>
      </c>
      <c r="N550">
        <f t="shared" ca="1" si="509"/>
        <v>100.29431129712239</v>
      </c>
      <c r="O550">
        <f t="shared" ca="1" si="509"/>
        <v>98.710882779130827</v>
      </c>
      <c r="P550">
        <f t="shared" ca="1" si="509"/>
        <v>96.75968657625377</v>
      </c>
      <c r="Q550">
        <f t="shared" ca="1" si="484"/>
        <v>101.61057037886796</v>
      </c>
      <c r="R550">
        <f t="shared" ca="1" si="485"/>
        <v>0</v>
      </c>
      <c r="S550">
        <f t="shared" ca="1" si="486"/>
        <v>0</v>
      </c>
    </row>
    <row r="551" spans="5:19" x14ac:dyDescent="0.75">
      <c r="E551">
        <v>546</v>
      </c>
      <c r="F551">
        <f t="shared" si="482"/>
        <v>100</v>
      </c>
      <c r="G551">
        <f t="shared" ca="1" si="483"/>
        <v>100.95022579762205</v>
      </c>
      <c r="H551">
        <f t="shared" ca="1" si="483"/>
        <v>99.019885429610341</v>
      </c>
      <c r="I551">
        <f t="shared" ca="1" si="483"/>
        <v>98.171109057973553</v>
      </c>
      <c r="J551">
        <f t="shared" ref="J551:P551" ca="1" si="510">I551*EXP(($C$6-0.5*$C$7^2)*$C$12+$C$7*SQRT($C$12)*NORMINV(RAND(),0,1))</f>
        <v>104.8775639437107</v>
      </c>
      <c r="K551">
        <f t="shared" ca="1" si="510"/>
        <v>109.55462319994561</v>
      </c>
      <c r="L551">
        <f t="shared" ca="1" si="510"/>
        <v>111.02393301969894</v>
      </c>
      <c r="M551">
        <f t="shared" ca="1" si="510"/>
        <v>110.9323114027752</v>
      </c>
      <c r="N551">
        <f t="shared" ca="1" si="510"/>
        <v>104.59174078391126</v>
      </c>
      <c r="O551">
        <f t="shared" ca="1" si="510"/>
        <v>104.95680400870366</v>
      </c>
      <c r="P551">
        <f t="shared" ca="1" si="510"/>
        <v>108.0983179345269</v>
      </c>
      <c r="Q551">
        <f t="shared" ca="1" si="484"/>
        <v>111.02393301969894</v>
      </c>
      <c r="R551">
        <f t="shared" ca="1" si="485"/>
        <v>0</v>
      </c>
      <c r="S551">
        <f t="shared" ca="1" si="486"/>
        <v>0</v>
      </c>
    </row>
    <row r="552" spans="5:19" x14ac:dyDescent="0.75">
      <c r="E552">
        <v>547</v>
      </c>
      <c r="F552">
        <f t="shared" si="482"/>
        <v>100</v>
      </c>
      <c r="G552">
        <f t="shared" ca="1" si="483"/>
        <v>98.750331013291159</v>
      </c>
      <c r="H552">
        <f t="shared" ca="1" si="483"/>
        <v>109.38630908768859</v>
      </c>
      <c r="I552">
        <f t="shared" ca="1" si="483"/>
        <v>118.39346003680053</v>
      </c>
      <c r="J552">
        <f t="shared" ref="J552:P552" ca="1" si="511">I552*EXP(($C$6-0.5*$C$7^2)*$C$12+$C$7*SQRT($C$12)*NORMINV(RAND(),0,1))</f>
        <v>111.99690293798473</v>
      </c>
      <c r="K552">
        <f t="shared" ca="1" si="511"/>
        <v>108.65942427892828</v>
      </c>
      <c r="L552">
        <f t="shared" ca="1" si="511"/>
        <v>103.78244395736381</v>
      </c>
      <c r="M552">
        <f t="shared" ca="1" si="511"/>
        <v>104.51916056929868</v>
      </c>
      <c r="N552">
        <f t="shared" ca="1" si="511"/>
        <v>109.55313165491502</v>
      </c>
      <c r="O552">
        <f t="shared" ca="1" si="511"/>
        <v>105.11294216973366</v>
      </c>
      <c r="P552">
        <f t="shared" ca="1" si="511"/>
        <v>108.49302251724572</v>
      </c>
      <c r="Q552">
        <f t="shared" ca="1" si="484"/>
        <v>118.39346003680053</v>
      </c>
      <c r="R552">
        <f t="shared" ca="1" si="485"/>
        <v>0</v>
      </c>
      <c r="S552">
        <f t="shared" ca="1" si="486"/>
        <v>0</v>
      </c>
    </row>
    <row r="553" spans="5:19" x14ac:dyDescent="0.75">
      <c r="E553">
        <v>548</v>
      </c>
      <c r="F553">
        <f t="shared" si="482"/>
        <v>100</v>
      </c>
      <c r="G553">
        <f t="shared" ca="1" si="483"/>
        <v>96.014761322964148</v>
      </c>
      <c r="H553">
        <f t="shared" ca="1" si="483"/>
        <v>94.16010517715749</v>
      </c>
      <c r="I553">
        <f t="shared" ca="1" si="483"/>
        <v>90.144080876774922</v>
      </c>
      <c r="J553">
        <f t="shared" ref="J553:P553" ca="1" si="512">I553*EXP(($C$6-0.5*$C$7^2)*$C$12+$C$7*SQRT($C$12)*NORMINV(RAND(),0,1))</f>
        <v>88.740758362197298</v>
      </c>
      <c r="K553">
        <f t="shared" ca="1" si="512"/>
        <v>92.616486758564136</v>
      </c>
      <c r="L553">
        <f t="shared" ca="1" si="512"/>
        <v>95.122886537102787</v>
      </c>
      <c r="M553">
        <f t="shared" ca="1" si="512"/>
        <v>95.499223699158307</v>
      </c>
      <c r="N553">
        <f t="shared" ca="1" si="512"/>
        <v>92.99307272126471</v>
      </c>
      <c r="O553">
        <f t="shared" ca="1" si="512"/>
        <v>92.794736134057302</v>
      </c>
      <c r="P553">
        <f t="shared" ca="1" si="512"/>
        <v>91.782687610372747</v>
      </c>
      <c r="Q553">
        <f t="shared" ca="1" si="484"/>
        <v>96.014761322964148</v>
      </c>
      <c r="R553">
        <f t="shared" ca="1" si="485"/>
        <v>0</v>
      </c>
      <c r="S553">
        <f t="shared" ca="1" si="486"/>
        <v>0</v>
      </c>
    </row>
    <row r="554" spans="5:19" x14ac:dyDescent="0.75">
      <c r="E554">
        <v>549</v>
      </c>
      <c r="F554">
        <f t="shared" si="482"/>
        <v>100</v>
      </c>
      <c r="G554">
        <f t="shared" ca="1" si="483"/>
        <v>100.26433213083546</v>
      </c>
      <c r="H554">
        <f t="shared" ca="1" si="483"/>
        <v>108.10030810679741</v>
      </c>
      <c r="I554">
        <f t="shared" ca="1" si="483"/>
        <v>109.4821040888349</v>
      </c>
      <c r="J554">
        <f t="shared" ref="J554:P554" ca="1" si="513">I554*EXP(($C$6-0.5*$C$7^2)*$C$12+$C$7*SQRT($C$12)*NORMINV(RAND(),0,1))</f>
        <v>110.11000581252752</v>
      </c>
      <c r="K554">
        <f t="shared" ca="1" si="513"/>
        <v>120.64159602957173</v>
      </c>
      <c r="L554">
        <f t="shared" ca="1" si="513"/>
        <v>128.43306844446471</v>
      </c>
      <c r="M554">
        <f t="shared" ca="1" si="513"/>
        <v>132.08877951735931</v>
      </c>
      <c r="N554">
        <f t="shared" ca="1" si="513"/>
        <v>138.57082446399076</v>
      </c>
      <c r="O554">
        <f t="shared" ca="1" si="513"/>
        <v>138.32020019995298</v>
      </c>
      <c r="P554">
        <f t="shared" ca="1" si="513"/>
        <v>143.12196475609642</v>
      </c>
      <c r="Q554">
        <f t="shared" ca="1" si="484"/>
        <v>143.12196475609642</v>
      </c>
      <c r="R554">
        <f t="shared" ca="1" si="485"/>
        <v>0</v>
      </c>
      <c r="S554">
        <f t="shared" ca="1" si="486"/>
        <v>0</v>
      </c>
    </row>
    <row r="555" spans="5:19" x14ac:dyDescent="0.75">
      <c r="E555">
        <v>550</v>
      </c>
      <c r="F555">
        <f t="shared" si="482"/>
        <v>100</v>
      </c>
      <c r="G555">
        <f t="shared" ca="1" si="483"/>
        <v>109.63605834908887</v>
      </c>
      <c r="H555">
        <f t="shared" ca="1" si="483"/>
        <v>114.72292671887291</v>
      </c>
      <c r="I555">
        <f t="shared" ca="1" si="483"/>
        <v>119.48641268665915</v>
      </c>
      <c r="J555">
        <f t="shared" ref="J555:P555" ca="1" si="514">I555*EXP(($C$6-0.5*$C$7^2)*$C$12+$C$7*SQRT($C$12)*NORMINV(RAND(),0,1))</f>
        <v>116.99205729776101</v>
      </c>
      <c r="K555">
        <f t="shared" ca="1" si="514"/>
        <v>111.56953559151373</v>
      </c>
      <c r="L555">
        <f t="shared" ca="1" si="514"/>
        <v>112.07990058425244</v>
      </c>
      <c r="M555">
        <f t="shared" ca="1" si="514"/>
        <v>102.64739394346273</v>
      </c>
      <c r="N555">
        <f t="shared" ca="1" si="514"/>
        <v>104.4478997335769</v>
      </c>
      <c r="O555">
        <f t="shared" ca="1" si="514"/>
        <v>108.48009528356373</v>
      </c>
      <c r="P555">
        <f t="shared" ca="1" si="514"/>
        <v>108.72321815011971</v>
      </c>
      <c r="Q555">
        <f t="shared" ca="1" si="484"/>
        <v>119.48641268665915</v>
      </c>
      <c r="R555">
        <f t="shared" ca="1" si="485"/>
        <v>0</v>
      </c>
      <c r="S555">
        <f t="shared" ca="1" si="486"/>
        <v>0</v>
      </c>
    </row>
    <row r="556" spans="5:19" x14ac:dyDescent="0.75">
      <c r="E556">
        <v>551</v>
      </c>
      <c r="F556">
        <f t="shared" si="482"/>
        <v>100</v>
      </c>
      <c r="G556">
        <f t="shared" ca="1" si="483"/>
        <v>107.17789164052964</v>
      </c>
      <c r="H556">
        <f t="shared" ca="1" si="483"/>
        <v>105.63049021343051</v>
      </c>
      <c r="I556">
        <f t="shared" ca="1" si="483"/>
        <v>100.95382526926561</v>
      </c>
      <c r="J556">
        <f t="shared" ref="J556:P556" ca="1" si="515">I556*EXP(($C$6-0.5*$C$7^2)*$C$12+$C$7*SQRT($C$12)*NORMINV(RAND(),0,1))</f>
        <v>101.40886509963519</v>
      </c>
      <c r="K556">
        <f t="shared" ca="1" si="515"/>
        <v>104.22110031892238</v>
      </c>
      <c r="L556">
        <f t="shared" ca="1" si="515"/>
        <v>105.89918701512363</v>
      </c>
      <c r="M556">
        <f t="shared" ca="1" si="515"/>
        <v>110.14670006092263</v>
      </c>
      <c r="N556">
        <f t="shared" ca="1" si="515"/>
        <v>118.06391832433886</v>
      </c>
      <c r="O556">
        <f t="shared" ca="1" si="515"/>
        <v>118.54238159666859</v>
      </c>
      <c r="P556">
        <f t="shared" ca="1" si="515"/>
        <v>117.02640981700344</v>
      </c>
      <c r="Q556">
        <f t="shared" ca="1" si="484"/>
        <v>118.54238159666859</v>
      </c>
      <c r="R556">
        <f t="shared" ca="1" si="485"/>
        <v>0</v>
      </c>
      <c r="S556">
        <f t="shared" ca="1" si="486"/>
        <v>0</v>
      </c>
    </row>
    <row r="557" spans="5:19" x14ac:dyDescent="0.75">
      <c r="E557">
        <v>552</v>
      </c>
      <c r="F557">
        <f t="shared" si="482"/>
        <v>100</v>
      </c>
      <c r="G557">
        <f t="shared" ca="1" si="483"/>
        <v>94.964507802559154</v>
      </c>
      <c r="H557">
        <f t="shared" ca="1" si="483"/>
        <v>94.227658843204395</v>
      </c>
      <c r="I557">
        <f t="shared" ca="1" si="483"/>
        <v>85.732572902881444</v>
      </c>
      <c r="J557">
        <f t="shared" ref="J557:P557" ca="1" si="516">I557*EXP(($C$6-0.5*$C$7^2)*$C$12+$C$7*SQRT($C$12)*NORMINV(RAND(),0,1))</f>
        <v>81.664879442231964</v>
      </c>
      <c r="K557">
        <f t="shared" ca="1" si="516"/>
        <v>80.300277339435752</v>
      </c>
      <c r="L557">
        <f t="shared" ca="1" si="516"/>
        <v>77.879367420121881</v>
      </c>
      <c r="M557">
        <f t="shared" ca="1" si="516"/>
        <v>79.132559323453322</v>
      </c>
      <c r="N557">
        <f t="shared" ca="1" si="516"/>
        <v>82.400487453043297</v>
      </c>
      <c r="O557">
        <f t="shared" ca="1" si="516"/>
        <v>81.490286994798311</v>
      </c>
      <c r="P557">
        <f t="shared" ca="1" si="516"/>
        <v>85.624816665128179</v>
      </c>
      <c r="Q557">
        <f t="shared" ca="1" si="484"/>
        <v>94.964507802559154</v>
      </c>
      <c r="R557">
        <f t="shared" ca="1" si="485"/>
        <v>0</v>
      </c>
      <c r="S557">
        <f t="shared" ca="1" si="486"/>
        <v>0</v>
      </c>
    </row>
    <row r="558" spans="5:19" x14ac:dyDescent="0.75">
      <c r="E558">
        <v>553</v>
      </c>
      <c r="F558">
        <f t="shared" si="482"/>
        <v>100</v>
      </c>
      <c r="G558">
        <f t="shared" ca="1" si="483"/>
        <v>102.42307644586157</v>
      </c>
      <c r="H558">
        <f t="shared" ca="1" si="483"/>
        <v>100.15439145204215</v>
      </c>
      <c r="I558">
        <f t="shared" ca="1" si="483"/>
        <v>98.383012788332522</v>
      </c>
      <c r="J558">
        <f t="shared" ref="J558:P558" ca="1" si="517">I558*EXP(($C$6-0.5*$C$7^2)*$C$12+$C$7*SQRT($C$12)*NORMINV(RAND(),0,1))</f>
        <v>96.66714311406011</v>
      </c>
      <c r="K558">
        <f t="shared" ca="1" si="517"/>
        <v>87.718093255361438</v>
      </c>
      <c r="L558">
        <f t="shared" ca="1" si="517"/>
        <v>79.558959690034499</v>
      </c>
      <c r="M558">
        <f t="shared" ca="1" si="517"/>
        <v>75.220745098006688</v>
      </c>
      <c r="N558">
        <f t="shared" ca="1" si="517"/>
        <v>72.400385231307993</v>
      </c>
      <c r="O558">
        <f t="shared" ca="1" si="517"/>
        <v>71.895375060041744</v>
      </c>
      <c r="P558">
        <f t="shared" ca="1" si="517"/>
        <v>75.913523412583018</v>
      </c>
      <c r="Q558">
        <f t="shared" ca="1" si="484"/>
        <v>102.42307644586157</v>
      </c>
      <c r="R558">
        <f t="shared" ca="1" si="485"/>
        <v>0</v>
      </c>
      <c r="S558">
        <f t="shared" ca="1" si="486"/>
        <v>0</v>
      </c>
    </row>
    <row r="559" spans="5:19" x14ac:dyDescent="0.75">
      <c r="E559">
        <v>554</v>
      </c>
      <c r="F559">
        <f t="shared" si="482"/>
        <v>100</v>
      </c>
      <c r="G559">
        <f t="shared" ca="1" si="483"/>
        <v>106.54761256515349</v>
      </c>
      <c r="H559">
        <f t="shared" ca="1" si="483"/>
        <v>110.18802871563265</v>
      </c>
      <c r="I559">
        <f t="shared" ca="1" si="483"/>
        <v>115.18694933132053</v>
      </c>
      <c r="J559">
        <f t="shared" ref="J559:P559" ca="1" si="518">I559*EXP(($C$6-0.5*$C$7^2)*$C$12+$C$7*SQRT($C$12)*NORMINV(RAND(),0,1))</f>
        <v>111.14801210417073</v>
      </c>
      <c r="K559">
        <f t="shared" ca="1" si="518"/>
        <v>110.84607636023911</v>
      </c>
      <c r="L559">
        <f t="shared" ca="1" si="518"/>
        <v>116.18377666652289</v>
      </c>
      <c r="M559">
        <f t="shared" ca="1" si="518"/>
        <v>117.14696533761901</v>
      </c>
      <c r="N559">
        <f t="shared" ca="1" si="518"/>
        <v>113.0144813673663</v>
      </c>
      <c r="O559">
        <f t="shared" ca="1" si="518"/>
        <v>105.53780448245423</v>
      </c>
      <c r="P559">
        <f t="shared" ca="1" si="518"/>
        <v>122.65573635068263</v>
      </c>
      <c r="Q559">
        <f t="shared" ca="1" si="484"/>
        <v>122.65573635068263</v>
      </c>
      <c r="R559">
        <f t="shared" ca="1" si="485"/>
        <v>0</v>
      </c>
      <c r="S559">
        <f t="shared" ca="1" si="486"/>
        <v>0</v>
      </c>
    </row>
    <row r="560" spans="5:19" x14ac:dyDescent="0.75">
      <c r="E560">
        <v>555</v>
      </c>
      <c r="F560">
        <f t="shared" si="482"/>
        <v>100</v>
      </c>
      <c r="G560">
        <f t="shared" ca="1" si="483"/>
        <v>96.052537952031173</v>
      </c>
      <c r="H560">
        <f t="shared" ca="1" si="483"/>
        <v>99.097682872915385</v>
      </c>
      <c r="I560">
        <f t="shared" ca="1" si="483"/>
        <v>97.539482176719829</v>
      </c>
      <c r="J560">
        <f t="shared" ref="J560:P560" ca="1" si="519">I560*EXP(($C$6-0.5*$C$7^2)*$C$12+$C$7*SQRT($C$12)*NORMINV(RAND(),0,1))</f>
        <v>102.08997259308968</v>
      </c>
      <c r="K560">
        <f t="shared" ca="1" si="519"/>
        <v>99.141999850140891</v>
      </c>
      <c r="L560">
        <f t="shared" ca="1" si="519"/>
        <v>100.1208886483787</v>
      </c>
      <c r="M560">
        <f t="shared" ca="1" si="519"/>
        <v>106.66910911239528</v>
      </c>
      <c r="N560">
        <f t="shared" ca="1" si="519"/>
        <v>109.67830040356928</v>
      </c>
      <c r="O560">
        <f t="shared" ca="1" si="519"/>
        <v>114.43673081462887</v>
      </c>
      <c r="P560">
        <f t="shared" ca="1" si="519"/>
        <v>111.66011729702844</v>
      </c>
      <c r="Q560">
        <f t="shared" ca="1" si="484"/>
        <v>114.43673081462887</v>
      </c>
      <c r="R560">
        <f t="shared" ca="1" si="485"/>
        <v>0</v>
      </c>
      <c r="S560">
        <f t="shared" ca="1" si="486"/>
        <v>0</v>
      </c>
    </row>
    <row r="561" spans="5:19" x14ac:dyDescent="0.75">
      <c r="E561">
        <v>556</v>
      </c>
      <c r="F561">
        <f t="shared" si="482"/>
        <v>100</v>
      </c>
      <c r="G561">
        <f t="shared" ca="1" si="483"/>
        <v>98.463756403667318</v>
      </c>
      <c r="H561">
        <f t="shared" ca="1" si="483"/>
        <v>94.944004002444302</v>
      </c>
      <c r="I561">
        <f t="shared" ca="1" si="483"/>
        <v>92.193664876956731</v>
      </c>
      <c r="J561">
        <f t="shared" ref="J561:P561" ca="1" si="520">I561*EXP(($C$6-0.5*$C$7^2)*$C$12+$C$7*SQRT($C$12)*NORMINV(RAND(),0,1))</f>
        <v>95.297579823717939</v>
      </c>
      <c r="K561">
        <f t="shared" ca="1" si="520"/>
        <v>99.577217037900681</v>
      </c>
      <c r="L561">
        <f t="shared" ca="1" si="520"/>
        <v>106.89633280020087</v>
      </c>
      <c r="M561">
        <f t="shared" ca="1" si="520"/>
        <v>108.16005785745723</v>
      </c>
      <c r="N561">
        <f t="shared" ca="1" si="520"/>
        <v>109.84658102386609</v>
      </c>
      <c r="O561">
        <f t="shared" ca="1" si="520"/>
        <v>112.47445871732138</v>
      </c>
      <c r="P561">
        <f t="shared" ca="1" si="520"/>
        <v>116.15219536792404</v>
      </c>
      <c r="Q561">
        <f t="shared" ca="1" si="484"/>
        <v>116.15219536792404</v>
      </c>
      <c r="R561">
        <f t="shared" ca="1" si="485"/>
        <v>0</v>
      </c>
      <c r="S561">
        <f t="shared" ca="1" si="486"/>
        <v>0</v>
      </c>
    </row>
    <row r="562" spans="5:19" x14ac:dyDescent="0.75">
      <c r="E562">
        <v>557</v>
      </c>
      <c r="F562">
        <f t="shared" si="482"/>
        <v>100</v>
      </c>
      <c r="G562">
        <f t="shared" ca="1" si="483"/>
        <v>105.33578885264801</v>
      </c>
      <c r="H562">
        <f t="shared" ca="1" si="483"/>
        <v>100.60955121535578</v>
      </c>
      <c r="I562">
        <f t="shared" ca="1" si="483"/>
        <v>101.21003647062803</v>
      </c>
      <c r="J562">
        <f t="shared" ref="J562:P562" ca="1" si="521">I562*EXP(($C$6-0.5*$C$7^2)*$C$12+$C$7*SQRT($C$12)*NORMINV(RAND(),0,1))</f>
        <v>99.287380156353038</v>
      </c>
      <c r="K562">
        <f t="shared" ca="1" si="521"/>
        <v>95.413568534192706</v>
      </c>
      <c r="L562">
        <f t="shared" ca="1" si="521"/>
        <v>94.332015301063578</v>
      </c>
      <c r="M562">
        <f t="shared" ca="1" si="521"/>
        <v>88.882834123607793</v>
      </c>
      <c r="N562">
        <f t="shared" ca="1" si="521"/>
        <v>88.023442200795415</v>
      </c>
      <c r="O562">
        <f t="shared" ca="1" si="521"/>
        <v>92.911573760125933</v>
      </c>
      <c r="P562">
        <f t="shared" ca="1" si="521"/>
        <v>93.721608256451006</v>
      </c>
      <c r="Q562">
        <f t="shared" ca="1" si="484"/>
        <v>105.33578885264801</v>
      </c>
      <c r="R562">
        <f t="shared" ca="1" si="485"/>
        <v>0</v>
      </c>
      <c r="S562">
        <f t="shared" ca="1" si="486"/>
        <v>0</v>
      </c>
    </row>
    <row r="563" spans="5:19" x14ac:dyDescent="0.75">
      <c r="E563">
        <v>558</v>
      </c>
      <c r="F563">
        <f t="shared" si="482"/>
        <v>100</v>
      </c>
      <c r="G563">
        <f t="shared" ca="1" si="483"/>
        <v>98.3812977434077</v>
      </c>
      <c r="H563">
        <f t="shared" ca="1" si="483"/>
        <v>100.01640581857122</v>
      </c>
      <c r="I563">
        <f t="shared" ca="1" si="483"/>
        <v>99.289665507674584</v>
      </c>
      <c r="J563">
        <f t="shared" ref="J563:P563" ca="1" si="522">I563*EXP(($C$6-0.5*$C$7^2)*$C$12+$C$7*SQRT($C$12)*NORMINV(RAND(),0,1))</f>
        <v>97.528882795772304</v>
      </c>
      <c r="K563">
        <f t="shared" ca="1" si="522"/>
        <v>97.337230155813629</v>
      </c>
      <c r="L563">
        <f t="shared" ca="1" si="522"/>
        <v>98.649285902556059</v>
      </c>
      <c r="M563">
        <f t="shared" ca="1" si="522"/>
        <v>112.93927333920114</v>
      </c>
      <c r="N563">
        <f t="shared" ca="1" si="522"/>
        <v>115.22342986670677</v>
      </c>
      <c r="O563">
        <f t="shared" ca="1" si="522"/>
        <v>112.5768448723027</v>
      </c>
      <c r="P563">
        <f t="shared" ca="1" si="522"/>
        <v>116.44686419868438</v>
      </c>
      <c r="Q563">
        <f t="shared" ca="1" si="484"/>
        <v>116.44686419868438</v>
      </c>
      <c r="R563">
        <f t="shared" ca="1" si="485"/>
        <v>0</v>
      </c>
      <c r="S563">
        <f t="shared" ca="1" si="486"/>
        <v>0</v>
      </c>
    </row>
    <row r="564" spans="5:19" x14ac:dyDescent="0.75">
      <c r="E564">
        <v>559</v>
      </c>
      <c r="F564">
        <f t="shared" si="482"/>
        <v>100</v>
      </c>
      <c r="G564">
        <f t="shared" ca="1" si="483"/>
        <v>94.886007695338321</v>
      </c>
      <c r="H564">
        <f t="shared" ca="1" si="483"/>
        <v>89.932406308481845</v>
      </c>
      <c r="I564">
        <f t="shared" ca="1" si="483"/>
        <v>91.551447224002501</v>
      </c>
      <c r="J564">
        <f t="shared" ref="J564:P564" ca="1" si="523">I564*EXP(($C$6-0.5*$C$7^2)*$C$12+$C$7*SQRT($C$12)*NORMINV(RAND(),0,1))</f>
        <v>86.830745902961027</v>
      </c>
      <c r="K564">
        <f t="shared" ca="1" si="523"/>
        <v>87.22659484966681</v>
      </c>
      <c r="L564">
        <f t="shared" ca="1" si="523"/>
        <v>91.65677659792162</v>
      </c>
      <c r="M564">
        <f t="shared" ca="1" si="523"/>
        <v>92.343447271477245</v>
      </c>
      <c r="N564">
        <f t="shared" ca="1" si="523"/>
        <v>84.545690229129988</v>
      </c>
      <c r="O564">
        <f t="shared" ca="1" si="523"/>
        <v>85.952880928210064</v>
      </c>
      <c r="P564">
        <f t="shared" ca="1" si="523"/>
        <v>89.25281987014921</v>
      </c>
      <c r="Q564">
        <f t="shared" ca="1" si="484"/>
        <v>94.886007695338321</v>
      </c>
      <c r="R564">
        <f t="shared" ca="1" si="485"/>
        <v>0</v>
      </c>
      <c r="S564">
        <f t="shared" ca="1" si="486"/>
        <v>0</v>
      </c>
    </row>
    <row r="565" spans="5:19" x14ac:dyDescent="0.75">
      <c r="E565">
        <v>560</v>
      </c>
      <c r="F565">
        <f t="shared" si="482"/>
        <v>100</v>
      </c>
      <c r="G565">
        <f t="shared" ca="1" si="483"/>
        <v>100.34221793797329</v>
      </c>
      <c r="H565">
        <f t="shared" ca="1" si="483"/>
        <v>98.354911647303709</v>
      </c>
      <c r="I565">
        <f t="shared" ca="1" si="483"/>
        <v>91.101269500167703</v>
      </c>
      <c r="J565">
        <f t="shared" ref="J565:P565" ca="1" si="524">I565*EXP(($C$6-0.5*$C$7^2)*$C$12+$C$7*SQRT($C$12)*NORMINV(RAND(),0,1))</f>
        <v>90.627944949244593</v>
      </c>
      <c r="K565">
        <f t="shared" ca="1" si="524"/>
        <v>91.539261204863749</v>
      </c>
      <c r="L565">
        <f t="shared" ca="1" si="524"/>
        <v>91.681816630131607</v>
      </c>
      <c r="M565">
        <f t="shared" ca="1" si="524"/>
        <v>88.42576698604374</v>
      </c>
      <c r="N565">
        <f t="shared" ca="1" si="524"/>
        <v>91.815992487976615</v>
      </c>
      <c r="O565">
        <f t="shared" ca="1" si="524"/>
        <v>89.724481156348048</v>
      </c>
      <c r="P565">
        <f t="shared" ca="1" si="524"/>
        <v>93.007759406869184</v>
      </c>
      <c r="Q565">
        <f t="shared" ca="1" si="484"/>
        <v>100.34221793797329</v>
      </c>
      <c r="R565">
        <f t="shared" ca="1" si="485"/>
        <v>0</v>
      </c>
      <c r="S565">
        <f t="shared" ca="1" si="486"/>
        <v>0</v>
      </c>
    </row>
    <row r="566" spans="5:19" x14ac:dyDescent="0.75">
      <c r="E566">
        <v>561</v>
      </c>
      <c r="F566">
        <f t="shared" si="482"/>
        <v>100</v>
      </c>
      <c r="G566">
        <f t="shared" ca="1" si="483"/>
        <v>91.378067348413552</v>
      </c>
      <c r="H566">
        <f t="shared" ca="1" si="483"/>
        <v>93.303146674968943</v>
      </c>
      <c r="I566">
        <f t="shared" ca="1" si="483"/>
        <v>90.287982097481432</v>
      </c>
      <c r="J566">
        <f t="shared" ref="J566:P566" ca="1" si="525">I566*EXP(($C$6-0.5*$C$7^2)*$C$12+$C$7*SQRT($C$12)*NORMINV(RAND(),0,1))</f>
        <v>85.019707998299722</v>
      </c>
      <c r="K566">
        <f t="shared" ca="1" si="525"/>
        <v>80.682259235359368</v>
      </c>
      <c r="L566">
        <f t="shared" ca="1" si="525"/>
        <v>75.640791252478536</v>
      </c>
      <c r="M566">
        <f t="shared" ca="1" si="525"/>
        <v>74.369424779041466</v>
      </c>
      <c r="N566">
        <f t="shared" ca="1" si="525"/>
        <v>72.348198747387642</v>
      </c>
      <c r="O566">
        <f t="shared" ca="1" si="525"/>
        <v>72.602889775932496</v>
      </c>
      <c r="P566">
        <f t="shared" ca="1" si="525"/>
        <v>72.850960687947406</v>
      </c>
      <c r="Q566">
        <f t="shared" ca="1" si="484"/>
        <v>93.303146674968943</v>
      </c>
      <c r="R566">
        <f t="shared" ca="1" si="485"/>
        <v>0</v>
      </c>
      <c r="S566">
        <f t="shared" ca="1" si="486"/>
        <v>0</v>
      </c>
    </row>
    <row r="567" spans="5:19" x14ac:dyDescent="0.75">
      <c r="E567">
        <v>562</v>
      </c>
      <c r="F567">
        <f t="shared" si="482"/>
        <v>100</v>
      </c>
      <c r="G567">
        <f t="shared" ca="1" si="483"/>
        <v>100.23758266001255</v>
      </c>
      <c r="H567">
        <f t="shared" ca="1" si="483"/>
        <v>100.42446399127775</v>
      </c>
      <c r="I567">
        <f t="shared" ca="1" si="483"/>
        <v>91.805422613556772</v>
      </c>
      <c r="J567">
        <f t="shared" ref="J567:P567" ca="1" si="526">I567*EXP(($C$6-0.5*$C$7^2)*$C$12+$C$7*SQRT($C$12)*NORMINV(RAND(),0,1))</f>
        <v>89.959824900612261</v>
      </c>
      <c r="K567">
        <f t="shared" ca="1" si="526"/>
        <v>92.01872090189903</v>
      </c>
      <c r="L567">
        <f t="shared" ca="1" si="526"/>
        <v>93.446860734922907</v>
      </c>
      <c r="M567">
        <f t="shared" ca="1" si="526"/>
        <v>91.517048562263668</v>
      </c>
      <c r="N567">
        <f t="shared" ca="1" si="526"/>
        <v>86.821677446334206</v>
      </c>
      <c r="O567">
        <f t="shared" ca="1" si="526"/>
        <v>94.599176185279816</v>
      </c>
      <c r="P567">
        <f t="shared" ca="1" si="526"/>
        <v>105.08742077986781</v>
      </c>
      <c r="Q567">
        <f t="shared" ca="1" si="484"/>
        <v>105.08742077986781</v>
      </c>
      <c r="R567">
        <f t="shared" ca="1" si="485"/>
        <v>3.0874207798678128</v>
      </c>
      <c r="S567">
        <f t="shared" ca="1" si="486"/>
        <v>3.0111920892073227</v>
      </c>
    </row>
    <row r="568" spans="5:19" x14ac:dyDescent="0.75">
      <c r="E568">
        <v>563</v>
      </c>
      <c r="F568">
        <f t="shared" si="482"/>
        <v>100</v>
      </c>
      <c r="G568">
        <f t="shared" ca="1" si="483"/>
        <v>88.961418707034682</v>
      </c>
      <c r="H568">
        <f t="shared" ca="1" si="483"/>
        <v>90.668075429345336</v>
      </c>
      <c r="I568">
        <f t="shared" ca="1" si="483"/>
        <v>96.310035456476996</v>
      </c>
      <c r="J568">
        <f t="shared" ref="J568:P568" ca="1" si="527">I568*EXP(($C$6-0.5*$C$7^2)*$C$12+$C$7*SQRT($C$12)*NORMINV(RAND(),0,1))</f>
        <v>98.776542408776876</v>
      </c>
      <c r="K568">
        <f t="shared" ca="1" si="527"/>
        <v>103.61030163262824</v>
      </c>
      <c r="L568">
        <f t="shared" ca="1" si="527"/>
        <v>104.44602359885319</v>
      </c>
      <c r="M568">
        <f t="shared" ca="1" si="527"/>
        <v>102.98313126334581</v>
      </c>
      <c r="N568">
        <f t="shared" ca="1" si="527"/>
        <v>106.47299013533527</v>
      </c>
      <c r="O568">
        <f t="shared" ca="1" si="527"/>
        <v>101.64823573150237</v>
      </c>
      <c r="P568">
        <f t="shared" ca="1" si="527"/>
        <v>98.739191659513679</v>
      </c>
      <c r="Q568">
        <f t="shared" ca="1" si="484"/>
        <v>106.47299013533527</v>
      </c>
      <c r="R568">
        <f t="shared" ca="1" si="485"/>
        <v>0</v>
      </c>
      <c r="S568">
        <f t="shared" ca="1" si="486"/>
        <v>0</v>
      </c>
    </row>
    <row r="569" spans="5:19" x14ac:dyDescent="0.75">
      <c r="E569">
        <v>564</v>
      </c>
      <c r="F569">
        <f t="shared" si="482"/>
        <v>100</v>
      </c>
      <c r="G569">
        <f t="shared" ca="1" si="483"/>
        <v>96.403105641082789</v>
      </c>
      <c r="H569">
        <f t="shared" ca="1" si="483"/>
        <v>97.023294408232076</v>
      </c>
      <c r="I569">
        <f t="shared" ca="1" si="483"/>
        <v>98.282608246403882</v>
      </c>
      <c r="J569">
        <f t="shared" ref="J569:P569" ca="1" si="528">I569*EXP(($C$6-0.5*$C$7^2)*$C$12+$C$7*SQRT($C$12)*NORMINV(RAND(),0,1))</f>
        <v>93.735805162316481</v>
      </c>
      <c r="K569">
        <f t="shared" ca="1" si="528"/>
        <v>92.140447202841827</v>
      </c>
      <c r="L569">
        <f t="shared" ca="1" si="528"/>
        <v>94.109151993273784</v>
      </c>
      <c r="M569">
        <f t="shared" ca="1" si="528"/>
        <v>89.572273353656044</v>
      </c>
      <c r="N569">
        <f t="shared" ca="1" si="528"/>
        <v>91.609147034020879</v>
      </c>
      <c r="O569">
        <f t="shared" ca="1" si="528"/>
        <v>95.696404590509871</v>
      </c>
      <c r="P569">
        <f t="shared" ca="1" si="528"/>
        <v>97.750354920267554</v>
      </c>
      <c r="Q569">
        <f t="shared" ca="1" si="484"/>
        <v>98.282608246403882</v>
      </c>
      <c r="R569">
        <f t="shared" ca="1" si="485"/>
        <v>0</v>
      </c>
      <c r="S569">
        <f t="shared" ca="1" si="486"/>
        <v>0</v>
      </c>
    </row>
    <row r="570" spans="5:19" x14ac:dyDescent="0.75">
      <c r="E570">
        <v>565</v>
      </c>
      <c r="F570">
        <f t="shared" si="482"/>
        <v>100</v>
      </c>
      <c r="G570">
        <f t="shared" ca="1" si="483"/>
        <v>102.49911479929467</v>
      </c>
      <c r="H570">
        <f t="shared" ca="1" si="483"/>
        <v>110.58120218199188</v>
      </c>
      <c r="I570">
        <f t="shared" ca="1" si="483"/>
        <v>115.8469508210809</v>
      </c>
      <c r="J570">
        <f t="shared" ref="J570:P570" ca="1" si="529">I570*EXP(($C$6-0.5*$C$7^2)*$C$12+$C$7*SQRT($C$12)*NORMINV(RAND(),0,1))</f>
        <v>117.29926192611717</v>
      </c>
      <c r="K570">
        <f t="shared" ca="1" si="529"/>
        <v>121.1006309385982</v>
      </c>
      <c r="L570">
        <f t="shared" ca="1" si="529"/>
        <v>128.37116342828378</v>
      </c>
      <c r="M570">
        <f t="shared" ca="1" si="529"/>
        <v>121.71314998931177</v>
      </c>
      <c r="N570">
        <f t="shared" ca="1" si="529"/>
        <v>120.74927659413544</v>
      </c>
      <c r="O570">
        <f t="shared" ca="1" si="529"/>
        <v>121.80398923057811</v>
      </c>
      <c r="P570">
        <f t="shared" ca="1" si="529"/>
        <v>119.15165640870582</v>
      </c>
      <c r="Q570">
        <f t="shared" ca="1" si="484"/>
        <v>128.37116342828378</v>
      </c>
      <c r="R570">
        <f t="shared" ca="1" si="485"/>
        <v>0</v>
      </c>
      <c r="S570">
        <f t="shared" ca="1" si="486"/>
        <v>0</v>
      </c>
    </row>
    <row r="571" spans="5:19" x14ac:dyDescent="0.75">
      <c r="E571">
        <v>566</v>
      </c>
      <c r="F571">
        <f t="shared" si="482"/>
        <v>100</v>
      </c>
      <c r="G571">
        <f t="shared" ca="1" si="483"/>
        <v>104.42162107594667</v>
      </c>
      <c r="H571">
        <f t="shared" ca="1" si="483"/>
        <v>99.959429372452675</v>
      </c>
      <c r="I571">
        <f t="shared" ca="1" si="483"/>
        <v>90.692595104280755</v>
      </c>
      <c r="J571">
        <f t="shared" ref="J571:P571" ca="1" si="530">I571*EXP(($C$6-0.5*$C$7^2)*$C$12+$C$7*SQRT($C$12)*NORMINV(RAND(),0,1))</f>
        <v>92.041710858322062</v>
      </c>
      <c r="K571">
        <f t="shared" ca="1" si="530"/>
        <v>84.017735478723424</v>
      </c>
      <c r="L571">
        <f t="shared" ca="1" si="530"/>
        <v>78.159502977255457</v>
      </c>
      <c r="M571">
        <f t="shared" ca="1" si="530"/>
        <v>71.372921372340898</v>
      </c>
      <c r="N571">
        <f t="shared" ca="1" si="530"/>
        <v>70.483734184731972</v>
      </c>
      <c r="O571">
        <f t="shared" ca="1" si="530"/>
        <v>65.617662180569724</v>
      </c>
      <c r="P571">
        <f t="shared" ca="1" si="530"/>
        <v>64.600511858930943</v>
      </c>
      <c r="Q571">
        <f t="shared" ca="1" si="484"/>
        <v>104.42162107594667</v>
      </c>
      <c r="R571">
        <f t="shared" ca="1" si="485"/>
        <v>0</v>
      </c>
      <c r="S571">
        <f t="shared" ca="1" si="486"/>
        <v>0</v>
      </c>
    </row>
    <row r="572" spans="5:19" x14ac:dyDescent="0.75">
      <c r="E572">
        <v>567</v>
      </c>
      <c r="F572">
        <f t="shared" si="482"/>
        <v>100</v>
      </c>
      <c r="G572">
        <f t="shared" ca="1" si="483"/>
        <v>104.11853271148905</v>
      </c>
      <c r="H572">
        <f t="shared" ca="1" si="483"/>
        <v>103.42303592946179</v>
      </c>
      <c r="I572">
        <f t="shared" ca="1" si="483"/>
        <v>103.23498421785683</v>
      </c>
      <c r="J572">
        <f t="shared" ref="J572:P572" ca="1" si="531">I572*EXP(($C$6-0.5*$C$7^2)*$C$12+$C$7*SQRT($C$12)*NORMINV(RAND(),0,1))</f>
        <v>102.77315001498893</v>
      </c>
      <c r="K572">
        <f t="shared" ca="1" si="531"/>
        <v>117.73756090210684</v>
      </c>
      <c r="L572">
        <f t="shared" ca="1" si="531"/>
        <v>115.66502246758506</v>
      </c>
      <c r="M572">
        <f t="shared" ca="1" si="531"/>
        <v>108.72270808564164</v>
      </c>
      <c r="N572">
        <f t="shared" ca="1" si="531"/>
        <v>110.54922149658509</v>
      </c>
      <c r="O572">
        <f t="shared" ca="1" si="531"/>
        <v>113.51178184628705</v>
      </c>
      <c r="P572">
        <f t="shared" ca="1" si="531"/>
        <v>116.26814289190732</v>
      </c>
      <c r="Q572">
        <f t="shared" ca="1" si="484"/>
        <v>117.73756090210684</v>
      </c>
      <c r="R572">
        <f t="shared" ca="1" si="485"/>
        <v>0</v>
      </c>
      <c r="S572">
        <f t="shared" ca="1" si="486"/>
        <v>0</v>
      </c>
    </row>
    <row r="573" spans="5:19" x14ac:dyDescent="0.75">
      <c r="E573">
        <v>568</v>
      </c>
      <c r="F573">
        <f t="shared" si="482"/>
        <v>100</v>
      </c>
      <c r="G573">
        <f t="shared" ca="1" si="483"/>
        <v>109.2394598331865</v>
      </c>
      <c r="H573">
        <f t="shared" ca="1" si="483"/>
        <v>116.65167506848998</v>
      </c>
      <c r="I573">
        <f t="shared" ca="1" si="483"/>
        <v>111.71934116398417</v>
      </c>
      <c r="J573">
        <f t="shared" ref="J573:P573" ca="1" si="532">I573*EXP(($C$6-0.5*$C$7^2)*$C$12+$C$7*SQRT($C$12)*NORMINV(RAND(),0,1))</f>
        <v>120.17076614330209</v>
      </c>
      <c r="K573">
        <f t="shared" ca="1" si="532"/>
        <v>122.18103075755418</v>
      </c>
      <c r="L573">
        <f t="shared" ca="1" si="532"/>
        <v>119.42804497311397</v>
      </c>
      <c r="M573">
        <f t="shared" ca="1" si="532"/>
        <v>122.77539068240114</v>
      </c>
      <c r="N573">
        <f t="shared" ca="1" si="532"/>
        <v>127.71435509536951</v>
      </c>
      <c r="O573">
        <f t="shared" ca="1" si="532"/>
        <v>131.67448973720519</v>
      </c>
      <c r="P573">
        <f t="shared" ca="1" si="532"/>
        <v>126.05141660611757</v>
      </c>
      <c r="Q573">
        <f t="shared" ca="1" si="484"/>
        <v>131.67448973720519</v>
      </c>
      <c r="R573">
        <f t="shared" ca="1" si="485"/>
        <v>0</v>
      </c>
      <c r="S573">
        <f t="shared" ca="1" si="486"/>
        <v>0</v>
      </c>
    </row>
    <row r="574" spans="5:19" x14ac:dyDescent="0.75">
      <c r="E574">
        <v>569</v>
      </c>
      <c r="F574">
        <f t="shared" si="482"/>
        <v>100</v>
      </c>
      <c r="G574">
        <f t="shared" ca="1" si="483"/>
        <v>108.15008834491306</v>
      </c>
      <c r="H574">
        <f t="shared" ca="1" si="483"/>
        <v>115.01231564908768</v>
      </c>
      <c r="I574">
        <f t="shared" ca="1" si="483"/>
        <v>114.99201118060256</v>
      </c>
      <c r="J574">
        <f t="shared" ref="J574:P574" ca="1" si="533">I574*EXP(($C$6-0.5*$C$7^2)*$C$12+$C$7*SQRT($C$12)*NORMINV(RAND(),0,1))</f>
        <v>122.09398499992312</v>
      </c>
      <c r="K574">
        <f t="shared" ca="1" si="533"/>
        <v>124.02472427283553</v>
      </c>
      <c r="L574">
        <f t="shared" ca="1" si="533"/>
        <v>125.91718314133875</v>
      </c>
      <c r="M574">
        <f t="shared" ca="1" si="533"/>
        <v>124.53096638940309</v>
      </c>
      <c r="N574">
        <f t="shared" ca="1" si="533"/>
        <v>123.86937066482204</v>
      </c>
      <c r="O574">
        <f t="shared" ca="1" si="533"/>
        <v>113.06393417448443</v>
      </c>
      <c r="P574">
        <f t="shared" ca="1" si="533"/>
        <v>112.7501885695482</v>
      </c>
      <c r="Q574">
        <f t="shared" ca="1" si="484"/>
        <v>125.91718314133875</v>
      </c>
      <c r="R574">
        <f t="shared" ca="1" si="485"/>
        <v>0</v>
      </c>
      <c r="S574">
        <f t="shared" ca="1" si="486"/>
        <v>0</v>
      </c>
    </row>
    <row r="575" spans="5:19" x14ac:dyDescent="0.75">
      <c r="E575">
        <v>570</v>
      </c>
      <c r="F575">
        <f t="shared" si="482"/>
        <v>100</v>
      </c>
      <c r="G575">
        <f t="shared" ca="1" si="483"/>
        <v>99.996333118849819</v>
      </c>
      <c r="H575">
        <f t="shared" ca="1" si="483"/>
        <v>92.537611292009373</v>
      </c>
      <c r="I575">
        <f t="shared" ca="1" si="483"/>
        <v>91.893044397934631</v>
      </c>
      <c r="J575">
        <f t="shared" ref="J575:P575" ca="1" si="534">I575*EXP(($C$6-0.5*$C$7^2)*$C$12+$C$7*SQRT($C$12)*NORMINV(RAND(),0,1))</f>
        <v>87.894199936206874</v>
      </c>
      <c r="K575">
        <f t="shared" ca="1" si="534"/>
        <v>92.083905229397629</v>
      </c>
      <c r="L575">
        <f t="shared" ca="1" si="534"/>
        <v>91.908951023695934</v>
      </c>
      <c r="M575">
        <f t="shared" ca="1" si="534"/>
        <v>89.123375567737213</v>
      </c>
      <c r="N575">
        <f t="shared" ca="1" si="534"/>
        <v>90.696183871576977</v>
      </c>
      <c r="O575">
        <f t="shared" ca="1" si="534"/>
        <v>94.31051883089188</v>
      </c>
      <c r="P575">
        <f t="shared" ca="1" si="534"/>
        <v>85.687165621563665</v>
      </c>
      <c r="Q575">
        <f t="shared" ca="1" si="484"/>
        <v>99.996333118849819</v>
      </c>
      <c r="R575">
        <f t="shared" ca="1" si="485"/>
        <v>0</v>
      </c>
      <c r="S575">
        <f t="shared" ca="1" si="486"/>
        <v>0</v>
      </c>
    </row>
    <row r="576" spans="5:19" x14ac:dyDescent="0.75">
      <c r="E576">
        <v>571</v>
      </c>
      <c r="F576">
        <f t="shared" si="482"/>
        <v>100</v>
      </c>
      <c r="G576">
        <f t="shared" ca="1" si="483"/>
        <v>93.173130769330569</v>
      </c>
      <c r="H576">
        <f t="shared" ca="1" si="483"/>
        <v>92.814467597420119</v>
      </c>
      <c r="I576">
        <f t="shared" ca="1" si="483"/>
        <v>99.540464850095432</v>
      </c>
      <c r="J576">
        <f t="shared" ref="J576:P576" ca="1" si="535">I576*EXP(($C$6-0.5*$C$7^2)*$C$12+$C$7*SQRT($C$12)*NORMINV(RAND(),0,1))</f>
        <v>93.232145690873651</v>
      </c>
      <c r="K576">
        <f t="shared" ca="1" si="535"/>
        <v>95.354287792731668</v>
      </c>
      <c r="L576">
        <f t="shared" ca="1" si="535"/>
        <v>98.403152368006261</v>
      </c>
      <c r="M576">
        <f t="shared" ca="1" si="535"/>
        <v>93.16095020329027</v>
      </c>
      <c r="N576">
        <f t="shared" ca="1" si="535"/>
        <v>93.78847489125296</v>
      </c>
      <c r="O576">
        <f t="shared" ca="1" si="535"/>
        <v>88.703974280683411</v>
      </c>
      <c r="P576">
        <f t="shared" ca="1" si="535"/>
        <v>84.146956767680564</v>
      </c>
      <c r="Q576">
        <f t="shared" ca="1" si="484"/>
        <v>99.540464850095432</v>
      </c>
      <c r="R576">
        <f t="shared" ca="1" si="485"/>
        <v>0</v>
      </c>
      <c r="S576">
        <f t="shared" ca="1" si="486"/>
        <v>0</v>
      </c>
    </row>
    <row r="577" spans="5:19" x14ac:dyDescent="0.75">
      <c r="E577">
        <v>572</v>
      </c>
      <c r="F577">
        <f t="shared" si="482"/>
        <v>100</v>
      </c>
      <c r="G577">
        <f t="shared" ca="1" si="483"/>
        <v>92.221693531721598</v>
      </c>
      <c r="H577">
        <f t="shared" ca="1" si="483"/>
        <v>94.450586702354244</v>
      </c>
      <c r="I577">
        <f t="shared" ca="1" si="483"/>
        <v>91.485632010597669</v>
      </c>
      <c r="J577">
        <f t="shared" ref="J577:P577" ca="1" si="536">I577*EXP(($C$6-0.5*$C$7^2)*$C$12+$C$7*SQRT($C$12)*NORMINV(RAND(),0,1))</f>
        <v>92.094461173929915</v>
      </c>
      <c r="K577">
        <f t="shared" ca="1" si="536"/>
        <v>95.328797392904136</v>
      </c>
      <c r="L577">
        <f t="shared" ca="1" si="536"/>
        <v>97.068234218010303</v>
      </c>
      <c r="M577">
        <f t="shared" ca="1" si="536"/>
        <v>93.405961977154107</v>
      </c>
      <c r="N577">
        <f t="shared" ca="1" si="536"/>
        <v>96.958716614348802</v>
      </c>
      <c r="O577">
        <f t="shared" ca="1" si="536"/>
        <v>99.573892021917189</v>
      </c>
      <c r="P577">
        <f t="shared" ca="1" si="536"/>
        <v>104.2751142178013</v>
      </c>
      <c r="Q577">
        <f t="shared" ca="1" si="484"/>
        <v>104.2751142178013</v>
      </c>
      <c r="R577">
        <f t="shared" ca="1" si="485"/>
        <v>2.2751142178013026</v>
      </c>
      <c r="S577">
        <f t="shared" ca="1" si="486"/>
        <v>2.2189414476181972</v>
      </c>
    </row>
    <row r="578" spans="5:19" x14ac:dyDescent="0.75">
      <c r="E578">
        <v>573</v>
      </c>
      <c r="F578">
        <f t="shared" si="482"/>
        <v>100</v>
      </c>
      <c r="G578">
        <f t="shared" ca="1" si="483"/>
        <v>95.174572814343932</v>
      </c>
      <c r="H578">
        <f t="shared" ca="1" si="483"/>
        <v>89.618275120206874</v>
      </c>
      <c r="I578">
        <f t="shared" ca="1" si="483"/>
        <v>92.064975149737975</v>
      </c>
      <c r="J578">
        <f t="shared" ref="J578:P578" ca="1" si="537">I578*EXP(($C$6-0.5*$C$7^2)*$C$12+$C$7*SQRT($C$12)*NORMINV(RAND(),0,1))</f>
        <v>86.225173591434697</v>
      </c>
      <c r="K578">
        <f t="shared" ca="1" si="537"/>
        <v>85.37174457567545</v>
      </c>
      <c r="L578">
        <f t="shared" ca="1" si="537"/>
        <v>84.697812595074268</v>
      </c>
      <c r="M578">
        <f t="shared" ca="1" si="537"/>
        <v>86.86578591353252</v>
      </c>
      <c r="N578">
        <f t="shared" ca="1" si="537"/>
        <v>86.958575318786544</v>
      </c>
      <c r="O578">
        <f t="shared" ca="1" si="537"/>
        <v>85.687993643747248</v>
      </c>
      <c r="P578">
        <f t="shared" ca="1" si="537"/>
        <v>82.028886927245409</v>
      </c>
      <c r="Q578">
        <f t="shared" ca="1" si="484"/>
        <v>95.174572814343932</v>
      </c>
      <c r="R578">
        <f t="shared" ca="1" si="485"/>
        <v>0</v>
      </c>
      <c r="S578">
        <f t="shared" ca="1" si="486"/>
        <v>0</v>
      </c>
    </row>
    <row r="579" spans="5:19" x14ac:dyDescent="0.75">
      <c r="E579">
        <v>574</v>
      </c>
      <c r="F579">
        <f t="shared" si="482"/>
        <v>100</v>
      </c>
      <c r="G579">
        <f t="shared" ca="1" si="483"/>
        <v>99.585077176884738</v>
      </c>
      <c r="H579">
        <f t="shared" ca="1" si="483"/>
        <v>98.771498257999639</v>
      </c>
      <c r="I579">
        <f t="shared" ca="1" si="483"/>
        <v>101.10782885863077</v>
      </c>
      <c r="J579">
        <f t="shared" ref="J579:P579" ca="1" si="538">I579*EXP(($C$6-0.5*$C$7^2)*$C$12+$C$7*SQRT($C$12)*NORMINV(RAND(),0,1))</f>
        <v>103.88300110439982</v>
      </c>
      <c r="K579">
        <f t="shared" ca="1" si="538"/>
        <v>102.61594675599727</v>
      </c>
      <c r="L579">
        <f t="shared" ca="1" si="538"/>
        <v>97.206256142001692</v>
      </c>
      <c r="M579">
        <f t="shared" ca="1" si="538"/>
        <v>94.887982522597653</v>
      </c>
      <c r="N579">
        <f t="shared" ca="1" si="538"/>
        <v>98.562922644388209</v>
      </c>
      <c r="O579">
        <f t="shared" ca="1" si="538"/>
        <v>99.833461076025401</v>
      </c>
      <c r="P579">
        <f t="shared" ca="1" si="538"/>
        <v>97.861047450076214</v>
      </c>
      <c r="Q579">
        <f t="shared" ca="1" si="484"/>
        <v>103.88300110439982</v>
      </c>
      <c r="R579">
        <f t="shared" ca="1" si="485"/>
        <v>0</v>
      </c>
      <c r="S579">
        <f t="shared" ca="1" si="486"/>
        <v>0</v>
      </c>
    </row>
    <row r="580" spans="5:19" x14ac:dyDescent="0.75">
      <c r="E580">
        <v>575</v>
      </c>
      <c r="F580">
        <f t="shared" si="482"/>
        <v>100</v>
      </c>
      <c r="G580">
        <f t="shared" ca="1" si="483"/>
        <v>104.8883937979691</v>
      </c>
      <c r="H580">
        <f t="shared" ca="1" si="483"/>
        <v>108.13067656143795</v>
      </c>
      <c r="I580">
        <f t="shared" ca="1" si="483"/>
        <v>105.82570475824237</v>
      </c>
      <c r="J580">
        <f t="shared" ref="J580:P580" ca="1" si="539">I580*EXP(($C$6-0.5*$C$7^2)*$C$12+$C$7*SQRT($C$12)*NORMINV(RAND(),0,1))</f>
        <v>98.351247507216129</v>
      </c>
      <c r="K580">
        <f t="shared" ca="1" si="539"/>
        <v>98.278535741349017</v>
      </c>
      <c r="L580">
        <f t="shared" ca="1" si="539"/>
        <v>102.32780642958335</v>
      </c>
      <c r="M580">
        <f t="shared" ca="1" si="539"/>
        <v>104.04650844638482</v>
      </c>
      <c r="N580">
        <f t="shared" ca="1" si="539"/>
        <v>107.5613911359771</v>
      </c>
      <c r="O580">
        <f t="shared" ca="1" si="539"/>
        <v>96.024203111182175</v>
      </c>
      <c r="P580">
        <f t="shared" ca="1" si="539"/>
        <v>87.638709908935567</v>
      </c>
      <c r="Q580">
        <f t="shared" ca="1" si="484"/>
        <v>108.13067656143795</v>
      </c>
      <c r="R580">
        <f t="shared" ca="1" si="485"/>
        <v>0</v>
      </c>
      <c r="S580">
        <f t="shared" ca="1" si="486"/>
        <v>0</v>
      </c>
    </row>
    <row r="581" spans="5:19" x14ac:dyDescent="0.75">
      <c r="E581">
        <v>576</v>
      </c>
      <c r="F581">
        <f t="shared" si="482"/>
        <v>100</v>
      </c>
      <c r="G581">
        <f t="shared" ca="1" si="483"/>
        <v>104.15302380093554</v>
      </c>
      <c r="H581">
        <f t="shared" ca="1" si="483"/>
        <v>98.62990493920185</v>
      </c>
      <c r="I581">
        <f t="shared" ca="1" si="483"/>
        <v>108.7881377145323</v>
      </c>
      <c r="J581">
        <f t="shared" ref="J581:P581" ca="1" si="540">I581*EXP(($C$6-0.5*$C$7^2)*$C$12+$C$7*SQRT($C$12)*NORMINV(RAND(),0,1))</f>
        <v>106.98237256807575</v>
      </c>
      <c r="K581">
        <f t="shared" ca="1" si="540"/>
        <v>103.0798013071914</v>
      </c>
      <c r="L581">
        <f t="shared" ca="1" si="540"/>
        <v>102.3705091484114</v>
      </c>
      <c r="M581">
        <f t="shared" ca="1" si="540"/>
        <v>104.55139886891902</v>
      </c>
      <c r="N581">
        <f t="shared" ca="1" si="540"/>
        <v>102.32848265024917</v>
      </c>
      <c r="O581">
        <f t="shared" ca="1" si="540"/>
        <v>102.23297463097261</v>
      </c>
      <c r="P581">
        <f t="shared" ca="1" si="540"/>
        <v>104.29676049382151</v>
      </c>
      <c r="Q581">
        <f t="shared" ca="1" si="484"/>
        <v>108.7881377145323</v>
      </c>
      <c r="R581">
        <f t="shared" ca="1" si="485"/>
        <v>2.2967604938215089</v>
      </c>
      <c r="S581">
        <f t="shared" ca="1" si="486"/>
        <v>2.2400532751792057</v>
      </c>
    </row>
    <row r="582" spans="5:19" x14ac:dyDescent="0.75">
      <c r="E582">
        <v>577</v>
      </c>
      <c r="F582">
        <f t="shared" si="482"/>
        <v>100</v>
      </c>
      <c r="G582">
        <f t="shared" ca="1" si="483"/>
        <v>100.71503599973823</v>
      </c>
      <c r="H582">
        <f t="shared" ca="1" si="483"/>
        <v>101.50504382920515</v>
      </c>
      <c r="I582">
        <f t="shared" ca="1" si="483"/>
        <v>99.763194210404549</v>
      </c>
      <c r="J582">
        <f t="shared" ref="J582:P582" ca="1" si="541">I582*EXP(($C$6-0.5*$C$7^2)*$C$12+$C$7*SQRT($C$12)*NORMINV(RAND(),0,1))</f>
        <v>99.126280790928547</v>
      </c>
      <c r="K582">
        <f t="shared" ca="1" si="541"/>
        <v>104.01252410239422</v>
      </c>
      <c r="L582">
        <f t="shared" ca="1" si="541"/>
        <v>105.98080611726661</v>
      </c>
      <c r="M582">
        <f t="shared" ca="1" si="541"/>
        <v>109.69822887107935</v>
      </c>
      <c r="N582">
        <f t="shared" ca="1" si="541"/>
        <v>104.58642653907246</v>
      </c>
      <c r="O582">
        <f t="shared" ca="1" si="541"/>
        <v>103.92601989373701</v>
      </c>
      <c r="P582">
        <f t="shared" ca="1" si="541"/>
        <v>103.92745603409854</v>
      </c>
      <c r="Q582">
        <f t="shared" ca="1" si="484"/>
        <v>109.69822887107935</v>
      </c>
      <c r="R582">
        <f t="shared" ca="1" si="485"/>
        <v>1.9274560340985403</v>
      </c>
      <c r="S582">
        <f t="shared" ca="1" si="486"/>
        <v>1.8798669750551262</v>
      </c>
    </row>
    <row r="583" spans="5:19" x14ac:dyDescent="0.75">
      <c r="E583">
        <v>578</v>
      </c>
      <c r="F583">
        <f t="shared" ref="F583:F646" si="542">$C$5</f>
        <v>100</v>
      </c>
      <c r="G583">
        <f t="shared" ref="G583:P646" ca="1" si="543">F583*EXP(($C$6-0.5*$C$7^2)*$C$12+$C$7*SQRT($C$12)*NORMINV(RAND(),0,1))</f>
        <v>100.88321424364919</v>
      </c>
      <c r="H583">
        <f t="shared" ca="1" si="543"/>
        <v>99.275942000396313</v>
      </c>
      <c r="I583">
        <f t="shared" ca="1" si="543"/>
        <v>102.55056671549751</v>
      </c>
      <c r="J583">
        <f t="shared" ca="1" si="543"/>
        <v>107.63946307120108</v>
      </c>
      <c r="K583">
        <f t="shared" ca="1" si="543"/>
        <v>104.12359248687892</v>
      </c>
      <c r="L583">
        <f t="shared" ca="1" si="543"/>
        <v>110.91983303172535</v>
      </c>
      <c r="M583">
        <f t="shared" ca="1" si="543"/>
        <v>107.18815879111746</v>
      </c>
      <c r="N583">
        <f t="shared" ca="1" si="543"/>
        <v>113.12943035265329</v>
      </c>
      <c r="O583">
        <f t="shared" ca="1" si="543"/>
        <v>107.50602091638031</v>
      </c>
      <c r="P583">
        <f t="shared" ca="1" si="543"/>
        <v>105.82173367103491</v>
      </c>
      <c r="Q583">
        <f t="shared" ref="Q583:Q646" ca="1" si="544">MAX(G583:P583)</f>
        <v>113.12943035265329</v>
      </c>
      <c r="R583">
        <f t="shared" ref="R583:R646" ca="1" si="545">IF(Q583&gt;=$C$13,0, MAX(P583-$C$9,0))</f>
        <v>0</v>
      </c>
      <c r="S583">
        <f t="shared" ref="S583:S646" ca="1" si="546">EXP(-$C$6*$C$8)*R583</f>
        <v>0</v>
      </c>
    </row>
    <row r="584" spans="5:19" x14ac:dyDescent="0.75">
      <c r="E584">
        <v>579</v>
      </c>
      <c r="F584">
        <f t="shared" si="542"/>
        <v>100</v>
      </c>
      <c r="G584">
        <f t="shared" ca="1" si="543"/>
        <v>95.559085346266059</v>
      </c>
      <c r="H584">
        <f t="shared" ca="1" si="543"/>
        <v>98.472935350430845</v>
      </c>
      <c r="I584">
        <f t="shared" ca="1" si="543"/>
        <v>103.50904547749089</v>
      </c>
      <c r="J584">
        <f t="shared" ca="1" si="543"/>
        <v>100.4719596014727</v>
      </c>
      <c r="K584">
        <f t="shared" ca="1" si="543"/>
        <v>105.51298929512008</v>
      </c>
      <c r="L584">
        <f t="shared" ca="1" si="543"/>
        <v>107.52671487863482</v>
      </c>
      <c r="M584">
        <f t="shared" ca="1" si="543"/>
        <v>108.98119249702917</v>
      </c>
      <c r="N584">
        <f t="shared" ca="1" si="543"/>
        <v>110.65028438527315</v>
      </c>
      <c r="O584">
        <f t="shared" ca="1" si="543"/>
        <v>114.29590334936439</v>
      </c>
      <c r="P584">
        <f t="shared" ca="1" si="543"/>
        <v>112.55699565612261</v>
      </c>
      <c r="Q584">
        <f t="shared" ca="1" si="544"/>
        <v>114.29590334936439</v>
      </c>
      <c r="R584">
        <f t="shared" ca="1" si="545"/>
        <v>0</v>
      </c>
      <c r="S584">
        <f t="shared" ca="1" si="546"/>
        <v>0</v>
      </c>
    </row>
    <row r="585" spans="5:19" x14ac:dyDescent="0.75">
      <c r="E585">
        <v>580</v>
      </c>
      <c r="F585">
        <f t="shared" si="542"/>
        <v>100</v>
      </c>
      <c r="G585">
        <f t="shared" ca="1" si="543"/>
        <v>97.749350576378163</v>
      </c>
      <c r="H585">
        <f t="shared" ca="1" si="543"/>
        <v>98.135972589539975</v>
      </c>
      <c r="I585">
        <f t="shared" ca="1" si="543"/>
        <v>100.86741267787727</v>
      </c>
      <c r="J585">
        <f t="shared" ca="1" si="543"/>
        <v>104.26335811517211</v>
      </c>
      <c r="K585">
        <f t="shared" ca="1" si="543"/>
        <v>99.336906758509315</v>
      </c>
      <c r="L585">
        <f t="shared" ca="1" si="543"/>
        <v>98.552752013645389</v>
      </c>
      <c r="M585">
        <f t="shared" ca="1" si="543"/>
        <v>93.575920977942872</v>
      </c>
      <c r="N585">
        <f t="shared" ca="1" si="543"/>
        <v>89.026545382314566</v>
      </c>
      <c r="O585">
        <f t="shared" ca="1" si="543"/>
        <v>94.325570893209601</v>
      </c>
      <c r="P585">
        <f t="shared" ca="1" si="543"/>
        <v>95.066506446065091</v>
      </c>
      <c r="Q585">
        <f t="shared" ca="1" si="544"/>
        <v>104.26335811517211</v>
      </c>
      <c r="R585">
        <f t="shared" ca="1" si="545"/>
        <v>0</v>
      </c>
      <c r="S585">
        <f t="shared" ca="1" si="546"/>
        <v>0</v>
      </c>
    </row>
    <row r="586" spans="5:19" x14ac:dyDescent="0.75">
      <c r="E586">
        <v>581</v>
      </c>
      <c r="F586">
        <f t="shared" si="542"/>
        <v>100</v>
      </c>
      <c r="G586">
        <f t="shared" ca="1" si="543"/>
        <v>101.62664144081621</v>
      </c>
      <c r="H586">
        <f t="shared" ca="1" si="543"/>
        <v>97.919195728966372</v>
      </c>
      <c r="I586">
        <f t="shared" ca="1" si="543"/>
        <v>98.687437156574219</v>
      </c>
      <c r="J586">
        <f t="shared" ca="1" si="543"/>
        <v>96.230372372087871</v>
      </c>
      <c r="K586">
        <f t="shared" ca="1" si="543"/>
        <v>96.558244482879488</v>
      </c>
      <c r="L586">
        <f t="shared" ca="1" si="543"/>
        <v>92.440841831823633</v>
      </c>
      <c r="M586">
        <f t="shared" ca="1" si="543"/>
        <v>92.584536383403019</v>
      </c>
      <c r="N586">
        <f t="shared" ca="1" si="543"/>
        <v>90.797014666701386</v>
      </c>
      <c r="O586">
        <f t="shared" ca="1" si="543"/>
        <v>83.977437145870937</v>
      </c>
      <c r="P586">
        <f t="shared" ca="1" si="543"/>
        <v>86.382380148703334</v>
      </c>
      <c r="Q586">
        <f t="shared" ca="1" si="544"/>
        <v>101.62664144081621</v>
      </c>
      <c r="R586">
        <f t="shared" ca="1" si="545"/>
        <v>0</v>
      </c>
      <c r="S586">
        <f t="shared" ca="1" si="546"/>
        <v>0</v>
      </c>
    </row>
    <row r="587" spans="5:19" x14ac:dyDescent="0.75">
      <c r="E587">
        <v>582</v>
      </c>
      <c r="F587">
        <f t="shared" si="542"/>
        <v>100</v>
      </c>
      <c r="G587">
        <f t="shared" ca="1" si="543"/>
        <v>93.810064322598009</v>
      </c>
      <c r="H587">
        <f t="shared" ca="1" si="543"/>
        <v>90.274494544825941</v>
      </c>
      <c r="I587">
        <f t="shared" ca="1" si="543"/>
        <v>93.498188684157157</v>
      </c>
      <c r="J587">
        <f t="shared" ca="1" si="543"/>
        <v>92.148041896931105</v>
      </c>
      <c r="K587">
        <f t="shared" ca="1" si="543"/>
        <v>92.684783779996835</v>
      </c>
      <c r="L587">
        <f t="shared" ca="1" si="543"/>
        <v>93.407734465013036</v>
      </c>
      <c r="M587">
        <f t="shared" ca="1" si="543"/>
        <v>96.276003409681294</v>
      </c>
      <c r="N587">
        <f t="shared" ca="1" si="543"/>
        <v>96.157318312663449</v>
      </c>
      <c r="O587">
        <f t="shared" ca="1" si="543"/>
        <v>96.391698902192132</v>
      </c>
      <c r="P587">
        <f t="shared" ca="1" si="543"/>
        <v>99.619860005328576</v>
      </c>
      <c r="Q587">
        <f t="shared" ca="1" si="544"/>
        <v>99.619860005328576</v>
      </c>
      <c r="R587">
        <f t="shared" ca="1" si="545"/>
        <v>0</v>
      </c>
      <c r="S587">
        <f t="shared" ca="1" si="546"/>
        <v>0</v>
      </c>
    </row>
    <row r="588" spans="5:19" x14ac:dyDescent="0.75">
      <c r="E588">
        <v>583</v>
      </c>
      <c r="F588">
        <f t="shared" si="542"/>
        <v>100</v>
      </c>
      <c r="G588">
        <f t="shared" ca="1" si="543"/>
        <v>103.6040443946119</v>
      </c>
      <c r="H588">
        <f t="shared" ca="1" si="543"/>
        <v>97.418000134621352</v>
      </c>
      <c r="I588">
        <f t="shared" ca="1" si="543"/>
        <v>101.46519185653406</v>
      </c>
      <c r="J588">
        <f t="shared" ca="1" si="543"/>
        <v>99.636613132290179</v>
      </c>
      <c r="K588">
        <f t="shared" ca="1" si="543"/>
        <v>95.872900961460644</v>
      </c>
      <c r="L588">
        <f t="shared" ca="1" si="543"/>
        <v>93.063110726568212</v>
      </c>
      <c r="M588">
        <f t="shared" ca="1" si="543"/>
        <v>88.565775507725633</v>
      </c>
      <c r="N588">
        <f t="shared" ca="1" si="543"/>
        <v>91.766250321449661</v>
      </c>
      <c r="O588">
        <f t="shared" ca="1" si="543"/>
        <v>92.212065566756934</v>
      </c>
      <c r="P588">
        <f t="shared" ca="1" si="543"/>
        <v>100.45688800717596</v>
      </c>
      <c r="Q588">
        <f t="shared" ca="1" si="544"/>
        <v>103.6040443946119</v>
      </c>
      <c r="R588">
        <f t="shared" ca="1" si="545"/>
        <v>0</v>
      </c>
      <c r="S588">
        <f t="shared" ca="1" si="546"/>
        <v>0</v>
      </c>
    </row>
    <row r="589" spans="5:19" x14ac:dyDescent="0.75">
      <c r="E589">
        <v>584</v>
      </c>
      <c r="F589">
        <f t="shared" si="542"/>
        <v>100</v>
      </c>
      <c r="G589">
        <f t="shared" ca="1" si="543"/>
        <v>93.166778487464967</v>
      </c>
      <c r="H589">
        <f t="shared" ca="1" si="543"/>
        <v>87.416947066689374</v>
      </c>
      <c r="I589">
        <f t="shared" ca="1" si="543"/>
        <v>91.012766700150266</v>
      </c>
      <c r="J589">
        <f t="shared" ca="1" si="543"/>
        <v>92.020392600140212</v>
      </c>
      <c r="K589">
        <f t="shared" ca="1" si="543"/>
        <v>90.320281092180537</v>
      </c>
      <c r="L589">
        <f t="shared" ca="1" si="543"/>
        <v>88.52718726274037</v>
      </c>
      <c r="M589">
        <f t="shared" ca="1" si="543"/>
        <v>87.654367895767606</v>
      </c>
      <c r="N589">
        <f t="shared" ca="1" si="543"/>
        <v>86.030784642462919</v>
      </c>
      <c r="O589">
        <f t="shared" ca="1" si="543"/>
        <v>86.401898401160096</v>
      </c>
      <c r="P589">
        <f t="shared" ca="1" si="543"/>
        <v>79.229836755578233</v>
      </c>
      <c r="Q589">
        <f t="shared" ca="1" si="544"/>
        <v>93.166778487464967</v>
      </c>
      <c r="R589">
        <f t="shared" ca="1" si="545"/>
        <v>0</v>
      </c>
      <c r="S589">
        <f t="shared" ca="1" si="546"/>
        <v>0</v>
      </c>
    </row>
    <row r="590" spans="5:19" x14ac:dyDescent="0.75">
      <c r="E590">
        <v>585</v>
      </c>
      <c r="F590">
        <f t="shared" si="542"/>
        <v>100</v>
      </c>
      <c r="G590">
        <f t="shared" ca="1" si="543"/>
        <v>106.74768805165522</v>
      </c>
      <c r="H590">
        <f t="shared" ca="1" si="543"/>
        <v>106.86511943331158</v>
      </c>
      <c r="I590">
        <f t="shared" ca="1" si="543"/>
        <v>108.09888960665216</v>
      </c>
      <c r="J590">
        <f t="shared" ca="1" si="543"/>
        <v>106.62388508234504</v>
      </c>
      <c r="K590">
        <f t="shared" ca="1" si="543"/>
        <v>110.35339191224563</v>
      </c>
      <c r="L590">
        <f t="shared" ca="1" si="543"/>
        <v>110.54282512169647</v>
      </c>
      <c r="M590">
        <f t="shared" ca="1" si="543"/>
        <v>109.53959046324654</v>
      </c>
      <c r="N590">
        <f t="shared" ca="1" si="543"/>
        <v>104.76758749908589</v>
      </c>
      <c r="O590">
        <f t="shared" ca="1" si="543"/>
        <v>102.39976346945734</v>
      </c>
      <c r="P590">
        <f t="shared" ca="1" si="543"/>
        <v>103.57907531910715</v>
      </c>
      <c r="Q590">
        <f t="shared" ca="1" si="544"/>
        <v>110.54282512169647</v>
      </c>
      <c r="R590">
        <f t="shared" ca="1" si="545"/>
        <v>0</v>
      </c>
      <c r="S590">
        <f t="shared" ca="1" si="546"/>
        <v>0</v>
      </c>
    </row>
    <row r="591" spans="5:19" x14ac:dyDescent="0.75">
      <c r="E591">
        <v>586</v>
      </c>
      <c r="F591">
        <f t="shared" si="542"/>
        <v>100</v>
      </c>
      <c r="G591">
        <f t="shared" ca="1" si="543"/>
        <v>97.421956277132978</v>
      </c>
      <c r="H591">
        <f t="shared" ca="1" si="543"/>
        <v>92.120619521319895</v>
      </c>
      <c r="I591">
        <f t="shared" ca="1" si="543"/>
        <v>90.461379607804119</v>
      </c>
      <c r="J591">
        <f t="shared" ca="1" si="543"/>
        <v>90.204061109500401</v>
      </c>
      <c r="K591">
        <f t="shared" ca="1" si="543"/>
        <v>86.707816850316263</v>
      </c>
      <c r="L591">
        <f t="shared" ca="1" si="543"/>
        <v>89.543299216217349</v>
      </c>
      <c r="M591">
        <f t="shared" ca="1" si="543"/>
        <v>95.885735644054563</v>
      </c>
      <c r="N591">
        <f t="shared" ca="1" si="543"/>
        <v>96.301399386566402</v>
      </c>
      <c r="O591">
        <f t="shared" ca="1" si="543"/>
        <v>95.948293605613728</v>
      </c>
      <c r="P591">
        <f t="shared" ca="1" si="543"/>
        <v>99.755418987881484</v>
      </c>
      <c r="Q591">
        <f t="shared" ca="1" si="544"/>
        <v>99.755418987881484</v>
      </c>
      <c r="R591">
        <f t="shared" ca="1" si="545"/>
        <v>0</v>
      </c>
      <c r="S591">
        <f t="shared" ca="1" si="546"/>
        <v>0</v>
      </c>
    </row>
    <row r="592" spans="5:19" x14ac:dyDescent="0.75">
      <c r="E592">
        <v>587</v>
      </c>
      <c r="F592">
        <f t="shared" si="542"/>
        <v>100</v>
      </c>
      <c r="G592">
        <f t="shared" ca="1" si="543"/>
        <v>100.59346055812664</v>
      </c>
      <c r="H592">
        <f t="shared" ca="1" si="543"/>
        <v>94.886498692136868</v>
      </c>
      <c r="I592">
        <f t="shared" ca="1" si="543"/>
        <v>102.74045888676636</v>
      </c>
      <c r="J592">
        <f t="shared" ref="J592:P592" ca="1" si="547">I592*EXP(($C$6-0.5*$C$7^2)*$C$12+$C$7*SQRT($C$12)*NORMINV(RAND(),0,1))</f>
        <v>104.66607094967588</v>
      </c>
      <c r="K592">
        <f t="shared" ca="1" si="547"/>
        <v>100.95827180029151</v>
      </c>
      <c r="L592">
        <f t="shared" ca="1" si="547"/>
        <v>99.289902595291395</v>
      </c>
      <c r="M592">
        <f t="shared" ca="1" si="547"/>
        <v>99.49046087077862</v>
      </c>
      <c r="N592">
        <f t="shared" ca="1" si="547"/>
        <v>100.58431562305149</v>
      </c>
      <c r="O592">
        <f t="shared" ca="1" si="547"/>
        <v>103.65568162438143</v>
      </c>
      <c r="P592">
        <f t="shared" ca="1" si="547"/>
        <v>102.63258990496774</v>
      </c>
      <c r="Q592">
        <f t="shared" ca="1" si="544"/>
        <v>104.66607094967588</v>
      </c>
      <c r="R592">
        <f t="shared" ca="1" si="545"/>
        <v>0.63258990496774459</v>
      </c>
      <c r="S592">
        <f t="shared" ca="1" si="546"/>
        <v>0.61697120456410226</v>
      </c>
    </row>
    <row r="593" spans="5:19" x14ac:dyDescent="0.75">
      <c r="E593">
        <v>588</v>
      </c>
      <c r="F593">
        <f t="shared" si="542"/>
        <v>100</v>
      </c>
      <c r="G593">
        <f t="shared" ca="1" si="543"/>
        <v>99.064623705210181</v>
      </c>
      <c r="H593">
        <f t="shared" ca="1" si="543"/>
        <v>95.866087329412082</v>
      </c>
      <c r="I593">
        <f t="shared" ca="1" si="543"/>
        <v>94.463707187061345</v>
      </c>
      <c r="J593">
        <f t="shared" ref="J593:P593" ca="1" si="548">I593*EXP(($C$6-0.5*$C$7^2)*$C$12+$C$7*SQRT($C$12)*NORMINV(RAND(),0,1))</f>
        <v>94.665505999569945</v>
      </c>
      <c r="K593">
        <f t="shared" ca="1" si="548"/>
        <v>95.339269573831714</v>
      </c>
      <c r="L593">
        <f t="shared" ca="1" si="548"/>
        <v>99.692689464184454</v>
      </c>
      <c r="M593">
        <f t="shared" ca="1" si="548"/>
        <v>100.46600438145887</v>
      </c>
      <c r="N593">
        <f t="shared" ca="1" si="548"/>
        <v>97.127932486654331</v>
      </c>
      <c r="O593">
        <f t="shared" ca="1" si="548"/>
        <v>95.910685245170171</v>
      </c>
      <c r="P593">
        <f t="shared" ca="1" si="548"/>
        <v>91.075748449146872</v>
      </c>
      <c r="Q593">
        <f t="shared" ca="1" si="544"/>
        <v>100.46600438145887</v>
      </c>
      <c r="R593">
        <f t="shared" ca="1" si="545"/>
        <v>0</v>
      </c>
      <c r="S593">
        <f t="shared" ca="1" si="546"/>
        <v>0</v>
      </c>
    </row>
    <row r="594" spans="5:19" x14ac:dyDescent="0.75">
      <c r="E594">
        <v>589</v>
      </c>
      <c r="F594">
        <f t="shared" si="542"/>
        <v>100</v>
      </c>
      <c r="G594">
        <f t="shared" ca="1" si="543"/>
        <v>95.127665216806307</v>
      </c>
      <c r="H594">
        <f t="shared" ca="1" si="543"/>
        <v>96.816573670822351</v>
      </c>
      <c r="I594">
        <f t="shared" ca="1" si="543"/>
        <v>93.543388291998852</v>
      </c>
      <c r="J594">
        <f t="shared" ref="J594:P594" ca="1" si="549">I594*EXP(($C$6-0.5*$C$7^2)*$C$12+$C$7*SQRT($C$12)*NORMINV(RAND(),0,1))</f>
        <v>91.050511028511934</v>
      </c>
      <c r="K594">
        <f t="shared" ca="1" si="549"/>
        <v>89.007485192983097</v>
      </c>
      <c r="L594">
        <f t="shared" ca="1" si="549"/>
        <v>92.218383679719025</v>
      </c>
      <c r="M594">
        <f t="shared" ca="1" si="549"/>
        <v>95.354026662925477</v>
      </c>
      <c r="N594">
        <f t="shared" ca="1" si="549"/>
        <v>106.05820709245945</v>
      </c>
      <c r="O594">
        <f t="shared" ca="1" si="549"/>
        <v>108.04919589934455</v>
      </c>
      <c r="P594">
        <f t="shared" ca="1" si="549"/>
        <v>112.1439901582854</v>
      </c>
      <c r="Q594">
        <f t="shared" ca="1" si="544"/>
        <v>112.1439901582854</v>
      </c>
      <c r="R594">
        <f t="shared" ca="1" si="545"/>
        <v>0</v>
      </c>
      <c r="S594">
        <f t="shared" ca="1" si="546"/>
        <v>0</v>
      </c>
    </row>
    <row r="595" spans="5:19" x14ac:dyDescent="0.75">
      <c r="E595">
        <v>590</v>
      </c>
      <c r="F595">
        <f t="shared" si="542"/>
        <v>100</v>
      </c>
      <c r="G595">
        <f t="shared" ca="1" si="543"/>
        <v>95.764758732418613</v>
      </c>
      <c r="H595">
        <f t="shared" ca="1" si="543"/>
        <v>88.084480579193254</v>
      </c>
      <c r="I595">
        <f t="shared" ca="1" si="543"/>
        <v>82.504173271419305</v>
      </c>
      <c r="J595">
        <f t="shared" ref="J595:P595" ca="1" si="550">I595*EXP(($C$6-0.5*$C$7^2)*$C$12+$C$7*SQRT($C$12)*NORMINV(RAND(),0,1))</f>
        <v>75.546751741241494</v>
      </c>
      <c r="K595">
        <f t="shared" ca="1" si="550"/>
        <v>74.512637545796693</v>
      </c>
      <c r="L595">
        <f t="shared" ca="1" si="550"/>
        <v>78.163749581203774</v>
      </c>
      <c r="M595">
        <f t="shared" ca="1" si="550"/>
        <v>72.129033640889773</v>
      </c>
      <c r="N595">
        <f t="shared" ca="1" si="550"/>
        <v>69.523848502185871</v>
      </c>
      <c r="O595">
        <f t="shared" ca="1" si="550"/>
        <v>71.872327113204562</v>
      </c>
      <c r="P595">
        <f t="shared" ca="1" si="550"/>
        <v>78.881180485810091</v>
      </c>
      <c r="Q595">
        <f t="shared" ca="1" si="544"/>
        <v>95.764758732418613</v>
      </c>
      <c r="R595">
        <f t="shared" ca="1" si="545"/>
        <v>0</v>
      </c>
      <c r="S595">
        <f t="shared" ca="1" si="546"/>
        <v>0</v>
      </c>
    </row>
    <row r="596" spans="5:19" x14ac:dyDescent="0.75">
      <c r="E596">
        <v>591</v>
      </c>
      <c r="F596">
        <f t="shared" si="542"/>
        <v>100</v>
      </c>
      <c r="G596">
        <f t="shared" ca="1" si="543"/>
        <v>103.30301440677239</v>
      </c>
      <c r="H596">
        <f t="shared" ca="1" si="543"/>
        <v>101.09951829413001</v>
      </c>
      <c r="I596">
        <f t="shared" ca="1" si="543"/>
        <v>97.314314603799815</v>
      </c>
      <c r="J596">
        <f t="shared" ref="J596:P596" ca="1" si="551">I596*EXP(($C$6-0.5*$C$7^2)*$C$12+$C$7*SQRT($C$12)*NORMINV(RAND(),0,1))</f>
        <v>90.817306773338046</v>
      </c>
      <c r="K596">
        <f t="shared" ca="1" si="551"/>
        <v>90.282863005279168</v>
      </c>
      <c r="L596">
        <f t="shared" ca="1" si="551"/>
        <v>88.733212113173792</v>
      </c>
      <c r="M596">
        <f t="shared" ca="1" si="551"/>
        <v>88.21890197668418</v>
      </c>
      <c r="N596">
        <f t="shared" ca="1" si="551"/>
        <v>92.661271282306345</v>
      </c>
      <c r="O596">
        <f t="shared" ca="1" si="551"/>
        <v>96.497789071266126</v>
      </c>
      <c r="P596">
        <f t="shared" ca="1" si="551"/>
        <v>101.94428702815119</v>
      </c>
      <c r="Q596">
        <f t="shared" ca="1" si="544"/>
        <v>103.30301440677239</v>
      </c>
      <c r="R596">
        <f t="shared" ca="1" si="545"/>
        <v>0</v>
      </c>
      <c r="S596">
        <f t="shared" ca="1" si="546"/>
        <v>0</v>
      </c>
    </row>
    <row r="597" spans="5:19" x14ac:dyDescent="0.75">
      <c r="E597">
        <v>592</v>
      </c>
      <c r="F597">
        <f t="shared" si="542"/>
        <v>100</v>
      </c>
      <c r="G597">
        <f t="shared" ca="1" si="543"/>
        <v>103.96552451115096</v>
      </c>
      <c r="H597">
        <f t="shared" ca="1" si="543"/>
        <v>108.42728545308819</v>
      </c>
      <c r="I597">
        <f t="shared" ca="1" si="543"/>
        <v>116.76891170649125</v>
      </c>
      <c r="J597">
        <f t="shared" ref="J597:P597" ca="1" si="552">I597*EXP(($C$6-0.5*$C$7^2)*$C$12+$C$7*SQRT($C$12)*NORMINV(RAND(),0,1))</f>
        <v>121.74560537601006</v>
      </c>
      <c r="K597">
        <f t="shared" ca="1" si="552"/>
        <v>125.15517689238223</v>
      </c>
      <c r="L597">
        <f t="shared" ca="1" si="552"/>
        <v>135.68511345018658</v>
      </c>
      <c r="M597">
        <f t="shared" ca="1" si="552"/>
        <v>129.67277778656631</v>
      </c>
      <c r="N597">
        <f t="shared" ca="1" si="552"/>
        <v>127.66014306681144</v>
      </c>
      <c r="O597">
        <f t="shared" ca="1" si="552"/>
        <v>121.52991343266237</v>
      </c>
      <c r="P597">
        <f t="shared" ca="1" si="552"/>
        <v>124.29497448512812</v>
      </c>
      <c r="Q597">
        <f t="shared" ca="1" si="544"/>
        <v>135.68511345018658</v>
      </c>
      <c r="R597">
        <f t="shared" ca="1" si="545"/>
        <v>0</v>
      </c>
      <c r="S597">
        <f t="shared" ca="1" si="546"/>
        <v>0</v>
      </c>
    </row>
    <row r="598" spans="5:19" x14ac:dyDescent="0.75">
      <c r="E598">
        <v>593</v>
      </c>
      <c r="F598">
        <f t="shared" si="542"/>
        <v>100</v>
      </c>
      <c r="G598">
        <f t="shared" ca="1" si="543"/>
        <v>102.97383772040516</v>
      </c>
      <c r="H598">
        <f t="shared" ca="1" si="543"/>
        <v>102.95691459471983</v>
      </c>
      <c r="I598">
        <f t="shared" ca="1" si="543"/>
        <v>97.458771732174682</v>
      </c>
      <c r="J598">
        <f t="shared" ref="J598:P598" ca="1" si="553">I598*EXP(($C$6-0.5*$C$7^2)*$C$12+$C$7*SQRT($C$12)*NORMINV(RAND(),0,1))</f>
        <v>95.533884777053117</v>
      </c>
      <c r="K598">
        <f t="shared" ca="1" si="553"/>
        <v>85.477978450720713</v>
      </c>
      <c r="L598">
        <f t="shared" ca="1" si="553"/>
        <v>92.650350469405709</v>
      </c>
      <c r="M598">
        <f t="shared" ca="1" si="553"/>
        <v>94.726274383717339</v>
      </c>
      <c r="N598">
        <f t="shared" ca="1" si="553"/>
        <v>99.029736547913643</v>
      </c>
      <c r="O598">
        <f t="shared" ca="1" si="553"/>
        <v>93.500889750409186</v>
      </c>
      <c r="P598">
        <f t="shared" ca="1" si="553"/>
        <v>92.649168288987184</v>
      </c>
      <c r="Q598">
        <f t="shared" ca="1" si="544"/>
        <v>102.97383772040516</v>
      </c>
      <c r="R598">
        <f t="shared" ca="1" si="545"/>
        <v>0</v>
      </c>
      <c r="S598">
        <f t="shared" ca="1" si="546"/>
        <v>0</v>
      </c>
    </row>
    <row r="599" spans="5:19" x14ac:dyDescent="0.75">
      <c r="E599">
        <v>594</v>
      </c>
      <c r="F599">
        <f t="shared" si="542"/>
        <v>100</v>
      </c>
      <c r="G599">
        <f t="shared" ca="1" si="543"/>
        <v>99.770556165276176</v>
      </c>
      <c r="H599">
        <f t="shared" ca="1" si="543"/>
        <v>103.63807279981131</v>
      </c>
      <c r="I599">
        <f t="shared" ca="1" si="543"/>
        <v>92.829401576689349</v>
      </c>
      <c r="J599">
        <f t="shared" ref="J599:P599" ca="1" si="554">I599*EXP(($C$6-0.5*$C$7^2)*$C$12+$C$7*SQRT($C$12)*NORMINV(RAND(),0,1))</f>
        <v>101.16129083533272</v>
      </c>
      <c r="K599">
        <f t="shared" ca="1" si="554"/>
        <v>100.74597263412562</v>
      </c>
      <c r="L599">
        <f t="shared" ca="1" si="554"/>
        <v>97.492543103288583</v>
      </c>
      <c r="M599">
        <f t="shared" ca="1" si="554"/>
        <v>97.986440363359748</v>
      </c>
      <c r="N599">
        <f t="shared" ca="1" si="554"/>
        <v>104.42473591458236</v>
      </c>
      <c r="O599">
        <f t="shared" ca="1" si="554"/>
        <v>105.68579849052098</v>
      </c>
      <c r="P599">
        <f t="shared" ca="1" si="554"/>
        <v>105.7787731462428</v>
      </c>
      <c r="Q599">
        <f t="shared" ca="1" si="544"/>
        <v>105.7787731462428</v>
      </c>
      <c r="R599">
        <f t="shared" ca="1" si="545"/>
        <v>3.7787731462427985</v>
      </c>
      <c r="S599">
        <f t="shared" ca="1" si="546"/>
        <v>3.6854749048370894</v>
      </c>
    </row>
    <row r="600" spans="5:19" x14ac:dyDescent="0.75">
      <c r="E600">
        <v>595</v>
      </c>
      <c r="F600">
        <f t="shared" si="542"/>
        <v>100</v>
      </c>
      <c r="G600">
        <f t="shared" ca="1" si="543"/>
        <v>100.1258780399851</v>
      </c>
      <c r="H600">
        <f t="shared" ca="1" si="543"/>
        <v>95.254477800394881</v>
      </c>
      <c r="I600">
        <f t="shared" ca="1" si="543"/>
        <v>92.044121063868147</v>
      </c>
      <c r="J600">
        <f t="shared" ref="J600:P600" ca="1" si="555">I600*EXP(($C$6-0.5*$C$7^2)*$C$12+$C$7*SQRT($C$12)*NORMINV(RAND(),0,1))</f>
        <v>90.887716804826553</v>
      </c>
      <c r="K600">
        <f t="shared" ca="1" si="555"/>
        <v>91.029572542826145</v>
      </c>
      <c r="L600">
        <f t="shared" ca="1" si="555"/>
        <v>90.196341298269587</v>
      </c>
      <c r="M600">
        <f t="shared" ca="1" si="555"/>
        <v>87.187359792724834</v>
      </c>
      <c r="N600">
        <f t="shared" ca="1" si="555"/>
        <v>87.494120027401522</v>
      </c>
      <c r="O600">
        <f t="shared" ca="1" si="555"/>
        <v>85.715518949299479</v>
      </c>
      <c r="P600">
        <f t="shared" ca="1" si="555"/>
        <v>84.994769974019732</v>
      </c>
      <c r="Q600">
        <f t="shared" ca="1" si="544"/>
        <v>100.1258780399851</v>
      </c>
      <c r="R600">
        <f t="shared" ca="1" si="545"/>
        <v>0</v>
      </c>
      <c r="S600">
        <f t="shared" ca="1" si="546"/>
        <v>0</v>
      </c>
    </row>
    <row r="601" spans="5:19" x14ac:dyDescent="0.75">
      <c r="E601">
        <v>596</v>
      </c>
      <c r="F601">
        <f t="shared" si="542"/>
        <v>100</v>
      </c>
      <c r="G601">
        <f t="shared" ca="1" si="543"/>
        <v>98.059039546695885</v>
      </c>
      <c r="H601">
        <f t="shared" ca="1" si="543"/>
        <v>98.500088765110561</v>
      </c>
      <c r="I601">
        <f t="shared" ca="1" si="543"/>
        <v>101.68277603787431</v>
      </c>
      <c r="J601">
        <f t="shared" ref="J601:P601" ca="1" si="556">I601*EXP(($C$6-0.5*$C$7^2)*$C$12+$C$7*SQRT($C$12)*NORMINV(RAND(),0,1))</f>
        <v>101.46254878203736</v>
      </c>
      <c r="K601">
        <f t="shared" ca="1" si="556"/>
        <v>102.94815228380695</v>
      </c>
      <c r="L601">
        <f t="shared" ca="1" si="556"/>
        <v>101.94033015800474</v>
      </c>
      <c r="M601">
        <f t="shared" ca="1" si="556"/>
        <v>98.372581899016936</v>
      </c>
      <c r="N601">
        <f t="shared" ca="1" si="556"/>
        <v>100.76429897993086</v>
      </c>
      <c r="O601">
        <f t="shared" ca="1" si="556"/>
        <v>109.60501218916626</v>
      </c>
      <c r="P601">
        <f t="shared" ca="1" si="556"/>
        <v>107.45273878755972</v>
      </c>
      <c r="Q601">
        <f t="shared" ca="1" si="544"/>
        <v>109.60501218916626</v>
      </c>
      <c r="R601">
        <f t="shared" ca="1" si="545"/>
        <v>5.4527387875597242</v>
      </c>
      <c r="S601">
        <f t="shared" ca="1" si="546"/>
        <v>5.3181101872083518</v>
      </c>
    </row>
    <row r="602" spans="5:19" x14ac:dyDescent="0.75">
      <c r="E602">
        <v>597</v>
      </c>
      <c r="F602">
        <f t="shared" si="542"/>
        <v>100</v>
      </c>
      <c r="G602">
        <f t="shared" ca="1" si="543"/>
        <v>98.550117507278173</v>
      </c>
      <c r="H602">
        <f t="shared" ca="1" si="543"/>
        <v>102.48098655286253</v>
      </c>
      <c r="I602">
        <f t="shared" ca="1" si="543"/>
        <v>101.40516894200245</v>
      </c>
      <c r="J602">
        <f t="shared" ref="J602:P602" ca="1" si="557">I602*EXP(($C$6-0.5*$C$7^2)*$C$12+$C$7*SQRT($C$12)*NORMINV(RAND(),0,1))</f>
        <v>97.073537062817493</v>
      </c>
      <c r="K602">
        <f t="shared" ca="1" si="557"/>
        <v>97.448834101625707</v>
      </c>
      <c r="L602">
        <f t="shared" ca="1" si="557"/>
        <v>100.16737464252562</v>
      </c>
      <c r="M602">
        <f t="shared" ca="1" si="557"/>
        <v>102.06281959662768</v>
      </c>
      <c r="N602">
        <f t="shared" ca="1" si="557"/>
        <v>103.28962995822428</v>
      </c>
      <c r="O602">
        <f t="shared" ca="1" si="557"/>
        <v>98.831548969791427</v>
      </c>
      <c r="P602">
        <f t="shared" ca="1" si="557"/>
        <v>93.393832433431939</v>
      </c>
      <c r="Q602">
        <f t="shared" ca="1" si="544"/>
        <v>103.28962995822428</v>
      </c>
      <c r="R602">
        <f t="shared" ca="1" si="545"/>
        <v>0</v>
      </c>
      <c r="S602">
        <f t="shared" ca="1" si="546"/>
        <v>0</v>
      </c>
    </row>
    <row r="603" spans="5:19" x14ac:dyDescent="0.75">
      <c r="E603">
        <v>598</v>
      </c>
      <c r="F603">
        <f t="shared" si="542"/>
        <v>100</v>
      </c>
      <c r="G603">
        <f t="shared" ca="1" si="543"/>
        <v>104.89720987168288</v>
      </c>
      <c r="H603">
        <f t="shared" ca="1" si="543"/>
        <v>102.27063810415966</v>
      </c>
      <c r="I603">
        <f t="shared" ca="1" si="543"/>
        <v>105.58113253965853</v>
      </c>
      <c r="J603">
        <f t="shared" ref="J603:P603" ca="1" si="558">I603*EXP(($C$6-0.5*$C$7^2)*$C$12+$C$7*SQRT($C$12)*NORMINV(RAND(),0,1))</f>
        <v>106.87861639036343</v>
      </c>
      <c r="K603">
        <f t="shared" ca="1" si="558"/>
        <v>107.36356534721686</v>
      </c>
      <c r="L603">
        <f t="shared" ca="1" si="558"/>
        <v>107.37393489964926</v>
      </c>
      <c r="M603">
        <f t="shared" ca="1" si="558"/>
        <v>107.65445019936503</v>
      </c>
      <c r="N603">
        <f t="shared" ca="1" si="558"/>
        <v>114.36758163562874</v>
      </c>
      <c r="O603">
        <f t="shared" ca="1" si="558"/>
        <v>122.84187074099434</v>
      </c>
      <c r="P603">
        <f t="shared" ca="1" si="558"/>
        <v>120.37737364280619</v>
      </c>
      <c r="Q603">
        <f t="shared" ca="1" si="544"/>
        <v>122.84187074099434</v>
      </c>
      <c r="R603">
        <f t="shared" ca="1" si="545"/>
        <v>0</v>
      </c>
      <c r="S603">
        <f t="shared" ca="1" si="546"/>
        <v>0</v>
      </c>
    </row>
    <row r="604" spans="5:19" x14ac:dyDescent="0.75">
      <c r="E604">
        <v>599</v>
      </c>
      <c r="F604">
        <f t="shared" si="542"/>
        <v>100</v>
      </c>
      <c r="G604">
        <f t="shared" ca="1" si="543"/>
        <v>91.818748480122764</v>
      </c>
      <c r="H604">
        <f t="shared" ca="1" si="543"/>
        <v>88.924047880472443</v>
      </c>
      <c r="I604">
        <f t="shared" ca="1" si="543"/>
        <v>87.290891735561431</v>
      </c>
      <c r="J604">
        <f t="shared" ref="J604:P604" ca="1" si="559">I604*EXP(($C$6-0.5*$C$7^2)*$C$12+$C$7*SQRT($C$12)*NORMINV(RAND(),0,1))</f>
        <v>91.063516726673598</v>
      </c>
      <c r="K604">
        <f t="shared" ca="1" si="559"/>
        <v>95.522187915560906</v>
      </c>
      <c r="L604">
        <f t="shared" ca="1" si="559"/>
        <v>104.29513344666601</v>
      </c>
      <c r="M604">
        <f t="shared" ca="1" si="559"/>
        <v>99.446631107076527</v>
      </c>
      <c r="N604">
        <f t="shared" ca="1" si="559"/>
        <v>95.371520843419376</v>
      </c>
      <c r="O604">
        <f t="shared" ca="1" si="559"/>
        <v>101.22539932722287</v>
      </c>
      <c r="P604">
        <f t="shared" ca="1" si="559"/>
        <v>100.56093261525905</v>
      </c>
      <c r="Q604">
        <f t="shared" ca="1" si="544"/>
        <v>104.29513344666601</v>
      </c>
      <c r="R604">
        <f t="shared" ca="1" si="545"/>
        <v>0</v>
      </c>
      <c r="S604">
        <f t="shared" ca="1" si="546"/>
        <v>0</v>
      </c>
    </row>
    <row r="605" spans="5:19" x14ac:dyDescent="0.75">
      <c r="E605">
        <v>600</v>
      </c>
      <c r="F605">
        <f t="shared" si="542"/>
        <v>100</v>
      </c>
      <c r="G605">
        <f t="shared" ca="1" si="543"/>
        <v>99.813517719617352</v>
      </c>
      <c r="H605">
        <f t="shared" ca="1" si="543"/>
        <v>103.46555745452531</v>
      </c>
      <c r="I605">
        <f t="shared" ca="1" si="543"/>
        <v>107.62268470097597</v>
      </c>
      <c r="J605">
        <f t="shared" ref="J605:P605" ca="1" si="560">I605*EXP(($C$6-0.5*$C$7^2)*$C$12+$C$7*SQRT($C$12)*NORMINV(RAND(),0,1))</f>
        <v>105.87985590744923</v>
      </c>
      <c r="K605">
        <f t="shared" ca="1" si="560"/>
        <v>103.41225143030297</v>
      </c>
      <c r="L605">
        <f t="shared" ca="1" si="560"/>
        <v>109.90753797319867</v>
      </c>
      <c r="M605">
        <f t="shared" ca="1" si="560"/>
        <v>109.99437980425675</v>
      </c>
      <c r="N605">
        <f t="shared" ca="1" si="560"/>
        <v>106.84033757581579</v>
      </c>
      <c r="O605">
        <f t="shared" ca="1" si="560"/>
        <v>97.509781226075233</v>
      </c>
      <c r="P605">
        <f t="shared" ca="1" si="560"/>
        <v>99.215945012091794</v>
      </c>
      <c r="Q605">
        <f t="shared" ca="1" si="544"/>
        <v>109.99437980425675</v>
      </c>
      <c r="R605">
        <f t="shared" ca="1" si="545"/>
        <v>0</v>
      </c>
      <c r="S605">
        <f t="shared" ca="1" si="546"/>
        <v>0</v>
      </c>
    </row>
    <row r="606" spans="5:19" x14ac:dyDescent="0.75">
      <c r="E606">
        <v>601</v>
      </c>
      <c r="F606">
        <f t="shared" si="542"/>
        <v>100</v>
      </c>
      <c r="G606">
        <f t="shared" ca="1" si="543"/>
        <v>101.26463902477565</v>
      </c>
      <c r="H606">
        <f t="shared" ca="1" si="543"/>
        <v>100.67253450575397</v>
      </c>
      <c r="I606">
        <f t="shared" ca="1" si="543"/>
        <v>100.15333061451273</v>
      </c>
      <c r="J606">
        <f t="shared" ref="J606:P606" ca="1" si="561">I606*EXP(($C$6-0.5*$C$7^2)*$C$12+$C$7*SQRT($C$12)*NORMINV(RAND(),0,1))</f>
        <v>100.76396611631415</v>
      </c>
      <c r="K606">
        <f t="shared" ca="1" si="561"/>
        <v>95.340048963541278</v>
      </c>
      <c r="L606">
        <f t="shared" ca="1" si="561"/>
        <v>97.177524931878239</v>
      </c>
      <c r="M606">
        <f t="shared" ca="1" si="561"/>
        <v>104.07539205268009</v>
      </c>
      <c r="N606">
        <f t="shared" ca="1" si="561"/>
        <v>109.89204647317092</v>
      </c>
      <c r="O606">
        <f t="shared" ca="1" si="561"/>
        <v>103.80102291392171</v>
      </c>
      <c r="P606">
        <f t="shared" ca="1" si="561"/>
        <v>95.046109772043408</v>
      </c>
      <c r="Q606">
        <f t="shared" ca="1" si="544"/>
        <v>109.89204647317092</v>
      </c>
      <c r="R606">
        <f t="shared" ca="1" si="545"/>
        <v>0</v>
      </c>
      <c r="S606">
        <f t="shared" ca="1" si="546"/>
        <v>0</v>
      </c>
    </row>
    <row r="607" spans="5:19" x14ac:dyDescent="0.75">
      <c r="E607">
        <v>602</v>
      </c>
      <c r="F607">
        <f t="shared" si="542"/>
        <v>100</v>
      </c>
      <c r="G607">
        <f t="shared" ca="1" si="543"/>
        <v>94.439890647033963</v>
      </c>
      <c r="H607">
        <f t="shared" ca="1" si="543"/>
        <v>94.486478687974625</v>
      </c>
      <c r="I607">
        <f t="shared" ca="1" si="543"/>
        <v>93.277264246969438</v>
      </c>
      <c r="J607">
        <f t="shared" ref="J607:P607" ca="1" si="562">I607*EXP(($C$6-0.5*$C$7^2)*$C$12+$C$7*SQRT($C$12)*NORMINV(RAND(),0,1))</f>
        <v>92.387797830327202</v>
      </c>
      <c r="K607">
        <f t="shared" ca="1" si="562"/>
        <v>88.173113184578128</v>
      </c>
      <c r="L607">
        <f t="shared" ca="1" si="562"/>
        <v>84.614999500549402</v>
      </c>
      <c r="M607">
        <f t="shared" ca="1" si="562"/>
        <v>83.545025492012272</v>
      </c>
      <c r="N607">
        <f t="shared" ca="1" si="562"/>
        <v>88.900331190450387</v>
      </c>
      <c r="O607">
        <f t="shared" ca="1" si="562"/>
        <v>78.752519185435006</v>
      </c>
      <c r="P607">
        <f t="shared" ca="1" si="562"/>
        <v>76.610807037507399</v>
      </c>
      <c r="Q607">
        <f t="shared" ca="1" si="544"/>
        <v>94.486478687974625</v>
      </c>
      <c r="R607">
        <f t="shared" ca="1" si="545"/>
        <v>0</v>
      </c>
      <c r="S607">
        <f t="shared" ca="1" si="546"/>
        <v>0</v>
      </c>
    </row>
    <row r="608" spans="5:19" x14ac:dyDescent="0.75">
      <c r="E608">
        <v>603</v>
      </c>
      <c r="F608">
        <f t="shared" si="542"/>
        <v>100</v>
      </c>
      <c r="G608">
        <f t="shared" ca="1" si="543"/>
        <v>91.612270503757983</v>
      </c>
      <c r="H608">
        <f t="shared" ca="1" si="543"/>
        <v>97.703706848994685</v>
      </c>
      <c r="I608">
        <f t="shared" ca="1" si="543"/>
        <v>89.859446226786403</v>
      </c>
      <c r="J608">
        <f t="shared" ref="J608:P608" ca="1" si="563">I608*EXP(($C$6-0.5*$C$7^2)*$C$12+$C$7*SQRT($C$12)*NORMINV(RAND(),0,1))</f>
        <v>90.380061468046293</v>
      </c>
      <c r="K608">
        <f t="shared" ca="1" si="563"/>
        <v>100.12594281526449</v>
      </c>
      <c r="L608">
        <f t="shared" ca="1" si="563"/>
        <v>93.667741682910687</v>
      </c>
      <c r="M608">
        <f t="shared" ca="1" si="563"/>
        <v>95.263796595821688</v>
      </c>
      <c r="N608">
        <f t="shared" ca="1" si="563"/>
        <v>87.613363322993465</v>
      </c>
      <c r="O608">
        <f t="shared" ca="1" si="563"/>
        <v>88.838901336154365</v>
      </c>
      <c r="P608">
        <f t="shared" ca="1" si="563"/>
        <v>91.642937282692515</v>
      </c>
      <c r="Q608">
        <f t="shared" ca="1" si="544"/>
        <v>100.12594281526449</v>
      </c>
      <c r="R608">
        <f t="shared" ca="1" si="545"/>
        <v>0</v>
      </c>
      <c r="S608">
        <f t="shared" ca="1" si="546"/>
        <v>0</v>
      </c>
    </row>
    <row r="609" spans="5:19" x14ac:dyDescent="0.75">
      <c r="E609">
        <v>604</v>
      </c>
      <c r="F609">
        <f t="shared" si="542"/>
        <v>100</v>
      </c>
      <c r="G609">
        <f t="shared" ca="1" si="543"/>
        <v>95.269427942553833</v>
      </c>
      <c r="H609">
        <f t="shared" ca="1" si="543"/>
        <v>96.328117171069422</v>
      </c>
      <c r="I609">
        <f t="shared" ca="1" si="543"/>
        <v>93.351747212323986</v>
      </c>
      <c r="J609">
        <f t="shared" ref="J609:P609" ca="1" si="564">I609*EXP(($C$6-0.5*$C$7^2)*$C$12+$C$7*SQRT($C$12)*NORMINV(RAND(),0,1))</f>
        <v>98.794310778892992</v>
      </c>
      <c r="K609">
        <f t="shared" ca="1" si="564"/>
        <v>88.975000838172576</v>
      </c>
      <c r="L609">
        <f t="shared" ca="1" si="564"/>
        <v>88.877946388909223</v>
      </c>
      <c r="M609">
        <f t="shared" ca="1" si="564"/>
        <v>94.173982762405288</v>
      </c>
      <c r="N609">
        <f t="shared" ca="1" si="564"/>
        <v>100.47835832335174</v>
      </c>
      <c r="O609">
        <f t="shared" ca="1" si="564"/>
        <v>101.18085937604627</v>
      </c>
      <c r="P609">
        <f t="shared" ca="1" si="564"/>
        <v>103.55777881140419</v>
      </c>
      <c r="Q609">
        <f t="shared" ca="1" si="544"/>
        <v>103.55777881140419</v>
      </c>
      <c r="R609">
        <f t="shared" ca="1" si="545"/>
        <v>1.5577788114041908</v>
      </c>
      <c r="S609">
        <f t="shared" ca="1" si="546"/>
        <v>1.5193171155102219</v>
      </c>
    </row>
    <row r="610" spans="5:19" x14ac:dyDescent="0.75">
      <c r="E610">
        <v>605</v>
      </c>
      <c r="F610">
        <f t="shared" si="542"/>
        <v>100</v>
      </c>
      <c r="G610">
        <f t="shared" ca="1" si="543"/>
        <v>98.682100965297025</v>
      </c>
      <c r="H610">
        <f t="shared" ca="1" si="543"/>
        <v>91.535762808872008</v>
      </c>
      <c r="I610">
        <f t="shared" ca="1" si="543"/>
        <v>87.310118442180013</v>
      </c>
      <c r="J610">
        <f t="shared" ref="J610:P610" ca="1" si="565">I610*EXP(($C$6-0.5*$C$7^2)*$C$12+$C$7*SQRT($C$12)*NORMINV(RAND(),0,1))</f>
        <v>83.34992025089025</v>
      </c>
      <c r="K610">
        <f t="shared" ca="1" si="565"/>
        <v>82.383912981880513</v>
      </c>
      <c r="L610">
        <f t="shared" ca="1" si="565"/>
        <v>85.731812005160322</v>
      </c>
      <c r="M610">
        <f t="shared" ca="1" si="565"/>
        <v>84.425914582905634</v>
      </c>
      <c r="N610">
        <f t="shared" ca="1" si="565"/>
        <v>88.185450704765444</v>
      </c>
      <c r="O610">
        <f t="shared" ca="1" si="565"/>
        <v>87.026826906665875</v>
      </c>
      <c r="P610">
        <f t="shared" ca="1" si="565"/>
        <v>90.215294314360293</v>
      </c>
      <c r="Q610">
        <f t="shared" ca="1" si="544"/>
        <v>98.682100965297025</v>
      </c>
      <c r="R610">
        <f t="shared" ca="1" si="545"/>
        <v>0</v>
      </c>
      <c r="S610">
        <f t="shared" ca="1" si="546"/>
        <v>0</v>
      </c>
    </row>
    <row r="611" spans="5:19" x14ac:dyDescent="0.75">
      <c r="E611">
        <v>606</v>
      </c>
      <c r="F611">
        <f t="shared" si="542"/>
        <v>100</v>
      </c>
      <c r="G611">
        <f t="shared" ca="1" si="543"/>
        <v>89.788423875255177</v>
      </c>
      <c r="H611">
        <f t="shared" ca="1" si="543"/>
        <v>94.640805085281755</v>
      </c>
      <c r="I611">
        <f t="shared" ca="1" si="543"/>
        <v>97.940474599357216</v>
      </c>
      <c r="J611">
        <f t="shared" ref="J611:P611" ca="1" si="566">I611*EXP(($C$6-0.5*$C$7^2)*$C$12+$C$7*SQRT($C$12)*NORMINV(RAND(),0,1))</f>
        <v>94.612524019899354</v>
      </c>
      <c r="K611">
        <f t="shared" ca="1" si="566"/>
        <v>83.270135312094439</v>
      </c>
      <c r="L611">
        <f t="shared" ca="1" si="566"/>
        <v>83.523212048417136</v>
      </c>
      <c r="M611">
        <f t="shared" ca="1" si="566"/>
        <v>84.630139429993136</v>
      </c>
      <c r="N611">
        <f t="shared" ca="1" si="566"/>
        <v>90.810863051085022</v>
      </c>
      <c r="O611">
        <f t="shared" ca="1" si="566"/>
        <v>91.416042097754968</v>
      </c>
      <c r="P611">
        <f t="shared" ca="1" si="566"/>
        <v>94.054143417996684</v>
      </c>
      <c r="Q611">
        <f t="shared" ca="1" si="544"/>
        <v>97.940474599357216</v>
      </c>
      <c r="R611">
        <f t="shared" ca="1" si="545"/>
        <v>0</v>
      </c>
      <c r="S611">
        <f t="shared" ca="1" si="546"/>
        <v>0</v>
      </c>
    </row>
    <row r="612" spans="5:19" x14ac:dyDescent="0.75">
      <c r="E612">
        <v>607</v>
      </c>
      <c r="F612">
        <f t="shared" si="542"/>
        <v>100</v>
      </c>
      <c r="G612">
        <f t="shared" ca="1" si="543"/>
        <v>96.651931277911444</v>
      </c>
      <c r="H612">
        <f t="shared" ca="1" si="543"/>
        <v>96.299016838709548</v>
      </c>
      <c r="I612">
        <f t="shared" ca="1" si="543"/>
        <v>97.68315960870919</v>
      </c>
      <c r="J612">
        <f t="shared" ref="J612:P612" ca="1" si="567">I612*EXP(($C$6-0.5*$C$7^2)*$C$12+$C$7*SQRT($C$12)*NORMINV(RAND(),0,1))</f>
        <v>100.40524148073489</v>
      </c>
      <c r="K612">
        <f t="shared" ca="1" si="567"/>
        <v>102.11641012594475</v>
      </c>
      <c r="L612">
        <f t="shared" ca="1" si="567"/>
        <v>106.14979119901105</v>
      </c>
      <c r="M612">
        <f t="shared" ca="1" si="567"/>
        <v>110.31811733844947</v>
      </c>
      <c r="N612">
        <f t="shared" ca="1" si="567"/>
        <v>107.10056617090207</v>
      </c>
      <c r="O612">
        <f t="shared" ca="1" si="567"/>
        <v>110.07268885995522</v>
      </c>
      <c r="P612">
        <f t="shared" ca="1" si="567"/>
        <v>108.89504985073602</v>
      </c>
      <c r="Q612">
        <f t="shared" ca="1" si="544"/>
        <v>110.31811733844947</v>
      </c>
      <c r="R612">
        <f t="shared" ca="1" si="545"/>
        <v>0</v>
      </c>
      <c r="S612">
        <f t="shared" ca="1" si="546"/>
        <v>0</v>
      </c>
    </row>
    <row r="613" spans="5:19" x14ac:dyDescent="0.75">
      <c r="E613">
        <v>608</v>
      </c>
      <c r="F613">
        <f t="shared" si="542"/>
        <v>100</v>
      </c>
      <c r="G613">
        <f t="shared" ca="1" si="543"/>
        <v>104.50299225757487</v>
      </c>
      <c r="H613">
        <f t="shared" ca="1" si="543"/>
        <v>99.191513514861242</v>
      </c>
      <c r="I613">
        <f t="shared" ca="1" si="543"/>
        <v>99.83753135294819</v>
      </c>
      <c r="J613">
        <f t="shared" ref="J613:P613" ca="1" si="568">I613*EXP(($C$6-0.5*$C$7^2)*$C$12+$C$7*SQRT($C$12)*NORMINV(RAND(),0,1))</f>
        <v>101.61017461838229</v>
      </c>
      <c r="K613">
        <f t="shared" ca="1" si="568"/>
        <v>102.71543687385335</v>
      </c>
      <c r="L613">
        <f t="shared" ca="1" si="568"/>
        <v>97.633286666552692</v>
      </c>
      <c r="M613">
        <f t="shared" ca="1" si="568"/>
        <v>105.71177356921602</v>
      </c>
      <c r="N613">
        <f t="shared" ca="1" si="568"/>
        <v>102.91817013269001</v>
      </c>
      <c r="O613">
        <f t="shared" ca="1" si="568"/>
        <v>105.0588522525143</v>
      </c>
      <c r="P613">
        <f t="shared" ca="1" si="568"/>
        <v>107.66559828724024</v>
      </c>
      <c r="Q613">
        <f t="shared" ca="1" si="544"/>
        <v>107.66559828724024</v>
      </c>
      <c r="R613">
        <f t="shared" ca="1" si="545"/>
        <v>5.6655982872402433</v>
      </c>
      <c r="S613">
        <f t="shared" ca="1" si="546"/>
        <v>5.5257141671161536</v>
      </c>
    </row>
    <row r="614" spans="5:19" x14ac:dyDescent="0.75">
      <c r="E614">
        <v>609</v>
      </c>
      <c r="F614">
        <f t="shared" si="542"/>
        <v>100</v>
      </c>
      <c r="G614">
        <f t="shared" ca="1" si="543"/>
        <v>99.341881824855932</v>
      </c>
      <c r="H614">
        <f t="shared" ca="1" si="543"/>
        <v>96.767558750310869</v>
      </c>
      <c r="I614">
        <f t="shared" ca="1" si="543"/>
        <v>101.15834130236524</v>
      </c>
      <c r="J614">
        <f t="shared" ref="J614:P614" ca="1" si="569">I614*EXP(($C$6-0.5*$C$7^2)*$C$12+$C$7*SQRT($C$12)*NORMINV(RAND(),0,1))</f>
        <v>111.43395839055233</v>
      </c>
      <c r="K614">
        <f t="shared" ca="1" si="569"/>
        <v>118.42500793303111</v>
      </c>
      <c r="L614">
        <f t="shared" ca="1" si="569"/>
        <v>120.10802474385136</v>
      </c>
      <c r="M614">
        <f t="shared" ca="1" si="569"/>
        <v>137.91741688326405</v>
      </c>
      <c r="N614">
        <f t="shared" ca="1" si="569"/>
        <v>136.53511789800513</v>
      </c>
      <c r="O614">
        <f t="shared" ca="1" si="569"/>
        <v>137.89165989408352</v>
      </c>
      <c r="P614">
        <f t="shared" ca="1" si="569"/>
        <v>142.71364289602607</v>
      </c>
      <c r="Q614">
        <f t="shared" ca="1" si="544"/>
        <v>142.71364289602607</v>
      </c>
      <c r="R614">
        <f t="shared" ca="1" si="545"/>
        <v>0</v>
      </c>
      <c r="S614">
        <f t="shared" ca="1" si="546"/>
        <v>0</v>
      </c>
    </row>
    <row r="615" spans="5:19" x14ac:dyDescent="0.75">
      <c r="E615">
        <v>610</v>
      </c>
      <c r="F615">
        <f t="shared" si="542"/>
        <v>100</v>
      </c>
      <c r="G615">
        <f t="shared" ca="1" si="543"/>
        <v>102.20741655962556</v>
      </c>
      <c r="H615">
        <f t="shared" ca="1" si="543"/>
        <v>101.33061450823595</v>
      </c>
      <c r="I615">
        <f t="shared" ca="1" si="543"/>
        <v>99.571796726100516</v>
      </c>
      <c r="J615">
        <f t="shared" ref="J615:P615" ca="1" si="570">I615*EXP(($C$6-0.5*$C$7^2)*$C$12+$C$7*SQRT($C$12)*NORMINV(RAND(),0,1))</f>
        <v>102.91359428918358</v>
      </c>
      <c r="K615">
        <f t="shared" ca="1" si="570"/>
        <v>104.93190469346835</v>
      </c>
      <c r="L615">
        <f t="shared" ca="1" si="570"/>
        <v>108.79022995868466</v>
      </c>
      <c r="M615">
        <f t="shared" ca="1" si="570"/>
        <v>107.98737881312066</v>
      </c>
      <c r="N615">
        <f t="shared" ca="1" si="570"/>
        <v>104.74596564880396</v>
      </c>
      <c r="O615">
        <f t="shared" ca="1" si="570"/>
        <v>94.807158896367568</v>
      </c>
      <c r="P615">
        <f t="shared" ca="1" si="570"/>
        <v>92.500559215847687</v>
      </c>
      <c r="Q615">
        <f t="shared" ca="1" si="544"/>
        <v>108.79022995868466</v>
      </c>
      <c r="R615">
        <f t="shared" ca="1" si="545"/>
        <v>0</v>
      </c>
      <c r="S615">
        <f t="shared" ca="1" si="546"/>
        <v>0</v>
      </c>
    </row>
    <row r="616" spans="5:19" x14ac:dyDescent="0.75">
      <c r="E616">
        <v>611</v>
      </c>
      <c r="F616">
        <f t="shared" si="542"/>
        <v>100</v>
      </c>
      <c r="G616">
        <f t="shared" ca="1" si="543"/>
        <v>98.453510490497706</v>
      </c>
      <c r="H616">
        <f t="shared" ca="1" si="543"/>
        <v>100.54472932619636</v>
      </c>
      <c r="I616">
        <f t="shared" ca="1" si="543"/>
        <v>99.802923997901416</v>
      </c>
      <c r="J616">
        <f t="shared" ref="J616:P616" ca="1" si="571">I616*EXP(($C$6-0.5*$C$7^2)*$C$12+$C$7*SQRT($C$12)*NORMINV(RAND(),0,1))</f>
        <v>101.66576051192938</v>
      </c>
      <c r="K616">
        <f t="shared" ca="1" si="571"/>
        <v>102.21928716542999</v>
      </c>
      <c r="L616">
        <f t="shared" ca="1" si="571"/>
        <v>101.08365827893505</v>
      </c>
      <c r="M616">
        <f t="shared" ca="1" si="571"/>
        <v>100.14142516043519</v>
      </c>
      <c r="N616">
        <f t="shared" ca="1" si="571"/>
        <v>104.42434022200985</v>
      </c>
      <c r="O616">
        <f t="shared" ca="1" si="571"/>
        <v>101.07309348194785</v>
      </c>
      <c r="P616">
        <f t="shared" ca="1" si="571"/>
        <v>99.590196459315081</v>
      </c>
      <c r="Q616">
        <f t="shared" ca="1" si="544"/>
        <v>104.42434022200985</v>
      </c>
      <c r="R616">
        <f t="shared" ca="1" si="545"/>
        <v>0</v>
      </c>
      <c r="S616">
        <f t="shared" ca="1" si="546"/>
        <v>0</v>
      </c>
    </row>
    <row r="617" spans="5:19" x14ac:dyDescent="0.75">
      <c r="E617">
        <v>612</v>
      </c>
      <c r="F617">
        <f t="shared" si="542"/>
        <v>100</v>
      </c>
      <c r="G617">
        <f t="shared" ca="1" si="543"/>
        <v>112.83318584762172</v>
      </c>
      <c r="H617">
        <f t="shared" ca="1" si="543"/>
        <v>115.04684410492568</v>
      </c>
      <c r="I617">
        <f t="shared" ca="1" si="543"/>
        <v>115.9786248721075</v>
      </c>
      <c r="J617">
        <f t="shared" ref="J617:P617" ca="1" si="572">I617*EXP(($C$6-0.5*$C$7^2)*$C$12+$C$7*SQRT($C$12)*NORMINV(RAND(),0,1))</f>
        <v>119.81124770145104</v>
      </c>
      <c r="K617">
        <f t="shared" ca="1" si="572"/>
        <v>119.67916111239884</v>
      </c>
      <c r="L617">
        <f t="shared" ca="1" si="572"/>
        <v>123.82400639560845</v>
      </c>
      <c r="M617">
        <f t="shared" ca="1" si="572"/>
        <v>117.45918875744522</v>
      </c>
      <c r="N617">
        <f t="shared" ca="1" si="572"/>
        <v>116.37253839525781</v>
      </c>
      <c r="O617">
        <f t="shared" ca="1" si="572"/>
        <v>124.74733513334114</v>
      </c>
      <c r="P617">
        <f t="shared" ca="1" si="572"/>
        <v>118.35734072752317</v>
      </c>
      <c r="Q617">
        <f t="shared" ca="1" si="544"/>
        <v>124.74733513334114</v>
      </c>
      <c r="R617">
        <f t="shared" ca="1" si="545"/>
        <v>0</v>
      </c>
      <c r="S617">
        <f t="shared" ca="1" si="546"/>
        <v>0</v>
      </c>
    </row>
    <row r="618" spans="5:19" x14ac:dyDescent="0.75">
      <c r="E618">
        <v>613</v>
      </c>
      <c r="F618">
        <f t="shared" si="542"/>
        <v>100</v>
      </c>
      <c r="G618">
        <f t="shared" ca="1" si="543"/>
        <v>103.8303770882123</v>
      </c>
      <c r="H618">
        <f t="shared" ca="1" si="543"/>
        <v>104.04573862273291</v>
      </c>
      <c r="I618">
        <f t="shared" ca="1" si="543"/>
        <v>102.21785472779518</v>
      </c>
      <c r="J618">
        <f t="shared" ref="J618:P618" ca="1" si="573">I618*EXP(($C$6-0.5*$C$7^2)*$C$12+$C$7*SQRT($C$12)*NORMINV(RAND(),0,1))</f>
        <v>101.46210504855516</v>
      </c>
      <c r="K618">
        <f t="shared" ca="1" si="573"/>
        <v>99.240360170308378</v>
      </c>
      <c r="L618">
        <f t="shared" ca="1" si="573"/>
        <v>99.299146259764285</v>
      </c>
      <c r="M618">
        <f t="shared" ca="1" si="573"/>
        <v>98.815438842078805</v>
      </c>
      <c r="N618">
        <f t="shared" ca="1" si="573"/>
        <v>103.51228661800575</v>
      </c>
      <c r="O618">
        <f t="shared" ca="1" si="573"/>
        <v>103.13500881950986</v>
      </c>
      <c r="P618">
        <f t="shared" ca="1" si="573"/>
        <v>94.742266962336743</v>
      </c>
      <c r="Q618">
        <f t="shared" ca="1" si="544"/>
        <v>104.04573862273291</v>
      </c>
      <c r="R618">
        <f t="shared" ca="1" si="545"/>
        <v>0</v>
      </c>
      <c r="S618">
        <f t="shared" ca="1" si="546"/>
        <v>0</v>
      </c>
    </row>
    <row r="619" spans="5:19" x14ac:dyDescent="0.75">
      <c r="E619">
        <v>614</v>
      </c>
      <c r="F619">
        <f t="shared" si="542"/>
        <v>100</v>
      </c>
      <c r="G619">
        <f t="shared" ca="1" si="543"/>
        <v>104.25767470829059</v>
      </c>
      <c r="H619">
        <f t="shared" ca="1" si="543"/>
        <v>112.13750237358525</v>
      </c>
      <c r="I619">
        <f t="shared" ca="1" si="543"/>
        <v>122.47081371558389</v>
      </c>
      <c r="J619">
        <f t="shared" ref="J619:P619" ca="1" si="574">I619*EXP(($C$6-0.5*$C$7^2)*$C$12+$C$7*SQRT($C$12)*NORMINV(RAND(),0,1))</f>
        <v>116.14975254134536</v>
      </c>
      <c r="K619">
        <f t="shared" ca="1" si="574"/>
        <v>112.15413598977486</v>
      </c>
      <c r="L619">
        <f t="shared" ca="1" si="574"/>
        <v>109.05103358604867</v>
      </c>
      <c r="M619">
        <f t="shared" ca="1" si="574"/>
        <v>108.29805412112017</v>
      </c>
      <c r="N619">
        <f t="shared" ca="1" si="574"/>
        <v>107.41391120811585</v>
      </c>
      <c r="O619">
        <f t="shared" ca="1" si="574"/>
        <v>115.02691934038148</v>
      </c>
      <c r="P619">
        <f t="shared" ca="1" si="574"/>
        <v>113.44354486705971</v>
      </c>
      <c r="Q619">
        <f t="shared" ca="1" si="544"/>
        <v>122.47081371558389</v>
      </c>
      <c r="R619">
        <f t="shared" ca="1" si="545"/>
        <v>0</v>
      </c>
      <c r="S619">
        <f t="shared" ca="1" si="546"/>
        <v>0</v>
      </c>
    </row>
    <row r="620" spans="5:19" x14ac:dyDescent="0.75">
      <c r="E620">
        <v>615</v>
      </c>
      <c r="F620">
        <f t="shared" si="542"/>
        <v>100</v>
      </c>
      <c r="G620">
        <f t="shared" ca="1" si="543"/>
        <v>95.402214635995904</v>
      </c>
      <c r="H620">
        <f t="shared" ca="1" si="543"/>
        <v>96.828149583211371</v>
      </c>
      <c r="I620">
        <f t="shared" ca="1" si="543"/>
        <v>90.721256565929679</v>
      </c>
      <c r="J620">
        <f t="shared" ref="J620:P620" ca="1" si="575">I620*EXP(($C$6-0.5*$C$7^2)*$C$12+$C$7*SQRT($C$12)*NORMINV(RAND(),0,1))</f>
        <v>88.220277951907633</v>
      </c>
      <c r="K620">
        <f t="shared" ca="1" si="575"/>
        <v>88.142147180564237</v>
      </c>
      <c r="L620">
        <f t="shared" ca="1" si="575"/>
        <v>87.519861004805108</v>
      </c>
      <c r="M620">
        <f t="shared" ca="1" si="575"/>
        <v>91.817652500193788</v>
      </c>
      <c r="N620">
        <f t="shared" ca="1" si="575"/>
        <v>84.896034507191715</v>
      </c>
      <c r="O620">
        <f t="shared" ca="1" si="575"/>
        <v>81.419191148163932</v>
      </c>
      <c r="P620">
        <f t="shared" ca="1" si="575"/>
        <v>85.023694764875245</v>
      </c>
      <c r="Q620">
        <f t="shared" ca="1" si="544"/>
        <v>96.828149583211371</v>
      </c>
      <c r="R620">
        <f t="shared" ca="1" si="545"/>
        <v>0</v>
      </c>
      <c r="S620">
        <f t="shared" ca="1" si="546"/>
        <v>0</v>
      </c>
    </row>
    <row r="621" spans="5:19" x14ac:dyDescent="0.75">
      <c r="E621">
        <v>616</v>
      </c>
      <c r="F621">
        <f t="shared" si="542"/>
        <v>100</v>
      </c>
      <c r="G621">
        <f t="shared" ca="1" si="543"/>
        <v>101.4948893700176</v>
      </c>
      <c r="H621">
        <f t="shared" ca="1" si="543"/>
        <v>99.321481486380563</v>
      </c>
      <c r="I621">
        <f t="shared" ca="1" si="543"/>
        <v>95.228602036542355</v>
      </c>
      <c r="J621">
        <f t="shared" ref="J621:P621" ca="1" si="576">I621*EXP(($C$6-0.5*$C$7^2)*$C$12+$C$7*SQRT($C$12)*NORMINV(RAND(),0,1))</f>
        <v>100.24951382452733</v>
      </c>
      <c r="K621">
        <f t="shared" ca="1" si="576"/>
        <v>104.94925095047424</v>
      </c>
      <c r="L621">
        <f t="shared" ca="1" si="576"/>
        <v>105.41624980613791</v>
      </c>
      <c r="M621">
        <f t="shared" ca="1" si="576"/>
        <v>108.22735249343314</v>
      </c>
      <c r="N621">
        <f t="shared" ca="1" si="576"/>
        <v>107.15591161476068</v>
      </c>
      <c r="O621">
        <f t="shared" ca="1" si="576"/>
        <v>115.73174950847131</v>
      </c>
      <c r="P621">
        <f t="shared" ca="1" si="576"/>
        <v>104.48746210970695</v>
      </c>
      <c r="Q621">
        <f t="shared" ca="1" si="544"/>
        <v>115.73174950847131</v>
      </c>
      <c r="R621">
        <f t="shared" ca="1" si="545"/>
        <v>0</v>
      </c>
      <c r="S621">
        <f t="shared" ca="1" si="546"/>
        <v>0</v>
      </c>
    </row>
    <row r="622" spans="5:19" x14ac:dyDescent="0.75">
      <c r="E622">
        <v>617</v>
      </c>
      <c r="F622">
        <f t="shared" si="542"/>
        <v>100</v>
      </c>
      <c r="G622">
        <f t="shared" ca="1" si="543"/>
        <v>104.09358164012299</v>
      </c>
      <c r="H622">
        <f t="shared" ca="1" si="543"/>
        <v>103.04072012316223</v>
      </c>
      <c r="I622">
        <f t="shared" ca="1" si="543"/>
        <v>105.27798626449709</v>
      </c>
      <c r="J622">
        <f t="shared" ref="J622:P622" ca="1" si="577">I622*EXP(($C$6-0.5*$C$7^2)*$C$12+$C$7*SQRT($C$12)*NORMINV(RAND(),0,1))</f>
        <v>98.085717144532111</v>
      </c>
      <c r="K622">
        <f t="shared" ca="1" si="577"/>
        <v>91.136475463907232</v>
      </c>
      <c r="L622">
        <f t="shared" ca="1" si="577"/>
        <v>95.265750275581041</v>
      </c>
      <c r="M622">
        <f t="shared" ca="1" si="577"/>
        <v>91.772978958252693</v>
      </c>
      <c r="N622">
        <f t="shared" ca="1" si="577"/>
        <v>93.249730089439197</v>
      </c>
      <c r="O622">
        <f t="shared" ca="1" si="577"/>
        <v>97.77060646977715</v>
      </c>
      <c r="P622">
        <f t="shared" ca="1" si="577"/>
        <v>95.913947579327711</v>
      </c>
      <c r="Q622">
        <f t="shared" ca="1" si="544"/>
        <v>105.27798626449709</v>
      </c>
      <c r="R622">
        <f t="shared" ca="1" si="545"/>
        <v>0</v>
      </c>
      <c r="S622">
        <f t="shared" ca="1" si="546"/>
        <v>0</v>
      </c>
    </row>
    <row r="623" spans="5:19" x14ac:dyDescent="0.75">
      <c r="E623">
        <v>618</v>
      </c>
      <c r="F623">
        <f t="shared" si="542"/>
        <v>100</v>
      </c>
      <c r="G623">
        <f t="shared" ca="1" si="543"/>
        <v>102.61975488504088</v>
      </c>
      <c r="H623">
        <f t="shared" ca="1" si="543"/>
        <v>91.923486781739967</v>
      </c>
      <c r="I623">
        <f t="shared" ca="1" si="543"/>
        <v>91.297510515360443</v>
      </c>
      <c r="J623">
        <f t="shared" ref="J623:P623" ca="1" si="578">I623*EXP(($C$6-0.5*$C$7^2)*$C$12+$C$7*SQRT($C$12)*NORMINV(RAND(),0,1))</f>
        <v>89.930007170113257</v>
      </c>
      <c r="K623">
        <f t="shared" ca="1" si="578"/>
        <v>86.707342932412914</v>
      </c>
      <c r="L623">
        <f t="shared" ca="1" si="578"/>
        <v>91.094862854345536</v>
      </c>
      <c r="M623">
        <f t="shared" ca="1" si="578"/>
        <v>89.389454544138033</v>
      </c>
      <c r="N623">
        <f t="shared" ca="1" si="578"/>
        <v>94.525242481649911</v>
      </c>
      <c r="O623">
        <f t="shared" ca="1" si="578"/>
        <v>98.360765853080153</v>
      </c>
      <c r="P623">
        <f t="shared" ca="1" si="578"/>
        <v>102.01122641794994</v>
      </c>
      <c r="Q623">
        <f t="shared" ca="1" si="544"/>
        <v>102.61975488504088</v>
      </c>
      <c r="R623">
        <f t="shared" ca="1" si="545"/>
        <v>1.1226417949941947E-2</v>
      </c>
      <c r="S623">
        <f t="shared" ca="1" si="546"/>
        <v>1.0949236703151174E-2</v>
      </c>
    </row>
    <row r="624" spans="5:19" x14ac:dyDescent="0.75">
      <c r="E624">
        <v>619</v>
      </c>
      <c r="F624">
        <f t="shared" si="542"/>
        <v>100</v>
      </c>
      <c r="G624">
        <f t="shared" ca="1" si="543"/>
        <v>102.08165305870061</v>
      </c>
      <c r="H624">
        <f t="shared" ca="1" si="543"/>
        <v>100.71546034701073</v>
      </c>
      <c r="I624">
        <f t="shared" ca="1" si="543"/>
        <v>97.851205822116569</v>
      </c>
      <c r="J624">
        <f t="shared" ref="J624:P624" ca="1" si="579">I624*EXP(($C$6-0.5*$C$7^2)*$C$12+$C$7*SQRT($C$12)*NORMINV(RAND(),0,1))</f>
        <v>97.14459245529325</v>
      </c>
      <c r="K624">
        <f t="shared" ca="1" si="579"/>
        <v>92.414015268608736</v>
      </c>
      <c r="L624">
        <f t="shared" ca="1" si="579"/>
        <v>96.388602568511502</v>
      </c>
      <c r="M624">
        <f t="shared" ca="1" si="579"/>
        <v>101.98330057297605</v>
      </c>
      <c r="N624">
        <f t="shared" ca="1" si="579"/>
        <v>107.23675537089478</v>
      </c>
      <c r="O624">
        <f t="shared" ca="1" si="579"/>
        <v>102.0527874442719</v>
      </c>
      <c r="P624">
        <f t="shared" ca="1" si="579"/>
        <v>101.97057793839433</v>
      </c>
      <c r="Q624">
        <f t="shared" ca="1" si="544"/>
        <v>107.23675537089478</v>
      </c>
      <c r="R624">
        <f t="shared" ca="1" si="545"/>
        <v>0</v>
      </c>
      <c r="S624">
        <f t="shared" ca="1" si="546"/>
        <v>0</v>
      </c>
    </row>
    <row r="625" spans="5:19" x14ac:dyDescent="0.75">
      <c r="E625">
        <v>620</v>
      </c>
      <c r="F625">
        <f t="shared" si="542"/>
        <v>100</v>
      </c>
      <c r="G625">
        <f t="shared" ca="1" si="543"/>
        <v>94.895287444655565</v>
      </c>
      <c r="H625">
        <f t="shared" ca="1" si="543"/>
        <v>98.96260230788107</v>
      </c>
      <c r="I625">
        <f t="shared" ca="1" si="543"/>
        <v>101.80236011360452</v>
      </c>
      <c r="J625">
        <f t="shared" ref="J625:P625" ca="1" si="580">I625*EXP(($C$6-0.5*$C$7^2)*$C$12+$C$7*SQRT($C$12)*NORMINV(RAND(),0,1))</f>
        <v>100.99291678774662</v>
      </c>
      <c r="K625">
        <f t="shared" ca="1" si="580"/>
        <v>102.28577225840327</v>
      </c>
      <c r="L625">
        <f t="shared" ca="1" si="580"/>
        <v>105.58772929213721</v>
      </c>
      <c r="M625">
        <f t="shared" ca="1" si="580"/>
        <v>102.80556633226585</v>
      </c>
      <c r="N625">
        <f t="shared" ca="1" si="580"/>
        <v>100.95649666047004</v>
      </c>
      <c r="O625">
        <f t="shared" ca="1" si="580"/>
        <v>94.612351344996441</v>
      </c>
      <c r="P625">
        <f t="shared" ca="1" si="580"/>
        <v>96.310822569722575</v>
      </c>
      <c r="Q625">
        <f t="shared" ca="1" si="544"/>
        <v>105.58772929213721</v>
      </c>
      <c r="R625">
        <f t="shared" ca="1" si="545"/>
        <v>0</v>
      </c>
      <c r="S625">
        <f t="shared" ca="1" si="546"/>
        <v>0</v>
      </c>
    </row>
    <row r="626" spans="5:19" x14ac:dyDescent="0.75">
      <c r="E626">
        <v>621</v>
      </c>
      <c r="F626">
        <f t="shared" si="542"/>
        <v>100</v>
      </c>
      <c r="G626">
        <f t="shared" ca="1" si="543"/>
        <v>88.693297428516985</v>
      </c>
      <c r="H626">
        <f t="shared" ca="1" si="543"/>
        <v>85.155013225798839</v>
      </c>
      <c r="I626">
        <f t="shared" ca="1" si="543"/>
        <v>81.725620483577686</v>
      </c>
      <c r="J626">
        <f t="shared" ref="J626:P626" ca="1" si="581">I626*EXP(($C$6-0.5*$C$7^2)*$C$12+$C$7*SQRT($C$12)*NORMINV(RAND(),0,1))</f>
        <v>84.351396200990365</v>
      </c>
      <c r="K626">
        <f t="shared" ca="1" si="581"/>
        <v>82.453399584288235</v>
      </c>
      <c r="L626">
        <f t="shared" ca="1" si="581"/>
        <v>83.154143385935754</v>
      </c>
      <c r="M626">
        <f t="shared" ca="1" si="581"/>
        <v>74.170387074908888</v>
      </c>
      <c r="N626">
        <f t="shared" ca="1" si="581"/>
        <v>70.871074420863977</v>
      </c>
      <c r="O626">
        <f t="shared" ca="1" si="581"/>
        <v>66.676113612180586</v>
      </c>
      <c r="P626">
        <f t="shared" ca="1" si="581"/>
        <v>71.312367528404081</v>
      </c>
      <c r="Q626">
        <f t="shared" ca="1" si="544"/>
        <v>88.693297428516985</v>
      </c>
      <c r="R626">
        <f t="shared" ca="1" si="545"/>
        <v>0</v>
      </c>
      <c r="S626">
        <f t="shared" ca="1" si="546"/>
        <v>0</v>
      </c>
    </row>
    <row r="627" spans="5:19" x14ac:dyDescent="0.75">
      <c r="E627">
        <v>622</v>
      </c>
      <c r="F627">
        <f t="shared" si="542"/>
        <v>100</v>
      </c>
      <c r="G627">
        <f t="shared" ca="1" si="543"/>
        <v>99.081649360481933</v>
      </c>
      <c r="H627">
        <f t="shared" ca="1" si="543"/>
        <v>99.547815231665538</v>
      </c>
      <c r="I627">
        <f t="shared" ca="1" si="543"/>
        <v>96.462586561549671</v>
      </c>
      <c r="J627">
        <f t="shared" ref="J627:P627" ca="1" si="582">I627*EXP(($C$6-0.5*$C$7^2)*$C$12+$C$7*SQRT($C$12)*NORMINV(RAND(),0,1))</f>
        <v>98.614548185920796</v>
      </c>
      <c r="K627">
        <f t="shared" ca="1" si="582"/>
        <v>102.42667647807549</v>
      </c>
      <c r="L627">
        <f t="shared" ca="1" si="582"/>
        <v>108.17676085621801</v>
      </c>
      <c r="M627">
        <f t="shared" ca="1" si="582"/>
        <v>110.29060098928626</v>
      </c>
      <c r="N627">
        <f t="shared" ca="1" si="582"/>
        <v>109.67718334684609</v>
      </c>
      <c r="O627">
        <f t="shared" ca="1" si="582"/>
        <v>112.11534788384523</v>
      </c>
      <c r="P627">
        <f t="shared" ca="1" si="582"/>
        <v>113.23679390666854</v>
      </c>
      <c r="Q627">
        <f t="shared" ca="1" si="544"/>
        <v>113.23679390666854</v>
      </c>
      <c r="R627">
        <f t="shared" ca="1" si="545"/>
        <v>0</v>
      </c>
      <c r="S627">
        <f t="shared" ca="1" si="546"/>
        <v>0</v>
      </c>
    </row>
    <row r="628" spans="5:19" x14ac:dyDescent="0.75">
      <c r="E628">
        <v>623</v>
      </c>
      <c r="F628">
        <f t="shared" si="542"/>
        <v>100</v>
      </c>
      <c r="G628">
        <f t="shared" ca="1" si="543"/>
        <v>101.16793167650262</v>
      </c>
      <c r="H628">
        <f t="shared" ca="1" si="543"/>
        <v>96.084328851057009</v>
      </c>
      <c r="I628">
        <f t="shared" ca="1" si="543"/>
        <v>98.021609003675664</v>
      </c>
      <c r="J628">
        <f t="shared" ref="J628:P628" ca="1" si="583">I628*EXP(($C$6-0.5*$C$7^2)*$C$12+$C$7*SQRT($C$12)*NORMINV(RAND(),0,1))</f>
        <v>94.270947191193613</v>
      </c>
      <c r="K628">
        <f t="shared" ca="1" si="583"/>
        <v>97.735249173234138</v>
      </c>
      <c r="L628">
        <f t="shared" ca="1" si="583"/>
        <v>104.84318415175764</v>
      </c>
      <c r="M628">
        <f t="shared" ca="1" si="583"/>
        <v>108.97514627981685</v>
      </c>
      <c r="N628">
        <f t="shared" ca="1" si="583"/>
        <v>118.80269640550571</v>
      </c>
      <c r="O628">
        <f t="shared" ca="1" si="583"/>
        <v>111.50373881991536</v>
      </c>
      <c r="P628">
        <f t="shared" ca="1" si="583"/>
        <v>114.65147801530753</v>
      </c>
      <c r="Q628">
        <f t="shared" ca="1" si="544"/>
        <v>118.80269640550571</v>
      </c>
      <c r="R628">
        <f t="shared" ca="1" si="545"/>
        <v>0</v>
      </c>
      <c r="S628">
        <f t="shared" ca="1" si="546"/>
        <v>0</v>
      </c>
    </row>
    <row r="629" spans="5:19" x14ac:dyDescent="0.75">
      <c r="E629">
        <v>624</v>
      </c>
      <c r="F629">
        <f t="shared" si="542"/>
        <v>100</v>
      </c>
      <c r="G629">
        <f t="shared" ca="1" si="543"/>
        <v>91.595306772751002</v>
      </c>
      <c r="H629">
        <f t="shared" ca="1" si="543"/>
        <v>93.591156152768946</v>
      </c>
      <c r="I629">
        <f t="shared" ca="1" si="543"/>
        <v>95.782217883735115</v>
      </c>
      <c r="J629">
        <f t="shared" ref="J629:P629" ca="1" si="584">I629*EXP(($C$6-0.5*$C$7^2)*$C$12+$C$7*SQRT($C$12)*NORMINV(RAND(),0,1))</f>
        <v>94.748307056273006</v>
      </c>
      <c r="K629">
        <f t="shared" ca="1" si="584"/>
        <v>99.657475679326353</v>
      </c>
      <c r="L629">
        <f t="shared" ca="1" si="584"/>
        <v>98.1742701704691</v>
      </c>
      <c r="M629">
        <f t="shared" ca="1" si="584"/>
        <v>98.385016106794552</v>
      </c>
      <c r="N629">
        <f t="shared" ca="1" si="584"/>
        <v>90.39179147986502</v>
      </c>
      <c r="O629">
        <f t="shared" ca="1" si="584"/>
        <v>94.305756851250464</v>
      </c>
      <c r="P629">
        <f t="shared" ca="1" si="584"/>
        <v>102.03064470940976</v>
      </c>
      <c r="Q629">
        <f t="shared" ca="1" si="544"/>
        <v>102.03064470940976</v>
      </c>
      <c r="R629">
        <f t="shared" ca="1" si="545"/>
        <v>3.0644709409756388E-2</v>
      </c>
      <c r="S629">
        <f t="shared" ca="1" si="546"/>
        <v>2.988808883856332E-2</v>
      </c>
    </row>
    <row r="630" spans="5:19" x14ac:dyDescent="0.75">
      <c r="E630">
        <v>625</v>
      </c>
      <c r="F630">
        <f t="shared" si="542"/>
        <v>100</v>
      </c>
      <c r="G630">
        <f t="shared" ca="1" si="543"/>
        <v>101.80284999474733</v>
      </c>
      <c r="H630">
        <f t="shared" ca="1" si="543"/>
        <v>109.16980055865092</v>
      </c>
      <c r="I630">
        <f t="shared" ca="1" si="543"/>
        <v>110.01822571214905</v>
      </c>
      <c r="J630">
        <f t="shared" ref="J630:P630" ca="1" si="585">I630*EXP(($C$6-0.5*$C$7^2)*$C$12+$C$7*SQRT($C$12)*NORMINV(RAND(),0,1))</f>
        <v>113.04675760430821</v>
      </c>
      <c r="K630">
        <f t="shared" ca="1" si="585"/>
        <v>114.3434607365798</v>
      </c>
      <c r="L630">
        <f t="shared" ca="1" si="585"/>
        <v>117.846041136751</v>
      </c>
      <c r="M630">
        <f t="shared" ca="1" si="585"/>
        <v>127.01131654028883</v>
      </c>
      <c r="N630">
        <f t="shared" ca="1" si="585"/>
        <v>126.53609256988379</v>
      </c>
      <c r="O630">
        <f t="shared" ca="1" si="585"/>
        <v>127.91146057115499</v>
      </c>
      <c r="P630">
        <f t="shared" ca="1" si="585"/>
        <v>125.7317067704671</v>
      </c>
      <c r="Q630">
        <f t="shared" ca="1" si="544"/>
        <v>127.91146057115499</v>
      </c>
      <c r="R630">
        <f t="shared" ca="1" si="545"/>
        <v>0</v>
      </c>
      <c r="S630">
        <f t="shared" ca="1" si="546"/>
        <v>0</v>
      </c>
    </row>
    <row r="631" spans="5:19" x14ac:dyDescent="0.75">
      <c r="E631">
        <v>626</v>
      </c>
      <c r="F631">
        <f t="shared" si="542"/>
        <v>100</v>
      </c>
      <c r="G631">
        <f t="shared" ca="1" si="543"/>
        <v>95.364580285280653</v>
      </c>
      <c r="H631">
        <f t="shared" ca="1" si="543"/>
        <v>93.971505677750429</v>
      </c>
      <c r="I631">
        <f t="shared" ca="1" si="543"/>
        <v>91.26532237302564</v>
      </c>
      <c r="J631">
        <f t="shared" ref="J631:P631" ca="1" si="586">I631*EXP(($C$6-0.5*$C$7^2)*$C$12+$C$7*SQRT($C$12)*NORMINV(RAND(),0,1))</f>
        <v>89.055453818704265</v>
      </c>
      <c r="K631">
        <f t="shared" ca="1" si="586"/>
        <v>89.575964826208377</v>
      </c>
      <c r="L631">
        <f t="shared" ca="1" si="586"/>
        <v>95.103650946194335</v>
      </c>
      <c r="M631">
        <f t="shared" ca="1" si="586"/>
        <v>86.764054011783202</v>
      </c>
      <c r="N631">
        <f t="shared" ca="1" si="586"/>
        <v>92.065434371992325</v>
      </c>
      <c r="O631">
        <f t="shared" ca="1" si="586"/>
        <v>91.392956543993236</v>
      </c>
      <c r="P631">
        <f t="shared" ca="1" si="586"/>
        <v>82.218807463972681</v>
      </c>
      <c r="Q631">
        <f t="shared" ca="1" si="544"/>
        <v>95.364580285280653</v>
      </c>
      <c r="R631">
        <f t="shared" ca="1" si="545"/>
        <v>0</v>
      </c>
      <c r="S631">
        <f t="shared" ca="1" si="546"/>
        <v>0</v>
      </c>
    </row>
    <row r="632" spans="5:19" x14ac:dyDescent="0.75">
      <c r="E632">
        <v>627</v>
      </c>
      <c r="F632">
        <f t="shared" si="542"/>
        <v>100</v>
      </c>
      <c r="G632">
        <f t="shared" ca="1" si="543"/>
        <v>95.71910616888465</v>
      </c>
      <c r="H632">
        <f t="shared" ca="1" si="543"/>
        <v>96.37501782311935</v>
      </c>
      <c r="I632">
        <f t="shared" ca="1" si="543"/>
        <v>90.532866926740454</v>
      </c>
      <c r="J632">
        <f t="shared" ref="J632:P632" ca="1" si="587">I632*EXP(($C$6-0.5*$C$7^2)*$C$12+$C$7*SQRT($C$12)*NORMINV(RAND(),0,1))</f>
        <v>95.508249081725779</v>
      </c>
      <c r="K632">
        <f t="shared" ca="1" si="587"/>
        <v>95.725753820169061</v>
      </c>
      <c r="L632">
        <f t="shared" ca="1" si="587"/>
        <v>87.251970668062668</v>
      </c>
      <c r="M632">
        <f t="shared" ca="1" si="587"/>
        <v>95.096195099863081</v>
      </c>
      <c r="N632">
        <f t="shared" ca="1" si="587"/>
        <v>92.439335872658503</v>
      </c>
      <c r="O632">
        <f t="shared" ca="1" si="587"/>
        <v>92.250759684187372</v>
      </c>
      <c r="P632">
        <f t="shared" ca="1" si="587"/>
        <v>95.444662792208575</v>
      </c>
      <c r="Q632">
        <f t="shared" ca="1" si="544"/>
        <v>96.37501782311935</v>
      </c>
      <c r="R632">
        <f t="shared" ca="1" si="545"/>
        <v>0</v>
      </c>
      <c r="S632">
        <f t="shared" ca="1" si="546"/>
        <v>0</v>
      </c>
    </row>
    <row r="633" spans="5:19" x14ac:dyDescent="0.75">
      <c r="E633">
        <v>628</v>
      </c>
      <c r="F633">
        <f t="shared" si="542"/>
        <v>100</v>
      </c>
      <c r="G633">
        <f t="shared" ca="1" si="543"/>
        <v>103.91887880028384</v>
      </c>
      <c r="H633">
        <f t="shared" ca="1" si="543"/>
        <v>117.80040380548789</v>
      </c>
      <c r="I633">
        <f t="shared" ca="1" si="543"/>
        <v>121.12228012995602</v>
      </c>
      <c r="J633">
        <f t="shared" ref="J633:P633" ca="1" si="588">I633*EXP(($C$6-0.5*$C$7^2)*$C$12+$C$7*SQRT($C$12)*NORMINV(RAND(),0,1))</f>
        <v>121.54612517469205</v>
      </c>
      <c r="K633">
        <f t="shared" ca="1" si="588"/>
        <v>117.77695340028853</v>
      </c>
      <c r="L633">
        <f t="shared" ca="1" si="588"/>
        <v>114.92357858963828</v>
      </c>
      <c r="M633">
        <f t="shared" ca="1" si="588"/>
        <v>119.76988054965487</v>
      </c>
      <c r="N633">
        <f t="shared" ca="1" si="588"/>
        <v>116.60794203590521</v>
      </c>
      <c r="O633">
        <f t="shared" ca="1" si="588"/>
        <v>114.45418239716975</v>
      </c>
      <c r="P633">
        <f t="shared" ca="1" si="588"/>
        <v>110.99643143307058</v>
      </c>
      <c r="Q633">
        <f t="shared" ca="1" si="544"/>
        <v>121.54612517469205</v>
      </c>
      <c r="R633">
        <f t="shared" ca="1" si="545"/>
        <v>0</v>
      </c>
      <c r="S633">
        <f t="shared" ca="1" si="546"/>
        <v>0</v>
      </c>
    </row>
    <row r="634" spans="5:19" x14ac:dyDescent="0.75">
      <c r="E634">
        <v>629</v>
      </c>
      <c r="F634">
        <f t="shared" si="542"/>
        <v>100</v>
      </c>
      <c r="G634">
        <f t="shared" ca="1" si="543"/>
        <v>104.32217009439999</v>
      </c>
      <c r="H634">
        <f t="shared" ca="1" si="543"/>
        <v>99.253220988018143</v>
      </c>
      <c r="I634">
        <f t="shared" ca="1" si="543"/>
        <v>99.902579096003436</v>
      </c>
      <c r="J634">
        <f t="shared" ref="J634:P634" ca="1" si="589">I634*EXP(($C$6-0.5*$C$7^2)*$C$12+$C$7*SQRT($C$12)*NORMINV(RAND(),0,1))</f>
        <v>99.587291464590734</v>
      </c>
      <c r="K634">
        <f t="shared" ca="1" si="589"/>
        <v>94.428417824801059</v>
      </c>
      <c r="L634">
        <f t="shared" ca="1" si="589"/>
        <v>93.229398704652951</v>
      </c>
      <c r="M634">
        <f t="shared" ca="1" si="589"/>
        <v>92.607844939262009</v>
      </c>
      <c r="N634">
        <f t="shared" ca="1" si="589"/>
        <v>98.371948032278851</v>
      </c>
      <c r="O634">
        <f t="shared" ca="1" si="589"/>
        <v>99.095652132307279</v>
      </c>
      <c r="P634">
        <f t="shared" ca="1" si="589"/>
        <v>95.915599155637224</v>
      </c>
      <c r="Q634">
        <f t="shared" ca="1" si="544"/>
        <v>104.32217009439999</v>
      </c>
      <c r="R634">
        <f t="shared" ca="1" si="545"/>
        <v>0</v>
      </c>
      <c r="S634">
        <f t="shared" ca="1" si="546"/>
        <v>0</v>
      </c>
    </row>
    <row r="635" spans="5:19" x14ac:dyDescent="0.75">
      <c r="E635">
        <v>630</v>
      </c>
      <c r="F635">
        <f t="shared" si="542"/>
        <v>100</v>
      </c>
      <c r="G635">
        <f t="shared" ca="1" si="543"/>
        <v>87.764694064582955</v>
      </c>
      <c r="H635">
        <f t="shared" ca="1" si="543"/>
        <v>86.079444497089881</v>
      </c>
      <c r="I635">
        <f t="shared" ca="1" si="543"/>
        <v>87.144397604727104</v>
      </c>
      <c r="J635">
        <f t="shared" ref="J635:P635" ca="1" si="590">I635*EXP(($C$6-0.5*$C$7^2)*$C$12+$C$7*SQRT($C$12)*NORMINV(RAND(),0,1))</f>
        <v>89.156724288356116</v>
      </c>
      <c r="K635">
        <f t="shared" ca="1" si="590"/>
        <v>93.563788372582138</v>
      </c>
      <c r="L635">
        <f t="shared" ca="1" si="590"/>
        <v>93.290651384361084</v>
      </c>
      <c r="M635">
        <f t="shared" ca="1" si="590"/>
        <v>90.252402163181713</v>
      </c>
      <c r="N635">
        <f t="shared" ca="1" si="590"/>
        <v>95.891633675303581</v>
      </c>
      <c r="O635">
        <f t="shared" ca="1" si="590"/>
        <v>93.348670684840272</v>
      </c>
      <c r="P635">
        <f t="shared" ca="1" si="590"/>
        <v>93.821773702525959</v>
      </c>
      <c r="Q635">
        <f t="shared" ca="1" si="544"/>
        <v>95.891633675303581</v>
      </c>
      <c r="R635">
        <f t="shared" ca="1" si="545"/>
        <v>0</v>
      </c>
      <c r="S635">
        <f t="shared" ca="1" si="546"/>
        <v>0</v>
      </c>
    </row>
    <row r="636" spans="5:19" x14ac:dyDescent="0.75">
      <c r="E636">
        <v>631</v>
      </c>
      <c r="F636">
        <f t="shared" si="542"/>
        <v>100</v>
      </c>
      <c r="G636">
        <f t="shared" ca="1" si="543"/>
        <v>92.511408071637362</v>
      </c>
      <c r="H636">
        <f t="shared" ca="1" si="543"/>
        <v>96.691239024726912</v>
      </c>
      <c r="I636">
        <f t="shared" ca="1" si="543"/>
        <v>92.802274763159701</v>
      </c>
      <c r="J636">
        <f t="shared" ref="J636:P636" ca="1" si="591">I636*EXP(($C$6-0.5*$C$7^2)*$C$12+$C$7*SQRT($C$12)*NORMINV(RAND(),0,1))</f>
        <v>89.172718439788284</v>
      </c>
      <c r="K636">
        <f t="shared" ca="1" si="591"/>
        <v>90.65887460882648</v>
      </c>
      <c r="L636">
        <f t="shared" ca="1" si="591"/>
        <v>90.753130185306048</v>
      </c>
      <c r="M636">
        <f t="shared" ca="1" si="591"/>
        <v>89.041861832543319</v>
      </c>
      <c r="N636">
        <f t="shared" ca="1" si="591"/>
        <v>99.493299104090667</v>
      </c>
      <c r="O636">
        <f t="shared" ca="1" si="591"/>
        <v>101.11179334854972</v>
      </c>
      <c r="P636">
        <f t="shared" ca="1" si="591"/>
        <v>106.5026772492905</v>
      </c>
      <c r="Q636">
        <f t="shared" ca="1" si="544"/>
        <v>106.5026772492905</v>
      </c>
      <c r="R636">
        <f t="shared" ca="1" si="545"/>
        <v>4.5026772492904996</v>
      </c>
      <c r="S636">
        <f t="shared" ca="1" si="546"/>
        <v>4.3915057518974923</v>
      </c>
    </row>
    <row r="637" spans="5:19" x14ac:dyDescent="0.75">
      <c r="E637">
        <v>632</v>
      </c>
      <c r="F637">
        <f t="shared" si="542"/>
        <v>100</v>
      </c>
      <c r="G637">
        <f t="shared" ca="1" si="543"/>
        <v>93.448834178786583</v>
      </c>
      <c r="H637">
        <f t="shared" ca="1" si="543"/>
        <v>97.353198961774595</v>
      </c>
      <c r="I637">
        <f t="shared" ca="1" si="543"/>
        <v>88.686070514033048</v>
      </c>
      <c r="J637">
        <f t="shared" ref="J637:P637" ca="1" si="592">I637*EXP(($C$6-0.5*$C$7^2)*$C$12+$C$7*SQRT($C$12)*NORMINV(RAND(),0,1))</f>
        <v>84.735047405056036</v>
      </c>
      <c r="K637">
        <f t="shared" ca="1" si="592"/>
        <v>84.238759476126461</v>
      </c>
      <c r="L637">
        <f t="shared" ca="1" si="592"/>
        <v>82.044168948618747</v>
      </c>
      <c r="M637">
        <f t="shared" ca="1" si="592"/>
        <v>84.153817317074072</v>
      </c>
      <c r="N637">
        <f t="shared" ca="1" si="592"/>
        <v>80.295284943097698</v>
      </c>
      <c r="O637">
        <f t="shared" ca="1" si="592"/>
        <v>80.126328630865146</v>
      </c>
      <c r="P637">
        <f t="shared" ca="1" si="592"/>
        <v>80.984306429374286</v>
      </c>
      <c r="Q637">
        <f t="shared" ca="1" si="544"/>
        <v>97.353198961774595</v>
      </c>
      <c r="R637">
        <f t="shared" ca="1" si="545"/>
        <v>0</v>
      </c>
      <c r="S637">
        <f t="shared" ca="1" si="546"/>
        <v>0</v>
      </c>
    </row>
    <row r="638" spans="5:19" x14ac:dyDescent="0.75">
      <c r="E638">
        <v>633</v>
      </c>
      <c r="F638">
        <f t="shared" si="542"/>
        <v>100</v>
      </c>
      <c r="G638">
        <f t="shared" ca="1" si="543"/>
        <v>99.777563368526202</v>
      </c>
      <c r="H638">
        <f t="shared" ca="1" si="543"/>
        <v>103.59706737433174</v>
      </c>
      <c r="I638">
        <f t="shared" ca="1" si="543"/>
        <v>98.220325960851454</v>
      </c>
      <c r="J638">
        <f t="shared" ref="J638:P638" ca="1" si="593">I638*EXP(($C$6-0.5*$C$7^2)*$C$12+$C$7*SQRT($C$12)*NORMINV(RAND(),0,1))</f>
        <v>99.829600538128076</v>
      </c>
      <c r="K638">
        <f t="shared" ca="1" si="593"/>
        <v>98.68028399572745</v>
      </c>
      <c r="L638">
        <f t="shared" ca="1" si="593"/>
        <v>97.209995576985264</v>
      </c>
      <c r="M638">
        <f t="shared" ca="1" si="593"/>
        <v>87.939506454210175</v>
      </c>
      <c r="N638">
        <f t="shared" ca="1" si="593"/>
        <v>91.621198054568026</v>
      </c>
      <c r="O638">
        <f t="shared" ca="1" si="593"/>
        <v>93.597997263457017</v>
      </c>
      <c r="P638">
        <f t="shared" ca="1" si="593"/>
        <v>98.314192954707664</v>
      </c>
      <c r="Q638">
        <f t="shared" ca="1" si="544"/>
        <v>103.59706737433174</v>
      </c>
      <c r="R638">
        <f t="shared" ca="1" si="545"/>
        <v>0</v>
      </c>
      <c r="S638">
        <f t="shared" ca="1" si="546"/>
        <v>0</v>
      </c>
    </row>
    <row r="639" spans="5:19" x14ac:dyDescent="0.75">
      <c r="E639">
        <v>634</v>
      </c>
      <c r="F639">
        <f t="shared" si="542"/>
        <v>100</v>
      </c>
      <c r="G639">
        <f t="shared" ca="1" si="543"/>
        <v>93.608176660862782</v>
      </c>
      <c r="H639">
        <f t="shared" ca="1" si="543"/>
        <v>93.114063508710075</v>
      </c>
      <c r="I639">
        <f t="shared" ca="1" si="543"/>
        <v>91.136733137375955</v>
      </c>
      <c r="J639">
        <f t="shared" ref="J639:P639" ca="1" si="594">I639*EXP(($C$6-0.5*$C$7^2)*$C$12+$C$7*SQRT($C$12)*NORMINV(RAND(),0,1))</f>
        <v>90.75240963908162</v>
      </c>
      <c r="K639">
        <f t="shared" ca="1" si="594"/>
        <v>96.236175633875447</v>
      </c>
      <c r="L639">
        <f t="shared" ca="1" si="594"/>
        <v>91.558502324294935</v>
      </c>
      <c r="M639">
        <f t="shared" ca="1" si="594"/>
        <v>95.876628759814295</v>
      </c>
      <c r="N639">
        <f t="shared" ca="1" si="594"/>
        <v>95.801315909616619</v>
      </c>
      <c r="O639">
        <f t="shared" ca="1" si="594"/>
        <v>90.962478998578987</v>
      </c>
      <c r="P639">
        <f t="shared" ca="1" si="594"/>
        <v>93.056192224161549</v>
      </c>
      <c r="Q639">
        <f t="shared" ca="1" si="544"/>
        <v>96.236175633875447</v>
      </c>
      <c r="R639">
        <f t="shared" ca="1" si="545"/>
        <v>0</v>
      </c>
      <c r="S639">
        <f t="shared" ca="1" si="546"/>
        <v>0</v>
      </c>
    </row>
    <row r="640" spans="5:19" x14ac:dyDescent="0.75">
      <c r="E640">
        <v>635</v>
      </c>
      <c r="F640">
        <f t="shared" si="542"/>
        <v>100</v>
      </c>
      <c r="G640">
        <f t="shared" ca="1" si="543"/>
        <v>96.187558216733109</v>
      </c>
      <c r="H640">
        <f t="shared" ca="1" si="543"/>
        <v>94.04734779377759</v>
      </c>
      <c r="I640">
        <f t="shared" ca="1" si="543"/>
        <v>100.39012875367457</v>
      </c>
      <c r="J640">
        <f t="shared" ref="J640:P640" ca="1" si="595">I640*EXP(($C$6-0.5*$C$7^2)*$C$12+$C$7*SQRT($C$12)*NORMINV(RAND(),0,1))</f>
        <v>102.63104351188959</v>
      </c>
      <c r="K640">
        <f t="shared" ca="1" si="595"/>
        <v>100.85660158681058</v>
      </c>
      <c r="L640">
        <f t="shared" ca="1" si="595"/>
        <v>103.7065587817272</v>
      </c>
      <c r="M640">
        <f t="shared" ca="1" si="595"/>
        <v>97.070298467803738</v>
      </c>
      <c r="N640">
        <f t="shared" ca="1" si="595"/>
        <v>100.72379771414215</v>
      </c>
      <c r="O640">
        <f t="shared" ca="1" si="595"/>
        <v>99.610571697785758</v>
      </c>
      <c r="P640">
        <f t="shared" ca="1" si="595"/>
        <v>97.960774481577872</v>
      </c>
      <c r="Q640">
        <f t="shared" ca="1" si="544"/>
        <v>103.7065587817272</v>
      </c>
      <c r="R640">
        <f t="shared" ca="1" si="545"/>
        <v>0</v>
      </c>
      <c r="S640">
        <f t="shared" ca="1" si="546"/>
        <v>0</v>
      </c>
    </row>
    <row r="641" spans="5:19" x14ac:dyDescent="0.75">
      <c r="E641">
        <v>636</v>
      </c>
      <c r="F641">
        <f t="shared" si="542"/>
        <v>100</v>
      </c>
      <c r="G641">
        <f t="shared" ca="1" si="543"/>
        <v>102.39874303830779</v>
      </c>
      <c r="H641">
        <f t="shared" ca="1" si="543"/>
        <v>108.06972200345982</v>
      </c>
      <c r="I641">
        <f t="shared" ca="1" si="543"/>
        <v>103.17589300695869</v>
      </c>
      <c r="J641">
        <f t="shared" ref="J641:P641" ca="1" si="596">I641*EXP(($C$6-0.5*$C$7^2)*$C$12+$C$7*SQRT($C$12)*NORMINV(RAND(),0,1))</f>
        <v>105.43483777988078</v>
      </c>
      <c r="K641">
        <f t="shared" ca="1" si="596"/>
        <v>104.1110180433497</v>
      </c>
      <c r="L641">
        <f t="shared" ca="1" si="596"/>
        <v>98.445148506279281</v>
      </c>
      <c r="M641">
        <f t="shared" ca="1" si="596"/>
        <v>99.7606779981828</v>
      </c>
      <c r="N641">
        <f t="shared" ca="1" si="596"/>
        <v>109.92229355849364</v>
      </c>
      <c r="O641">
        <f t="shared" ca="1" si="596"/>
        <v>113.3782168941934</v>
      </c>
      <c r="P641">
        <f t="shared" ca="1" si="596"/>
        <v>109.38103891766957</v>
      </c>
      <c r="Q641">
        <f t="shared" ca="1" si="544"/>
        <v>113.3782168941934</v>
      </c>
      <c r="R641">
        <f t="shared" ca="1" si="545"/>
        <v>0</v>
      </c>
      <c r="S641">
        <f t="shared" ca="1" si="546"/>
        <v>0</v>
      </c>
    </row>
    <row r="642" spans="5:19" x14ac:dyDescent="0.75">
      <c r="E642">
        <v>637</v>
      </c>
      <c r="F642">
        <f t="shared" si="542"/>
        <v>100</v>
      </c>
      <c r="G642">
        <f t="shared" ca="1" si="543"/>
        <v>103.91659051107953</v>
      </c>
      <c r="H642">
        <f t="shared" ca="1" si="543"/>
        <v>102.09067676267868</v>
      </c>
      <c r="I642">
        <f t="shared" ca="1" si="543"/>
        <v>103.78691209494029</v>
      </c>
      <c r="J642">
        <f t="shared" ref="J642:P642" ca="1" si="597">I642*EXP(($C$6-0.5*$C$7^2)*$C$12+$C$7*SQRT($C$12)*NORMINV(RAND(),0,1))</f>
        <v>109.01748365835</v>
      </c>
      <c r="K642">
        <f t="shared" ca="1" si="597"/>
        <v>107.00538099115454</v>
      </c>
      <c r="L642">
        <f t="shared" ca="1" si="597"/>
        <v>110.29732721834739</v>
      </c>
      <c r="M642">
        <f t="shared" ca="1" si="597"/>
        <v>111.15240893494394</v>
      </c>
      <c r="N642">
        <f t="shared" ca="1" si="597"/>
        <v>118.07895548879678</v>
      </c>
      <c r="O642">
        <f t="shared" ca="1" si="597"/>
        <v>121.27159446389975</v>
      </c>
      <c r="P642">
        <f t="shared" ca="1" si="597"/>
        <v>120.88904964763798</v>
      </c>
      <c r="Q642">
        <f t="shared" ca="1" si="544"/>
        <v>121.27159446389975</v>
      </c>
      <c r="R642">
        <f t="shared" ca="1" si="545"/>
        <v>0</v>
      </c>
      <c r="S642">
        <f t="shared" ca="1" si="546"/>
        <v>0</v>
      </c>
    </row>
    <row r="643" spans="5:19" x14ac:dyDescent="0.75">
      <c r="E643">
        <v>638</v>
      </c>
      <c r="F643">
        <f t="shared" si="542"/>
        <v>100</v>
      </c>
      <c r="G643">
        <f t="shared" ca="1" si="543"/>
        <v>97.504692149451671</v>
      </c>
      <c r="H643">
        <f t="shared" ca="1" si="543"/>
        <v>101.03001144928577</v>
      </c>
      <c r="I643">
        <f t="shared" ca="1" si="543"/>
        <v>97.811972254085958</v>
      </c>
      <c r="J643">
        <f t="shared" ref="J643:P643" ca="1" si="598">I643*EXP(($C$6-0.5*$C$7^2)*$C$12+$C$7*SQRT($C$12)*NORMINV(RAND(),0,1))</f>
        <v>104.21546320156385</v>
      </c>
      <c r="K643">
        <f t="shared" ca="1" si="598"/>
        <v>101.69832662824906</v>
      </c>
      <c r="L643">
        <f t="shared" ca="1" si="598"/>
        <v>99.668755799412693</v>
      </c>
      <c r="M643">
        <f t="shared" ca="1" si="598"/>
        <v>100.19075716671489</v>
      </c>
      <c r="N643">
        <f t="shared" ca="1" si="598"/>
        <v>100.566505917935</v>
      </c>
      <c r="O643">
        <f t="shared" ca="1" si="598"/>
        <v>99.948532918350494</v>
      </c>
      <c r="P643">
        <f t="shared" ca="1" si="598"/>
        <v>104.94516446794228</v>
      </c>
      <c r="Q643">
        <f t="shared" ca="1" si="544"/>
        <v>104.94516446794228</v>
      </c>
      <c r="R643">
        <f t="shared" ca="1" si="545"/>
        <v>2.945164467942277</v>
      </c>
      <c r="S643">
        <f t="shared" ca="1" si="546"/>
        <v>2.8724480981377534</v>
      </c>
    </row>
    <row r="644" spans="5:19" x14ac:dyDescent="0.75">
      <c r="E644">
        <v>639</v>
      </c>
      <c r="F644">
        <f t="shared" si="542"/>
        <v>100</v>
      </c>
      <c r="G644">
        <f t="shared" ca="1" si="543"/>
        <v>94.878216164513134</v>
      </c>
      <c r="H644">
        <f t="shared" ca="1" si="543"/>
        <v>99.371959033659806</v>
      </c>
      <c r="I644">
        <f t="shared" ca="1" si="543"/>
        <v>91.851658615468452</v>
      </c>
      <c r="J644">
        <f t="shared" ref="J644:P644" ca="1" si="599">I644*EXP(($C$6-0.5*$C$7^2)*$C$12+$C$7*SQRT($C$12)*NORMINV(RAND(),0,1))</f>
        <v>90.321036290838549</v>
      </c>
      <c r="K644">
        <f t="shared" ca="1" si="599"/>
        <v>93.126233598856643</v>
      </c>
      <c r="L644">
        <f t="shared" ca="1" si="599"/>
        <v>98.125376423080766</v>
      </c>
      <c r="M644">
        <f t="shared" ca="1" si="599"/>
        <v>101.33396689622265</v>
      </c>
      <c r="N644">
        <f t="shared" ca="1" si="599"/>
        <v>107.26142537675763</v>
      </c>
      <c r="O644">
        <f t="shared" ca="1" si="599"/>
        <v>116.30985013839435</v>
      </c>
      <c r="P644">
        <f t="shared" ca="1" si="599"/>
        <v>120.93462352338565</v>
      </c>
      <c r="Q644">
        <f t="shared" ca="1" si="544"/>
        <v>120.93462352338565</v>
      </c>
      <c r="R644">
        <f t="shared" ca="1" si="545"/>
        <v>0</v>
      </c>
      <c r="S644">
        <f t="shared" ca="1" si="546"/>
        <v>0</v>
      </c>
    </row>
    <row r="645" spans="5:19" x14ac:dyDescent="0.75">
      <c r="E645">
        <v>640</v>
      </c>
      <c r="F645">
        <f t="shared" si="542"/>
        <v>100</v>
      </c>
      <c r="G645">
        <f t="shared" ca="1" si="543"/>
        <v>100.40012192263063</v>
      </c>
      <c r="H645">
        <f t="shared" ca="1" si="543"/>
        <v>96.693699197812421</v>
      </c>
      <c r="I645">
        <f t="shared" ca="1" si="543"/>
        <v>103.37559134323079</v>
      </c>
      <c r="J645">
        <f t="shared" ref="J645:P645" ca="1" si="600">I645*EXP(($C$6-0.5*$C$7^2)*$C$12+$C$7*SQRT($C$12)*NORMINV(RAND(),0,1))</f>
        <v>102.42737237371475</v>
      </c>
      <c r="K645">
        <f t="shared" ca="1" si="600"/>
        <v>103.91468407516163</v>
      </c>
      <c r="L645">
        <f t="shared" ca="1" si="600"/>
        <v>99.172121288002614</v>
      </c>
      <c r="M645">
        <f t="shared" ca="1" si="600"/>
        <v>100.40878775993465</v>
      </c>
      <c r="N645">
        <f t="shared" ca="1" si="600"/>
        <v>104.44036627270269</v>
      </c>
      <c r="O645">
        <f t="shared" ca="1" si="600"/>
        <v>106.70470798954427</v>
      </c>
      <c r="P645">
        <f t="shared" ca="1" si="600"/>
        <v>112.20967651761609</v>
      </c>
      <c r="Q645">
        <f t="shared" ca="1" si="544"/>
        <v>112.20967651761609</v>
      </c>
      <c r="R645">
        <f t="shared" ca="1" si="545"/>
        <v>0</v>
      </c>
      <c r="S645">
        <f t="shared" ca="1" si="546"/>
        <v>0</v>
      </c>
    </row>
    <row r="646" spans="5:19" x14ac:dyDescent="0.75">
      <c r="E646">
        <v>641</v>
      </c>
      <c r="F646">
        <f t="shared" si="542"/>
        <v>100</v>
      </c>
      <c r="G646">
        <f t="shared" ca="1" si="543"/>
        <v>96.69389099178531</v>
      </c>
      <c r="H646">
        <f t="shared" ca="1" si="543"/>
        <v>97.136830235471876</v>
      </c>
      <c r="I646">
        <f t="shared" ca="1" si="543"/>
        <v>98.156522103903853</v>
      </c>
      <c r="J646">
        <f t="shared" ref="J646:P646" ca="1" si="601">I646*EXP(($C$6-0.5*$C$7^2)*$C$12+$C$7*SQRT($C$12)*NORMINV(RAND(),0,1))</f>
        <v>92.092731597151101</v>
      </c>
      <c r="K646">
        <f t="shared" ca="1" si="601"/>
        <v>93.391714966322866</v>
      </c>
      <c r="L646">
        <f t="shared" ca="1" si="601"/>
        <v>90.422474888183544</v>
      </c>
      <c r="M646">
        <f t="shared" ca="1" si="601"/>
        <v>86.774767257330808</v>
      </c>
      <c r="N646">
        <f t="shared" ca="1" si="601"/>
        <v>96.699953025992528</v>
      </c>
      <c r="O646">
        <f t="shared" ca="1" si="601"/>
        <v>101.02120810173733</v>
      </c>
      <c r="P646">
        <f t="shared" ca="1" si="601"/>
        <v>110.03822795620539</v>
      </c>
      <c r="Q646">
        <f t="shared" ca="1" si="544"/>
        <v>110.03822795620539</v>
      </c>
      <c r="R646">
        <f t="shared" ca="1" si="545"/>
        <v>0</v>
      </c>
      <c r="S646">
        <f t="shared" ca="1" si="546"/>
        <v>0</v>
      </c>
    </row>
    <row r="647" spans="5:19" x14ac:dyDescent="0.75">
      <c r="E647">
        <v>642</v>
      </c>
      <c r="F647">
        <f t="shared" ref="F647:F710" si="602">$C$5</f>
        <v>100</v>
      </c>
      <c r="G647">
        <f t="shared" ref="G647:P710" ca="1" si="603">F647*EXP(($C$6-0.5*$C$7^2)*$C$12+$C$7*SQRT($C$12)*NORMINV(RAND(),0,1))</f>
        <v>96.86575401650137</v>
      </c>
      <c r="H647">
        <f t="shared" ca="1" si="603"/>
        <v>91.616364228858814</v>
      </c>
      <c r="I647">
        <f t="shared" ca="1" si="603"/>
        <v>90.743524617579212</v>
      </c>
      <c r="J647">
        <f t="shared" ca="1" si="603"/>
        <v>87.935186924173507</v>
      </c>
      <c r="K647">
        <f t="shared" ca="1" si="603"/>
        <v>91.229508590343457</v>
      </c>
      <c r="L647">
        <f t="shared" ca="1" si="603"/>
        <v>95.531063308650673</v>
      </c>
      <c r="M647">
        <f t="shared" ca="1" si="603"/>
        <v>89.979405819812683</v>
      </c>
      <c r="N647">
        <f t="shared" ca="1" si="603"/>
        <v>90.619962382118374</v>
      </c>
      <c r="O647">
        <f t="shared" ca="1" si="603"/>
        <v>89.681522539904023</v>
      </c>
      <c r="P647">
        <f t="shared" ca="1" si="603"/>
        <v>89.413817860034428</v>
      </c>
      <c r="Q647">
        <f t="shared" ref="Q647:Q710" ca="1" si="604">MAX(G647:P647)</f>
        <v>96.86575401650137</v>
      </c>
      <c r="R647">
        <f t="shared" ref="R647:R710" ca="1" si="605">IF(Q647&gt;=$C$13,0, MAX(P647-$C$9,0))</f>
        <v>0</v>
      </c>
      <c r="S647">
        <f t="shared" ref="S647:S710" ca="1" si="606">EXP(-$C$6*$C$8)*R647</f>
        <v>0</v>
      </c>
    </row>
    <row r="648" spans="5:19" x14ac:dyDescent="0.75">
      <c r="E648">
        <v>643</v>
      </c>
      <c r="F648">
        <f t="shared" si="602"/>
        <v>100</v>
      </c>
      <c r="G648">
        <f t="shared" ca="1" si="603"/>
        <v>103.53724167907461</v>
      </c>
      <c r="H648">
        <f t="shared" ca="1" si="603"/>
        <v>92.903337496271362</v>
      </c>
      <c r="I648">
        <f t="shared" ca="1" si="603"/>
        <v>92.191745197323201</v>
      </c>
      <c r="J648">
        <f t="shared" ca="1" si="603"/>
        <v>87.14144041876159</v>
      </c>
      <c r="K648">
        <f t="shared" ca="1" si="603"/>
        <v>81.810632980582085</v>
      </c>
      <c r="L648">
        <f t="shared" ca="1" si="603"/>
        <v>81.460910620689361</v>
      </c>
      <c r="M648">
        <f t="shared" ca="1" si="603"/>
        <v>79.708843944600588</v>
      </c>
      <c r="N648">
        <f t="shared" ca="1" si="603"/>
        <v>80.077219391604956</v>
      </c>
      <c r="O648">
        <f t="shared" ca="1" si="603"/>
        <v>80.635777040071801</v>
      </c>
      <c r="P648">
        <f t="shared" ca="1" si="603"/>
        <v>79.405878418969138</v>
      </c>
      <c r="Q648">
        <f t="shared" ca="1" si="604"/>
        <v>103.53724167907461</v>
      </c>
      <c r="R648">
        <f t="shared" ca="1" si="605"/>
        <v>0</v>
      </c>
      <c r="S648">
        <f t="shared" ca="1" si="606"/>
        <v>0</v>
      </c>
    </row>
    <row r="649" spans="5:19" x14ac:dyDescent="0.75">
      <c r="E649">
        <v>644</v>
      </c>
      <c r="F649">
        <f t="shared" si="602"/>
        <v>100</v>
      </c>
      <c r="G649">
        <f t="shared" ca="1" si="603"/>
        <v>96.112023613342373</v>
      </c>
      <c r="H649">
        <f t="shared" ca="1" si="603"/>
        <v>96.351659447686231</v>
      </c>
      <c r="I649">
        <f t="shared" ca="1" si="603"/>
        <v>101.53672697648413</v>
      </c>
      <c r="J649">
        <f t="shared" ca="1" si="603"/>
        <v>97.895482277917395</v>
      </c>
      <c r="K649">
        <f t="shared" ca="1" si="603"/>
        <v>97.737000748166025</v>
      </c>
      <c r="L649">
        <f t="shared" ca="1" si="603"/>
        <v>96.8735013983665</v>
      </c>
      <c r="M649">
        <f t="shared" ca="1" si="603"/>
        <v>94.047242608993841</v>
      </c>
      <c r="N649">
        <f t="shared" ca="1" si="603"/>
        <v>99.188587689574064</v>
      </c>
      <c r="O649">
        <f t="shared" ca="1" si="603"/>
        <v>103.22204518336672</v>
      </c>
      <c r="P649">
        <f t="shared" ca="1" si="603"/>
        <v>105.37310899113498</v>
      </c>
      <c r="Q649">
        <f t="shared" ca="1" si="604"/>
        <v>105.37310899113498</v>
      </c>
      <c r="R649">
        <f t="shared" ca="1" si="605"/>
        <v>3.3731089911349841</v>
      </c>
      <c r="S649">
        <f t="shared" ca="1" si="606"/>
        <v>3.289826633405839</v>
      </c>
    </row>
    <row r="650" spans="5:19" x14ac:dyDescent="0.75">
      <c r="E650">
        <v>645</v>
      </c>
      <c r="F650">
        <f t="shared" si="602"/>
        <v>100</v>
      </c>
      <c r="G650">
        <f t="shared" ca="1" si="603"/>
        <v>97.83728223117329</v>
      </c>
      <c r="H650">
        <f t="shared" ca="1" si="603"/>
        <v>94.580935686852911</v>
      </c>
      <c r="I650">
        <f t="shared" ca="1" si="603"/>
        <v>95.824375835364762</v>
      </c>
      <c r="J650">
        <f t="shared" ca="1" si="603"/>
        <v>96.45008661112243</v>
      </c>
      <c r="K650">
        <f t="shared" ca="1" si="603"/>
        <v>101.52034522809079</v>
      </c>
      <c r="L650">
        <f t="shared" ca="1" si="603"/>
        <v>97.865846133657911</v>
      </c>
      <c r="M650">
        <f t="shared" ca="1" si="603"/>
        <v>97.738881750791847</v>
      </c>
      <c r="N650">
        <f t="shared" ca="1" si="603"/>
        <v>92.507116487158072</v>
      </c>
      <c r="O650">
        <f t="shared" ca="1" si="603"/>
        <v>88.177477815598962</v>
      </c>
      <c r="P650">
        <f t="shared" ca="1" si="603"/>
        <v>83.626472069637515</v>
      </c>
      <c r="Q650">
        <f t="shared" ca="1" si="604"/>
        <v>101.52034522809079</v>
      </c>
      <c r="R650">
        <f t="shared" ca="1" si="605"/>
        <v>0</v>
      </c>
      <c r="S650">
        <f t="shared" ca="1" si="606"/>
        <v>0</v>
      </c>
    </row>
    <row r="651" spans="5:19" x14ac:dyDescent="0.75">
      <c r="E651">
        <v>646</v>
      </c>
      <c r="F651">
        <f t="shared" si="602"/>
        <v>100</v>
      </c>
      <c r="G651">
        <f t="shared" ca="1" si="603"/>
        <v>97.750604521615401</v>
      </c>
      <c r="H651">
        <f t="shared" ca="1" si="603"/>
        <v>85.319888118792164</v>
      </c>
      <c r="I651">
        <f t="shared" ca="1" si="603"/>
        <v>84.19681695993124</v>
      </c>
      <c r="J651">
        <f t="shared" ca="1" si="603"/>
        <v>87.086356984223585</v>
      </c>
      <c r="K651">
        <f t="shared" ca="1" si="603"/>
        <v>90.757305604789622</v>
      </c>
      <c r="L651">
        <f t="shared" ca="1" si="603"/>
        <v>91.268801415333712</v>
      </c>
      <c r="M651">
        <f t="shared" ca="1" si="603"/>
        <v>90.500903438333893</v>
      </c>
      <c r="N651">
        <f t="shared" ca="1" si="603"/>
        <v>86.704006077625763</v>
      </c>
      <c r="O651">
        <f t="shared" ca="1" si="603"/>
        <v>81.528071027566583</v>
      </c>
      <c r="P651">
        <f t="shared" ca="1" si="603"/>
        <v>86.482881013492872</v>
      </c>
      <c r="Q651">
        <f t="shared" ca="1" si="604"/>
        <v>97.750604521615401</v>
      </c>
      <c r="R651">
        <f t="shared" ca="1" si="605"/>
        <v>0</v>
      </c>
      <c r="S651">
        <f t="shared" ca="1" si="606"/>
        <v>0</v>
      </c>
    </row>
    <row r="652" spans="5:19" x14ac:dyDescent="0.75">
      <c r="E652">
        <v>647</v>
      </c>
      <c r="F652">
        <f t="shared" si="602"/>
        <v>100</v>
      </c>
      <c r="G652">
        <f t="shared" ca="1" si="603"/>
        <v>108.87344338600616</v>
      </c>
      <c r="H652">
        <f t="shared" ca="1" si="603"/>
        <v>107.55369898324513</v>
      </c>
      <c r="I652">
        <f t="shared" ca="1" si="603"/>
        <v>104.91218141147775</v>
      </c>
      <c r="J652">
        <f t="shared" ca="1" si="603"/>
        <v>102.19150146833285</v>
      </c>
      <c r="K652">
        <f t="shared" ca="1" si="603"/>
        <v>105.35784434259671</v>
      </c>
      <c r="L652">
        <f t="shared" ca="1" si="603"/>
        <v>106.24808395959498</v>
      </c>
      <c r="M652">
        <f t="shared" ca="1" si="603"/>
        <v>108.2343968977147</v>
      </c>
      <c r="N652">
        <f t="shared" ca="1" si="603"/>
        <v>108.54330896594936</v>
      </c>
      <c r="O652">
        <f t="shared" ca="1" si="603"/>
        <v>109.5838482697239</v>
      </c>
      <c r="P652">
        <f t="shared" ca="1" si="603"/>
        <v>109.63164398464387</v>
      </c>
      <c r="Q652">
        <f t="shared" ca="1" si="604"/>
        <v>109.63164398464387</v>
      </c>
      <c r="R652">
        <f t="shared" ca="1" si="605"/>
        <v>7.6316439846438726</v>
      </c>
      <c r="S652">
        <f t="shared" ca="1" si="606"/>
        <v>7.4432180232945688</v>
      </c>
    </row>
    <row r="653" spans="5:19" x14ac:dyDescent="0.75">
      <c r="E653">
        <v>648</v>
      </c>
      <c r="F653">
        <f t="shared" si="602"/>
        <v>100</v>
      </c>
      <c r="G653">
        <f t="shared" ca="1" si="603"/>
        <v>97.138477330265971</v>
      </c>
      <c r="H653">
        <f t="shared" ca="1" si="603"/>
        <v>94.777838124715387</v>
      </c>
      <c r="I653">
        <f t="shared" ca="1" si="603"/>
        <v>97.33073145660633</v>
      </c>
      <c r="J653">
        <f t="shared" ca="1" si="603"/>
        <v>97.491839933714488</v>
      </c>
      <c r="K653">
        <f t="shared" ca="1" si="603"/>
        <v>98.855157167985979</v>
      </c>
      <c r="L653">
        <f t="shared" ca="1" si="603"/>
        <v>100.24397271045711</v>
      </c>
      <c r="M653">
        <f t="shared" ca="1" si="603"/>
        <v>99.767926059327252</v>
      </c>
      <c r="N653">
        <f t="shared" ca="1" si="603"/>
        <v>96.796707507388405</v>
      </c>
      <c r="O653">
        <f t="shared" ca="1" si="603"/>
        <v>98.306039388509745</v>
      </c>
      <c r="P653">
        <f t="shared" ca="1" si="603"/>
        <v>99.302255719063311</v>
      </c>
      <c r="Q653">
        <f t="shared" ca="1" si="604"/>
        <v>100.24397271045711</v>
      </c>
      <c r="R653">
        <f t="shared" ca="1" si="605"/>
        <v>0</v>
      </c>
      <c r="S653">
        <f t="shared" ca="1" si="606"/>
        <v>0</v>
      </c>
    </row>
    <row r="654" spans="5:19" x14ac:dyDescent="0.75">
      <c r="E654">
        <v>649</v>
      </c>
      <c r="F654">
        <f t="shared" si="602"/>
        <v>100</v>
      </c>
      <c r="G654">
        <f t="shared" ca="1" si="603"/>
        <v>90.889919880959198</v>
      </c>
      <c r="H654">
        <f t="shared" ca="1" si="603"/>
        <v>88.300247453738521</v>
      </c>
      <c r="I654">
        <f t="shared" ca="1" si="603"/>
        <v>88.268035858741626</v>
      </c>
      <c r="J654">
        <f t="shared" ca="1" si="603"/>
        <v>87.170699843264856</v>
      </c>
      <c r="K654">
        <f t="shared" ca="1" si="603"/>
        <v>83.439879086196825</v>
      </c>
      <c r="L654">
        <f t="shared" ca="1" si="603"/>
        <v>79.386750496825329</v>
      </c>
      <c r="M654">
        <f t="shared" ca="1" si="603"/>
        <v>79.011882079080237</v>
      </c>
      <c r="N654">
        <f t="shared" ca="1" si="603"/>
        <v>71.916307522451035</v>
      </c>
      <c r="O654">
        <f t="shared" ca="1" si="603"/>
        <v>65.195176672022171</v>
      </c>
      <c r="P654">
        <f t="shared" ca="1" si="603"/>
        <v>67.46305306555908</v>
      </c>
      <c r="Q654">
        <f t="shared" ca="1" si="604"/>
        <v>90.889919880959198</v>
      </c>
      <c r="R654">
        <f t="shared" ca="1" si="605"/>
        <v>0</v>
      </c>
      <c r="S654">
        <f t="shared" ca="1" si="606"/>
        <v>0</v>
      </c>
    </row>
    <row r="655" spans="5:19" x14ac:dyDescent="0.75">
      <c r="E655">
        <v>650</v>
      </c>
      <c r="F655">
        <f t="shared" si="602"/>
        <v>100</v>
      </c>
      <c r="G655">
        <f t="shared" ca="1" si="603"/>
        <v>106.04648577286642</v>
      </c>
      <c r="H655">
        <f t="shared" ca="1" si="603"/>
        <v>102.90667945617886</v>
      </c>
      <c r="I655">
        <f t="shared" ca="1" si="603"/>
        <v>102.86739787848832</v>
      </c>
      <c r="J655">
        <f t="shared" ca="1" si="603"/>
        <v>106.86304804320451</v>
      </c>
      <c r="K655">
        <f t="shared" ca="1" si="603"/>
        <v>101.87848377568652</v>
      </c>
      <c r="L655">
        <f t="shared" ca="1" si="603"/>
        <v>103.3778915618755</v>
      </c>
      <c r="M655">
        <f t="shared" ca="1" si="603"/>
        <v>108.14248721057838</v>
      </c>
      <c r="N655">
        <f t="shared" ca="1" si="603"/>
        <v>113.99121144705235</v>
      </c>
      <c r="O655">
        <f t="shared" ca="1" si="603"/>
        <v>119.53053795154895</v>
      </c>
      <c r="P655">
        <f t="shared" ca="1" si="603"/>
        <v>114.65252915018989</v>
      </c>
      <c r="Q655">
        <f t="shared" ca="1" si="604"/>
        <v>119.53053795154895</v>
      </c>
      <c r="R655">
        <f t="shared" ca="1" si="605"/>
        <v>0</v>
      </c>
      <c r="S655">
        <f t="shared" ca="1" si="606"/>
        <v>0</v>
      </c>
    </row>
    <row r="656" spans="5:19" x14ac:dyDescent="0.75">
      <c r="E656">
        <v>651</v>
      </c>
      <c r="F656">
        <f t="shared" si="602"/>
        <v>100</v>
      </c>
      <c r="G656">
        <f t="shared" ca="1" si="603"/>
        <v>101.65196543999662</v>
      </c>
      <c r="H656">
        <f t="shared" ca="1" si="603"/>
        <v>106.2326652558331</v>
      </c>
      <c r="I656">
        <f t="shared" ca="1" si="603"/>
        <v>117.54591335734719</v>
      </c>
      <c r="J656">
        <f t="shared" ref="J656:P656" ca="1" si="607">I656*EXP(($C$6-0.5*$C$7^2)*$C$12+$C$7*SQRT($C$12)*NORMINV(RAND(),0,1))</f>
        <v>114.67833928361821</v>
      </c>
      <c r="K656">
        <f t="shared" ca="1" si="607"/>
        <v>108.75708950954682</v>
      </c>
      <c r="L656">
        <f t="shared" ca="1" si="607"/>
        <v>115.07964830700503</v>
      </c>
      <c r="M656">
        <f t="shared" ca="1" si="607"/>
        <v>116.64834223051835</v>
      </c>
      <c r="N656">
        <f t="shared" ca="1" si="607"/>
        <v>120.22311890661811</v>
      </c>
      <c r="O656">
        <f t="shared" ca="1" si="607"/>
        <v>124.80075557210472</v>
      </c>
      <c r="P656">
        <f t="shared" ca="1" si="607"/>
        <v>129.00780634193814</v>
      </c>
      <c r="Q656">
        <f t="shared" ca="1" si="604"/>
        <v>129.00780634193814</v>
      </c>
      <c r="R656">
        <f t="shared" ca="1" si="605"/>
        <v>0</v>
      </c>
      <c r="S656">
        <f t="shared" ca="1" si="606"/>
        <v>0</v>
      </c>
    </row>
    <row r="657" spans="5:19" x14ac:dyDescent="0.75">
      <c r="E657">
        <v>652</v>
      </c>
      <c r="F657">
        <f t="shared" si="602"/>
        <v>100</v>
      </c>
      <c r="G657">
        <f t="shared" ca="1" si="603"/>
        <v>102.13024330528397</v>
      </c>
      <c r="H657">
        <f t="shared" ca="1" si="603"/>
        <v>95.811970002344651</v>
      </c>
      <c r="I657">
        <f t="shared" ca="1" si="603"/>
        <v>90.214828593718238</v>
      </c>
      <c r="J657">
        <f t="shared" ref="J657:P657" ca="1" si="608">I657*EXP(($C$6-0.5*$C$7^2)*$C$12+$C$7*SQRT($C$12)*NORMINV(RAND(),0,1))</f>
        <v>91.56892733040317</v>
      </c>
      <c r="K657">
        <f t="shared" ca="1" si="608"/>
        <v>91.30698337107809</v>
      </c>
      <c r="L657">
        <f t="shared" ca="1" si="608"/>
        <v>92.141864365175834</v>
      </c>
      <c r="M657">
        <f t="shared" ca="1" si="608"/>
        <v>101.14345779252929</v>
      </c>
      <c r="N657">
        <f t="shared" ca="1" si="608"/>
        <v>104.26996770385981</v>
      </c>
      <c r="O657">
        <f t="shared" ca="1" si="608"/>
        <v>107.79069348196734</v>
      </c>
      <c r="P657">
        <f t="shared" ca="1" si="608"/>
        <v>114.32750369159042</v>
      </c>
      <c r="Q657">
        <f t="shared" ca="1" si="604"/>
        <v>114.32750369159042</v>
      </c>
      <c r="R657">
        <f t="shared" ca="1" si="605"/>
        <v>0</v>
      </c>
      <c r="S657">
        <f t="shared" ca="1" si="606"/>
        <v>0</v>
      </c>
    </row>
    <row r="658" spans="5:19" x14ac:dyDescent="0.75">
      <c r="E658">
        <v>653</v>
      </c>
      <c r="F658">
        <f t="shared" si="602"/>
        <v>100</v>
      </c>
      <c r="G658">
        <f t="shared" ca="1" si="603"/>
        <v>100.03751655351927</v>
      </c>
      <c r="H658">
        <f t="shared" ca="1" si="603"/>
        <v>93.479193996045666</v>
      </c>
      <c r="I658">
        <f t="shared" ca="1" si="603"/>
        <v>96.040730875877927</v>
      </c>
      <c r="J658">
        <f t="shared" ref="J658:P658" ca="1" si="609">I658*EXP(($C$6-0.5*$C$7^2)*$C$12+$C$7*SQRT($C$12)*NORMINV(RAND(),0,1))</f>
        <v>92.351850832584162</v>
      </c>
      <c r="K658">
        <f t="shared" ca="1" si="609"/>
        <v>88.709010265081588</v>
      </c>
      <c r="L658">
        <f t="shared" ca="1" si="609"/>
        <v>87.258655488155952</v>
      </c>
      <c r="M658">
        <f t="shared" ca="1" si="609"/>
        <v>87.826179000958007</v>
      </c>
      <c r="N658">
        <f t="shared" ca="1" si="609"/>
        <v>95.662258728080133</v>
      </c>
      <c r="O658">
        <f t="shared" ca="1" si="609"/>
        <v>90.067911164609015</v>
      </c>
      <c r="P658">
        <f t="shared" ca="1" si="609"/>
        <v>95.854000851673632</v>
      </c>
      <c r="Q658">
        <f t="shared" ca="1" si="604"/>
        <v>100.03751655351927</v>
      </c>
      <c r="R658">
        <f t="shared" ca="1" si="605"/>
        <v>0</v>
      </c>
      <c r="S658">
        <f t="shared" ca="1" si="606"/>
        <v>0</v>
      </c>
    </row>
    <row r="659" spans="5:19" x14ac:dyDescent="0.75">
      <c r="E659">
        <v>654</v>
      </c>
      <c r="F659">
        <f t="shared" si="602"/>
        <v>100</v>
      </c>
      <c r="G659">
        <f t="shared" ca="1" si="603"/>
        <v>105.37230661899389</v>
      </c>
      <c r="H659">
        <f t="shared" ca="1" si="603"/>
        <v>104.20617815449869</v>
      </c>
      <c r="I659">
        <f t="shared" ca="1" si="603"/>
        <v>109.71303066810114</v>
      </c>
      <c r="J659">
        <f t="shared" ref="J659:P659" ca="1" si="610">I659*EXP(($C$6-0.5*$C$7^2)*$C$12+$C$7*SQRT($C$12)*NORMINV(RAND(),0,1))</f>
        <v>120.96727087011135</v>
      </c>
      <c r="K659">
        <f t="shared" ca="1" si="610"/>
        <v>118.92483090131253</v>
      </c>
      <c r="L659">
        <f t="shared" ca="1" si="610"/>
        <v>113.52350312476622</v>
      </c>
      <c r="M659">
        <f t="shared" ca="1" si="610"/>
        <v>113.18724007297141</v>
      </c>
      <c r="N659">
        <f t="shared" ca="1" si="610"/>
        <v>115.54651055891908</v>
      </c>
      <c r="O659">
        <f t="shared" ca="1" si="610"/>
        <v>112.30264361832681</v>
      </c>
      <c r="P659">
        <f t="shared" ca="1" si="610"/>
        <v>116.86339410992852</v>
      </c>
      <c r="Q659">
        <f t="shared" ca="1" si="604"/>
        <v>120.96727087011135</v>
      </c>
      <c r="R659">
        <f t="shared" ca="1" si="605"/>
        <v>0</v>
      </c>
      <c r="S659">
        <f t="shared" ca="1" si="606"/>
        <v>0</v>
      </c>
    </row>
    <row r="660" spans="5:19" x14ac:dyDescent="0.75">
      <c r="E660">
        <v>655</v>
      </c>
      <c r="F660">
        <f t="shared" si="602"/>
        <v>100</v>
      </c>
      <c r="G660">
        <f t="shared" ca="1" si="603"/>
        <v>97.055921982594199</v>
      </c>
      <c r="H660">
        <f t="shared" ca="1" si="603"/>
        <v>101.8167427924397</v>
      </c>
      <c r="I660">
        <f t="shared" ca="1" si="603"/>
        <v>102.345037981658</v>
      </c>
      <c r="J660">
        <f t="shared" ref="J660:P660" ca="1" si="611">I660*EXP(($C$6-0.5*$C$7^2)*$C$12+$C$7*SQRT($C$12)*NORMINV(RAND(),0,1))</f>
        <v>99.897469953573889</v>
      </c>
      <c r="K660">
        <f t="shared" ca="1" si="611"/>
        <v>95.000436641439549</v>
      </c>
      <c r="L660">
        <f t="shared" ca="1" si="611"/>
        <v>93.813240575802993</v>
      </c>
      <c r="M660">
        <f t="shared" ca="1" si="611"/>
        <v>98.291128660116641</v>
      </c>
      <c r="N660">
        <f t="shared" ca="1" si="611"/>
        <v>95.430056993314537</v>
      </c>
      <c r="O660">
        <f t="shared" ca="1" si="611"/>
        <v>92.255475145403125</v>
      </c>
      <c r="P660">
        <f t="shared" ca="1" si="611"/>
        <v>90.774736532330564</v>
      </c>
      <c r="Q660">
        <f t="shared" ca="1" si="604"/>
        <v>102.345037981658</v>
      </c>
      <c r="R660">
        <f t="shared" ca="1" si="605"/>
        <v>0</v>
      </c>
      <c r="S660">
        <f t="shared" ca="1" si="606"/>
        <v>0</v>
      </c>
    </row>
    <row r="661" spans="5:19" x14ac:dyDescent="0.75">
      <c r="E661">
        <v>656</v>
      </c>
      <c r="F661">
        <f t="shared" si="602"/>
        <v>100</v>
      </c>
      <c r="G661">
        <f t="shared" ca="1" si="603"/>
        <v>100.4788582929186</v>
      </c>
      <c r="H661">
        <f t="shared" ca="1" si="603"/>
        <v>101.87331141437713</v>
      </c>
      <c r="I661">
        <f t="shared" ca="1" si="603"/>
        <v>103.3431165062549</v>
      </c>
      <c r="J661">
        <f t="shared" ref="J661:P661" ca="1" si="612">I661*EXP(($C$6-0.5*$C$7^2)*$C$12+$C$7*SQRT($C$12)*NORMINV(RAND(),0,1))</f>
        <v>108.88502705903483</v>
      </c>
      <c r="K661">
        <f t="shared" ca="1" si="612"/>
        <v>107.91197198555899</v>
      </c>
      <c r="L661">
        <f t="shared" ca="1" si="612"/>
        <v>101.66050544685343</v>
      </c>
      <c r="M661">
        <f t="shared" ca="1" si="612"/>
        <v>104.52846095894952</v>
      </c>
      <c r="N661">
        <f t="shared" ca="1" si="612"/>
        <v>97.089306022142239</v>
      </c>
      <c r="O661">
        <f t="shared" ca="1" si="612"/>
        <v>96.963604481105889</v>
      </c>
      <c r="P661">
        <f t="shared" ca="1" si="612"/>
        <v>93.179883637736012</v>
      </c>
      <c r="Q661">
        <f t="shared" ca="1" si="604"/>
        <v>108.88502705903483</v>
      </c>
      <c r="R661">
        <f t="shared" ca="1" si="605"/>
        <v>0</v>
      </c>
      <c r="S661">
        <f t="shared" ca="1" si="606"/>
        <v>0</v>
      </c>
    </row>
    <row r="662" spans="5:19" x14ac:dyDescent="0.75">
      <c r="E662">
        <v>657</v>
      </c>
      <c r="F662">
        <f t="shared" si="602"/>
        <v>100</v>
      </c>
      <c r="G662">
        <f t="shared" ca="1" si="603"/>
        <v>100.32345963025406</v>
      </c>
      <c r="H662">
        <f t="shared" ca="1" si="603"/>
        <v>100.00175040455733</v>
      </c>
      <c r="I662">
        <f t="shared" ca="1" si="603"/>
        <v>101.32247117172449</v>
      </c>
      <c r="J662">
        <f t="shared" ref="J662:P662" ca="1" si="613">I662*EXP(($C$6-0.5*$C$7^2)*$C$12+$C$7*SQRT($C$12)*NORMINV(RAND(),0,1))</f>
        <v>96.203313539401563</v>
      </c>
      <c r="K662">
        <f t="shared" ca="1" si="613"/>
        <v>92.060934422611027</v>
      </c>
      <c r="L662">
        <f t="shared" ca="1" si="613"/>
        <v>86.490348688353947</v>
      </c>
      <c r="M662">
        <f t="shared" ca="1" si="613"/>
        <v>84.711722173306299</v>
      </c>
      <c r="N662">
        <f t="shared" ca="1" si="613"/>
        <v>85.447427599315233</v>
      </c>
      <c r="O662">
        <f t="shared" ca="1" si="613"/>
        <v>82.589626669751823</v>
      </c>
      <c r="P662">
        <f t="shared" ca="1" si="613"/>
        <v>77.287773590779409</v>
      </c>
      <c r="Q662">
        <f t="shared" ca="1" si="604"/>
        <v>101.32247117172449</v>
      </c>
      <c r="R662">
        <f t="shared" ca="1" si="605"/>
        <v>0</v>
      </c>
      <c r="S662">
        <f t="shared" ca="1" si="606"/>
        <v>0</v>
      </c>
    </row>
    <row r="663" spans="5:19" x14ac:dyDescent="0.75">
      <c r="E663">
        <v>658</v>
      </c>
      <c r="F663">
        <f t="shared" si="602"/>
        <v>100</v>
      </c>
      <c r="G663">
        <f t="shared" ca="1" si="603"/>
        <v>101.80847620097553</v>
      </c>
      <c r="H663">
        <f t="shared" ca="1" si="603"/>
        <v>97.543668042761482</v>
      </c>
      <c r="I663">
        <f t="shared" ca="1" si="603"/>
        <v>97.959982128404988</v>
      </c>
      <c r="J663">
        <f t="shared" ref="J663:P663" ca="1" si="614">I663*EXP(($C$6-0.5*$C$7^2)*$C$12+$C$7*SQRT($C$12)*NORMINV(RAND(),0,1))</f>
        <v>102.85523970404684</v>
      </c>
      <c r="K663">
        <f t="shared" ca="1" si="614"/>
        <v>105.09974773940274</v>
      </c>
      <c r="L663">
        <f t="shared" ca="1" si="614"/>
        <v>107.81661874899365</v>
      </c>
      <c r="M663">
        <f t="shared" ca="1" si="614"/>
        <v>114.32505688587064</v>
      </c>
      <c r="N663">
        <f t="shared" ca="1" si="614"/>
        <v>114.50855916128131</v>
      </c>
      <c r="O663">
        <f t="shared" ca="1" si="614"/>
        <v>117.45117973092012</v>
      </c>
      <c r="P663">
        <f t="shared" ca="1" si="614"/>
        <v>117.9369554829364</v>
      </c>
      <c r="Q663">
        <f t="shared" ca="1" si="604"/>
        <v>117.9369554829364</v>
      </c>
      <c r="R663">
        <f t="shared" ca="1" si="605"/>
        <v>0</v>
      </c>
      <c r="S663">
        <f t="shared" ca="1" si="606"/>
        <v>0</v>
      </c>
    </row>
    <row r="664" spans="5:19" x14ac:dyDescent="0.75">
      <c r="E664">
        <v>659</v>
      </c>
      <c r="F664">
        <f t="shared" si="602"/>
        <v>100</v>
      </c>
      <c r="G664">
        <f t="shared" ca="1" si="603"/>
        <v>93.361863401640491</v>
      </c>
      <c r="H664">
        <f t="shared" ca="1" si="603"/>
        <v>91.796921818522122</v>
      </c>
      <c r="I664">
        <f t="shared" ca="1" si="603"/>
        <v>92.991162147079208</v>
      </c>
      <c r="J664">
        <f t="shared" ref="J664:P664" ca="1" si="615">I664*EXP(($C$6-0.5*$C$7^2)*$C$12+$C$7*SQRT($C$12)*NORMINV(RAND(),0,1))</f>
        <v>93.070832544464565</v>
      </c>
      <c r="K664">
        <f t="shared" ca="1" si="615"/>
        <v>98.168216335784876</v>
      </c>
      <c r="L664">
        <f t="shared" ca="1" si="615"/>
        <v>100.90460982941715</v>
      </c>
      <c r="M664">
        <f t="shared" ca="1" si="615"/>
        <v>99.147091455978568</v>
      </c>
      <c r="N664">
        <f t="shared" ca="1" si="615"/>
        <v>104.67218408969808</v>
      </c>
      <c r="O664">
        <f t="shared" ca="1" si="615"/>
        <v>102.19393059642958</v>
      </c>
      <c r="P664">
        <f t="shared" ca="1" si="615"/>
        <v>101.4884227716565</v>
      </c>
      <c r="Q664">
        <f t="shared" ca="1" si="604"/>
        <v>104.67218408969808</v>
      </c>
      <c r="R664">
        <f t="shared" ca="1" si="605"/>
        <v>0</v>
      </c>
      <c r="S664">
        <f t="shared" ca="1" si="606"/>
        <v>0</v>
      </c>
    </row>
    <row r="665" spans="5:19" x14ac:dyDescent="0.75">
      <c r="E665">
        <v>660</v>
      </c>
      <c r="F665">
        <f t="shared" si="602"/>
        <v>100</v>
      </c>
      <c r="G665">
        <f t="shared" ca="1" si="603"/>
        <v>97.8072124578364</v>
      </c>
      <c r="H665">
        <f t="shared" ca="1" si="603"/>
        <v>112.38043963137177</v>
      </c>
      <c r="I665">
        <f t="shared" ca="1" si="603"/>
        <v>112.96587973450512</v>
      </c>
      <c r="J665">
        <f t="shared" ref="J665:P665" ca="1" si="616">I665*EXP(($C$6-0.5*$C$7^2)*$C$12+$C$7*SQRT($C$12)*NORMINV(RAND(),0,1))</f>
        <v>105.59920549984284</v>
      </c>
      <c r="K665">
        <f t="shared" ca="1" si="616"/>
        <v>96.513764788694772</v>
      </c>
      <c r="L665">
        <f t="shared" ca="1" si="616"/>
        <v>101.1049732365675</v>
      </c>
      <c r="M665">
        <f t="shared" ca="1" si="616"/>
        <v>100.36627997662198</v>
      </c>
      <c r="N665">
        <f t="shared" ca="1" si="616"/>
        <v>95.269844837271521</v>
      </c>
      <c r="O665">
        <f t="shared" ca="1" si="616"/>
        <v>94.598652870122137</v>
      </c>
      <c r="P665">
        <f t="shared" ca="1" si="616"/>
        <v>89.221038096867588</v>
      </c>
      <c r="Q665">
        <f t="shared" ca="1" si="604"/>
        <v>112.96587973450512</v>
      </c>
      <c r="R665">
        <f t="shared" ca="1" si="605"/>
        <v>0</v>
      </c>
      <c r="S665">
        <f t="shared" ca="1" si="606"/>
        <v>0</v>
      </c>
    </row>
    <row r="666" spans="5:19" x14ac:dyDescent="0.75">
      <c r="E666">
        <v>661</v>
      </c>
      <c r="F666">
        <f t="shared" si="602"/>
        <v>100</v>
      </c>
      <c r="G666">
        <f t="shared" ca="1" si="603"/>
        <v>100.9425311644421</v>
      </c>
      <c r="H666">
        <f t="shared" ca="1" si="603"/>
        <v>101.7823209079035</v>
      </c>
      <c r="I666">
        <f t="shared" ca="1" si="603"/>
        <v>97.516329115470313</v>
      </c>
      <c r="J666">
        <f t="shared" ref="J666:P666" ca="1" si="617">I666*EXP(($C$6-0.5*$C$7^2)*$C$12+$C$7*SQRT($C$12)*NORMINV(RAND(),0,1))</f>
        <v>106.18735749242057</v>
      </c>
      <c r="K666">
        <f t="shared" ca="1" si="617"/>
        <v>109.44450618580916</v>
      </c>
      <c r="L666">
        <f t="shared" ca="1" si="617"/>
        <v>111.56293444048389</v>
      </c>
      <c r="M666">
        <f t="shared" ca="1" si="617"/>
        <v>117.59944305264854</v>
      </c>
      <c r="N666">
        <f t="shared" ca="1" si="617"/>
        <v>114.8022860585076</v>
      </c>
      <c r="O666">
        <f t="shared" ca="1" si="617"/>
        <v>124.01738169943523</v>
      </c>
      <c r="P666">
        <f t="shared" ca="1" si="617"/>
        <v>125.54683072324792</v>
      </c>
      <c r="Q666">
        <f t="shared" ca="1" si="604"/>
        <v>125.54683072324792</v>
      </c>
      <c r="R666">
        <f t="shared" ca="1" si="605"/>
        <v>0</v>
      </c>
      <c r="S666">
        <f t="shared" ca="1" si="606"/>
        <v>0</v>
      </c>
    </row>
    <row r="667" spans="5:19" x14ac:dyDescent="0.75">
      <c r="E667">
        <v>662</v>
      </c>
      <c r="F667">
        <f t="shared" si="602"/>
        <v>100</v>
      </c>
      <c r="G667">
        <f t="shared" ca="1" si="603"/>
        <v>98.307343067385858</v>
      </c>
      <c r="H667">
        <f t="shared" ca="1" si="603"/>
        <v>96.862938021350431</v>
      </c>
      <c r="I667">
        <f t="shared" ca="1" si="603"/>
        <v>99.775732486583692</v>
      </c>
      <c r="J667">
        <f t="shared" ref="J667:P667" ca="1" si="618">I667*EXP(($C$6-0.5*$C$7^2)*$C$12+$C$7*SQRT($C$12)*NORMINV(RAND(),0,1))</f>
        <v>94.725185584050877</v>
      </c>
      <c r="K667">
        <f t="shared" ca="1" si="618"/>
        <v>103.07796767224656</v>
      </c>
      <c r="L667">
        <f t="shared" ca="1" si="618"/>
        <v>104.45210930875149</v>
      </c>
      <c r="M667">
        <f t="shared" ca="1" si="618"/>
        <v>106.18911746890771</v>
      </c>
      <c r="N667">
        <f t="shared" ca="1" si="618"/>
        <v>104.34582021598943</v>
      </c>
      <c r="O667">
        <f t="shared" ca="1" si="618"/>
        <v>107.84992197597578</v>
      </c>
      <c r="P667">
        <f t="shared" ca="1" si="618"/>
        <v>114.75201872031661</v>
      </c>
      <c r="Q667">
        <f t="shared" ca="1" si="604"/>
        <v>114.75201872031661</v>
      </c>
      <c r="R667">
        <f t="shared" ca="1" si="605"/>
        <v>0</v>
      </c>
      <c r="S667">
        <f t="shared" ca="1" si="606"/>
        <v>0</v>
      </c>
    </row>
    <row r="668" spans="5:19" x14ac:dyDescent="0.75">
      <c r="E668">
        <v>663</v>
      </c>
      <c r="F668">
        <f t="shared" si="602"/>
        <v>100</v>
      </c>
      <c r="G668">
        <f t="shared" ca="1" si="603"/>
        <v>99.202803346053472</v>
      </c>
      <c r="H668">
        <f t="shared" ca="1" si="603"/>
        <v>96.955869683995488</v>
      </c>
      <c r="I668">
        <f t="shared" ca="1" si="603"/>
        <v>96.734122939342981</v>
      </c>
      <c r="J668">
        <f t="shared" ref="J668:P668" ca="1" si="619">I668*EXP(($C$6-0.5*$C$7^2)*$C$12+$C$7*SQRT($C$12)*NORMINV(RAND(),0,1))</f>
        <v>88.998286367963232</v>
      </c>
      <c r="K668">
        <f t="shared" ca="1" si="619"/>
        <v>83.387077853765021</v>
      </c>
      <c r="L668">
        <f t="shared" ca="1" si="619"/>
        <v>88.357044316315765</v>
      </c>
      <c r="M668">
        <f t="shared" ca="1" si="619"/>
        <v>89.504761169723466</v>
      </c>
      <c r="N668">
        <f t="shared" ca="1" si="619"/>
        <v>92.035771465385281</v>
      </c>
      <c r="O668">
        <f t="shared" ca="1" si="619"/>
        <v>91.769839407029664</v>
      </c>
      <c r="P668">
        <f t="shared" ca="1" si="619"/>
        <v>88.26796948163782</v>
      </c>
      <c r="Q668">
        <f t="shared" ca="1" si="604"/>
        <v>99.202803346053472</v>
      </c>
      <c r="R668">
        <f t="shared" ca="1" si="605"/>
        <v>0</v>
      </c>
      <c r="S668">
        <f t="shared" ca="1" si="606"/>
        <v>0</v>
      </c>
    </row>
    <row r="669" spans="5:19" x14ac:dyDescent="0.75">
      <c r="E669">
        <v>664</v>
      </c>
      <c r="F669">
        <f t="shared" si="602"/>
        <v>100</v>
      </c>
      <c r="G669">
        <f t="shared" ca="1" si="603"/>
        <v>106.2298255253109</v>
      </c>
      <c r="H669">
        <f t="shared" ca="1" si="603"/>
        <v>113.22624057060749</v>
      </c>
      <c r="I669">
        <f t="shared" ca="1" si="603"/>
        <v>105.95232591617614</v>
      </c>
      <c r="J669">
        <f t="shared" ref="J669:P669" ca="1" si="620">I669*EXP(($C$6-0.5*$C$7^2)*$C$12+$C$7*SQRT($C$12)*NORMINV(RAND(),0,1))</f>
        <v>104.51367687485346</v>
      </c>
      <c r="K669">
        <f t="shared" ca="1" si="620"/>
        <v>102.85992398565499</v>
      </c>
      <c r="L669">
        <f t="shared" ca="1" si="620"/>
        <v>100.01530043172231</v>
      </c>
      <c r="M669">
        <f t="shared" ca="1" si="620"/>
        <v>97.013830031432349</v>
      </c>
      <c r="N669">
        <f t="shared" ca="1" si="620"/>
        <v>99.085145535714773</v>
      </c>
      <c r="O669">
        <f t="shared" ca="1" si="620"/>
        <v>102.93993443171436</v>
      </c>
      <c r="P669">
        <f t="shared" ca="1" si="620"/>
        <v>105.55953099570903</v>
      </c>
      <c r="Q669">
        <f t="shared" ca="1" si="604"/>
        <v>113.22624057060749</v>
      </c>
      <c r="R669">
        <f t="shared" ca="1" si="605"/>
        <v>0</v>
      </c>
      <c r="S669">
        <f t="shared" ca="1" si="606"/>
        <v>0</v>
      </c>
    </row>
    <row r="670" spans="5:19" x14ac:dyDescent="0.75">
      <c r="E670">
        <v>665</v>
      </c>
      <c r="F670">
        <f t="shared" si="602"/>
        <v>100</v>
      </c>
      <c r="G670">
        <f t="shared" ca="1" si="603"/>
        <v>97.941463385203136</v>
      </c>
      <c r="H670">
        <f t="shared" ca="1" si="603"/>
        <v>97.030663802380303</v>
      </c>
      <c r="I670">
        <f t="shared" ca="1" si="603"/>
        <v>95.479351179744043</v>
      </c>
      <c r="J670">
        <f t="shared" ref="J670:P670" ca="1" si="621">I670*EXP(($C$6-0.5*$C$7^2)*$C$12+$C$7*SQRT($C$12)*NORMINV(RAND(),0,1))</f>
        <v>94.352704827915645</v>
      </c>
      <c r="K670">
        <f t="shared" ca="1" si="621"/>
        <v>95.114198071076657</v>
      </c>
      <c r="L670">
        <f t="shared" ca="1" si="621"/>
        <v>99.858466575253829</v>
      </c>
      <c r="M670">
        <f t="shared" ca="1" si="621"/>
        <v>98.94399775266271</v>
      </c>
      <c r="N670">
        <f t="shared" ca="1" si="621"/>
        <v>97.099513436082503</v>
      </c>
      <c r="O670">
        <f t="shared" ca="1" si="621"/>
        <v>103.44189846828132</v>
      </c>
      <c r="P670">
        <f t="shared" ca="1" si="621"/>
        <v>101.00102044291577</v>
      </c>
      <c r="Q670">
        <f t="shared" ca="1" si="604"/>
        <v>103.44189846828132</v>
      </c>
      <c r="R670">
        <f t="shared" ca="1" si="605"/>
        <v>0</v>
      </c>
      <c r="S670">
        <f t="shared" ca="1" si="606"/>
        <v>0</v>
      </c>
    </row>
    <row r="671" spans="5:19" x14ac:dyDescent="0.75">
      <c r="E671">
        <v>666</v>
      </c>
      <c r="F671">
        <f t="shared" si="602"/>
        <v>100</v>
      </c>
      <c r="G671">
        <f t="shared" ca="1" si="603"/>
        <v>100.21381918782811</v>
      </c>
      <c r="H671">
        <f t="shared" ca="1" si="603"/>
        <v>103.05897468037591</v>
      </c>
      <c r="I671">
        <f t="shared" ca="1" si="603"/>
        <v>107.24299344598015</v>
      </c>
      <c r="J671">
        <f t="shared" ref="J671:P671" ca="1" si="622">I671*EXP(($C$6-0.5*$C$7^2)*$C$12+$C$7*SQRT($C$12)*NORMINV(RAND(),0,1))</f>
        <v>104.04047669154666</v>
      </c>
      <c r="K671">
        <f t="shared" ca="1" si="622"/>
        <v>106.4691685338114</v>
      </c>
      <c r="L671">
        <f t="shared" ca="1" si="622"/>
        <v>101.48610190280542</v>
      </c>
      <c r="M671">
        <f t="shared" ca="1" si="622"/>
        <v>109.51522482874218</v>
      </c>
      <c r="N671">
        <f t="shared" ca="1" si="622"/>
        <v>106.33525066095527</v>
      </c>
      <c r="O671">
        <f t="shared" ca="1" si="622"/>
        <v>113.55604466985329</v>
      </c>
      <c r="P671">
        <f t="shared" ca="1" si="622"/>
        <v>113.17606527044977</v>
      </c>
      <c r="Q671">
        <f t="shared" ca="1" si="604"/>
        <v>113.55604466985329</v>
      </c>
      <c r="R671">
        <f t="shared" ca="1" si="605"/>
        <v>0</v>
      </c>
      <c r="S671">
        <f t="shared" ca="1" si="606"/>
        <v>0</v>
      </c>
    </row>
    <row r="672" spans="5:19" x14ac:dyDescent="0.75">
      <c r="E672">
        <v>667</v>
      </c>
      <c r="F672">
        <f t="shared" si="602"/>
        <v>100</v>
      </c>
      <c r="G672">
        <f t="shared" ca="1" si="603"/>
        <v>103.56456703133377</v>
      </c>
      <c r="H672">
        <f t="shared" ca="1" si="603"/>
        <v>108.76267333615665</v>
      </c>
      <c r="I672">
        <f t="shared" ca="1" si="603"/>
        <v>100.15085306531914</v>
      </c>
      <c r="J672">
        <f t="shared" ref="J672:P672" ca="1" si="623">I672*EXP(($C$6-0.5*$C$7^2)*$C$12+$C$7*SQRT($C$12)*NORMINV(RAND(),0,1))</f>
        <v>98.047158298726188</v>
      </c>
      <c r="K672">
        <f t="shared" ca="1" si="623"/>
        <v>96.086295099965028</v>
      </c>
      <c r="L672">
        <f t="shared" ca="1" si="623"/>
        <v>94.923265263246421</v>
      </c>
      <c r="M672">
        <f t="shared" ca="1" si="623"/>
        <v>98.262428118759729</v>
      </c>
      <c r="N672">
        <f t="shared" ca="1" si="623"/>
        <v>94.593143744141528</v>
      </c>
      <c r="O672">
        <f t="shared" ca="1" si="623"/>
        <v>94.397709120158879</v>
      </c>
      <c r="P672">
        <f t="shared" ca="1" si="623"/>
        <v>92.625529091106472</v>
      </c>
      <c r="Q672">
        <f t="shared" ca="1" si="604"/>
        <v>108.76267333615665</v>
      </c>
      <c r="R672">
        <f t="shared" ca="1" si="605"/>
        <v>0</v>
      </c>
      <c r="S672">
        <f t="shared" ca="1" si="606"/>
        <v>0</v>
      </c>
    </row>
    <row r="673" spans="5:19" x14ac:dyDescent="0.75">
      <c r="E673">
        <v>668</v>
      </c>
      <c r="F673">
        <f t="shared" si="602"/>
        <v>100</v>
      </c>
      <c r="G673">
        <f t="shared" ca="1" si="603"/>
        <v>93.851837759135165</v>
      </c>
      <c r="H673">
        <f t="shared" ca="1" si="603"/>
        <v>98.007733992079764</v>
      </c>
      <c r="I673">
        <f t="shared" ca="1" si="603"/>
        <v>95.813141630448328</v>
      </c>
      <c r="J673">
        <f t="shared" ref="J673:P673" ca="1" si="624">I673*EXP(($C$6-0.5*$C$7^2)*$C$12+$C$7*SQRT($C$12)*NORMINV(RAND(),0,1))</f>
        <v>88.751158235844699</v>
      </c>
      <c r="K673">
        <f t="shared" ca="1" si="624"/>
        <v>88.286993952548642</v>
      </c>
      <c r="L673">
        <f t="shared" ca="1" si="624"/>
        <v>91.058248387039697</v>
      </c>
      <c r="M673">
        <f t="shared" ca="1" si="624"/>
        <v>94.894590658222029</v>
      </c>
      <c r="N673">
        <f t="shared" ca="1" si="624"/>
        <v>98.009965194640969</v>
      </c>
      <c r="O673">
        <f t="shared" ca="1" si="624"/>
        <v>92.08143838763894</v>
      </c>
      <c r="P673">
        <f t="shared" ca="1" si="624"/>
        <v>93.923662462181724</v>
      </c>
      <c r="Q673">
        <f t="shared" ca="1" si="604"/>
        <v>98.009965194640969</v>
      </c>
      <c r="R673">
        <f t="shared" ca="1" si="605"/>
        <v>0</v>
      </c>
      <c r="S673">
        <f t="shared" ca="1" si="606"/>
        <v>0</v>
      </c>
    </row>
    <row r="674" spans="5:19" x14ac:dyDescent="0.75">
      <c r="E674">
        <v>669</v>
      </c>
      <c r="F674">
        <f t="shared" si="602"/>
        <v>100</v>
      </c>
      <c r="G674">
        <f t="shared" ca="1" si="603"/>
        <v>97.167033394902674</v>
      </c>
      <c r="H674">
        <f t="shared" ca="1" si="603"/>
        <v>97.424858686976464</v>
      </c>
      <c r="I674">
        <f t="shared" ca="1" si="603"/>
        <v>100.25873903688358</v>
      </c>
      <c r="J674">
        <f t="shared" ref="J674:P674" ca="1" si="625">I674*EXP(($C$6-0.5*$C$7^2)*$C$12+$C$7*SQRT($C$12)*NORMINV(RAND(),0,1))</f>
        <v>102.3449528816795</v>
      </c>
      <c r="K674">
        <f t="shared" ca="1" si="625"/>
        <v>100.07370581139581</v>
      </c>
      <c r="L674">
        <f t="shared" ca="1" si="625"/>
        <v>102.92233135876883</v>
      </c>
      <c r="M674">
        <f t="shared" ca="1" si="625"/>
        <v>103.70361287960822</v>
      </c>
      <c r="N674">
        <f t="shared" ca="1" si="625"/>
        <v>105.32120134133605</v>
      </c>
      <c r="O674">
        <f t="shared" ca="1" si="625"/>
        <v>103.82085141933277</v>
      </c>
      <c r="P674">
        <f t="shared" ca="1" si="625"/>
        <v>104.2122328039024</v>
      </c>
      <c r="Q674">
        <f t="shared" ca="1" si="604"/>
        <v>105.32120134133605</v>
      </c>
      <c r="R674">
        <f t="shared" ca="1" si="605"/>
        <v>2.2122328039023955</v>
      </c>
      <c r="S674">
        <f t="shared" ca="1" si="606"/>
        <v>2.1576125813602371</v>
      </c>
    </row>
    <row r="675" spans="5:19" x14ac:dyDescent="0.75">
      <c r="E675">
        <v>670</v>
      </c>
      <c r="F675">
        <f t="shared" si="602"/>
        <v>100</v>
      </c>
      <c r="G675">
        <f t="shared" ca="1" si="603"/>
        <v>95.652884598105629</v>
      </c>
      <c r="H675">
        <f t="shared" ca="1" si="603"/>
        <v>90.829820873183735</v>
      </c>
      <c r="I675">
        <f t="shared" ca="1" si="603"/>
        <v>90.176479146846546</v>
      </c>
      <c r="J675">
        <f t="shared" ref="J675:P675" ca="1" si="626">I675*EXP(($C$6-0.5*$C$7^2)*$C$12+$C$7*SQRT($C$12)*NORMINV(RAND(),0,1))</f>
        <v>91.721379161358968</v>
      </c>
      <c r="K675">
        <f t="shared" ca="1" si="626"/>
        <v>92.13974580055536</v>
      </c>
      <c r="L675">
        <f t="shared" ca="1" si="626"/>
        <v>90.816040944532091</v>
      </c>
      <c r="M675">
        <f t="shared" ca="1" si="626"/>
        <v>90.529249874134138</v>
      </c>
      <c r="N675">
        <f t="shared" ca="1" si="626"/>
        <v>96.681795503435936</v>
      </c>
      <c r="O675">
        <f t="shared" ca="1" si="626"/>
        <v>93.436052478231673</v>
      </c>
      <c r="P675">
        <f t="shared" ca="1" si="626"/>
        <v>93.954903872283211</v>
      </c>
      <c r="Q675">
        <f t="shared" ca="1" si="604"/>
        <v>96.681795503435936</v>
      </c>
      <c r="R675">
        <f t="shared" ca="1" si="605"/>
        <v>0</v>
      </c>
      <c r="S675">
        <f t="shared" ca="1" si="606"/>
        <v>0</v>
      </c>
    </row>
    <row r="676" spans="5:19" x14ac:dyDescent="0.75">
      <c r="E676">
        <v>671</v>
      </c>
      <c r="F676">
        <f t="shared" si="602"/>
        <v>100</v>
      </c>
      <c r="G676">
        <f t="shared" ca="1" si="603"/>
        <v>93.948847212019771</v>
      </c>
      <c r="H676">
        <f t="shared" ca="1" si="603"/>
        <v>92.53140625694391</v>
      </c>
      <c r="I676">
        <f t="shared" ca="1" si="603"/>
        <v>87.428659510905021</v>
      </c>
      <c r="J676">
        <f t="shared" ref="J676:P676" ca="1" si="627">I676*EXP(($C$6-0.5*$C$7^2)*$C$12+$C$7*SQRT($C$12)*NORMINV(RAND(),0,1))</f>
        <v>88.694416761719978</v>
      </c>
      <c r="K676">
        <f t="shared" ca="1" si="627"/>
        <v>83.61772091695542</v>
      </c>
      <c r="L676">
        <f t="shared" ca="1" si="627"/>
        <v>85.138247519793097</v>
      </c>
      <c r="M676">
        <f t="shared" ca="1" si="627"/>
        <v>83.799298164870919</v>
      </c>
      <c r="N676">
        <f t="shared" ca="1" si="627"/>
        <v>87.804420228707443</v>
      </c>
      <c r="O676">
        <f t="shared" ca="1" si="627"/>
        <v>87.816193994028438</v>
      </c>
      <c r="P676">
        <f t="shared" ca="1" si="627"/>
        <v>90.562754999708957</v>
      </c>
      <c r="Q676">
        <f t="shared" ca="1" si="604"/>
        <v>93.948847212019771</v>
      </c>
      <c r="R676">
        <f t="shared" ca="1" si="605"/>
        <v>0</v>
      </c>
      <c r="S676">
        <f t="shared" ca="1" si="606"/>
        <v>0</v>
      </c>
    </row>
    <row r="677" spans="5:19" x14ac:dyDescent="0.75">
      <c r="E677">
        <v>672</v>
      </c>
      <c r="F677">
        <f t="shared" si="602"/>
        <v>100</v>
      </c>
      <c r="G677">
        <f t="shared" ca="1" si="603"/>
        <v>100.97590043913965</v>
      </c>
      <c r="H677">
        <f t="shared" ca="1" si="603"/>
        <v>102.46447419957202</v>
      </c>
      <c r="I677">
        <f t="shared" ca="1" si="603"/>
        <v>99.499068161515694</v>
      </c>
      <c r="J677">
        <f t="shared" ref="J677:P677" ca="1" si="628">I677*EXP(($C$6-0.5*$C$7^2)*$C$12+$C$7*SQRT($C$12)*NORMINV(RAND(),0,1))</f>
        <v>104.12651303731168</v>
      </c>
      <c r="K677">
        <f t="shared" ca="1" si="628"/>
        <v>106.56991767354944</v>
      </c>
      <c r="L677">
        <f t="shared" ca="1" si="628"/>
        <v>113.14648276553606</v>
      </c>
      <c r="M677">
        <f t="shared" ca="1" si="628"/>
        <v>109.98248041124788</v>
      </c>
      <c r="N677">
        <f t="shared" ca="1" si="628"/>
        <v>105.90017416186321</v>
      </c>
      <c r="O677">
        <f t="shared" ca="1" si="628"/>
        <v>104.59181058930596</v>
      </c>
      <c r="P677">
        <f t="shared" ca="1" si="628"/>
        <v>106.51232205025484</v>
      </c>
      <c r="Q677">
        <f t="shared" ca="1" si="604"/>
        <v>113.14648276553606</v>
      </c>
      <c r="R677">
        <f t="shared" ca="1" si="605"/>
        <v>0</v>
      </c>
      <c r="S677">
        <f t="shared" ca="1" si="606"/>
        <v>0</v>
      </c>
    </row>
    <row r="678" spans="5:19" x14ac:dyDescent="0.75">
      <c r="E678">
        <v>673</v>
      </c>
      <c r="F678">
        <f t="shared" si="602"/>
        <v>100</v>
      </c>
      <c r="G678">
        <f t="shared" ca="1" si="603"/>
        <v>100.46605983376304</v>
      </c>
      <c r="H678">
        <f t="shared" ca="1" si="603"/>
        <v>100.23302402475836</v>
      </c>
      <c r="I678">
        <f t="shared" ca="1" si="603"/>
        <v>98.048912589341867</v>
      </c>
      <c r="J678">
        <f t="shared" ref="J678:P678" ca="1" si="629">I678*EXP(($C$6-0.5*$C$7^2)*$C$12+$C$7*SQRT($C$12)*NORMINV(RAND(),0,1))</f>
        <v>98.241914081842936</v>
      </c>
      <c r="K678">
        <f t="shared" ca="1" si="629"/>
        <v>100.35103176513796</v>
      </c>
      <c r="L678">
        <f t="shared" ca="1" si="629"/>
        <v>99.651672372314735</v>
      </c>
      <c r="M678">
        <f t="shared" ca="1" si="629"/>
        <v>96.330425372536055</v>
      </c>
      <c r="N678">
        <f t="shared" ca="1" si="629"/>
        <v>96.636868355216635</v>
      </c>
      <c r="O678">
        <f t="shared" ca="1" si="629"/>
        <v>98.014958950570374</v>
      </c>
      <c r="P678">
        <f t="shared" ca="1" si="629"/>
        <v>110.5860530538515</v>
      </c>
      <c r="Q678">
        <f t="shared" ca="1" si="604"/>
        <v>110.5860530538515</v>
      </c>
      <c r="R678">
        <f t="shared" ca="1" si="605"/>
        <v>0</v>
      </c>
      <c r="S678">
        <f t="shared" ca="1" si="606"/>
        <v>0</v>
      </c>
    </row>
    <row r="679" spans="5:19" x14ac:dyDescent="0.75">
      <c r="E679">
        <v>674</v>
      </c>
      <c r="F679">
        <f t="shared" si="602"/>
        <v>100</v>
      </c>
      <c r="G679">
        <f t="shared" ca="1" si="603"/>
        <v>101.48037221360622</v>
      </c>
      <c r="H679">
        <f t="shared" ca="1" si="603"/>
        <v>98.153941102954605</v>
      </c>
      <c r="I679">
        <f t="shared" ca="1" si="603"/>
        <v>96.352414142570012</v>
      </c>
      <c r="J679">
        <f t="shared" ref="J679:P679" ca="1" si="630">I679*EXP(($C$6-0.5*$C$7^2)*$C$12+$C$7*SQRT($C$12)*NORMINV(RAND(),0,1))</f>
        <v>93.21824389782239</v>
      </c>
      <c r="K679">
        <f t="shared" ca="1" si="630"/>
        <v>98.029667973350087</v>
      </c>
      <c r="L679">
        <f t="shared" ca="1" si="630"/>
        <v>97.328618777487222</v>
      </c>
      <c r="M679">
        <f t="shared" ca="1" si="630"/>
        <v>95.84614606671299</v>
      </c>
      <c r="N679">
        <f t="shared" ca="1" si="630"/>
        <v>102.17738412594748</v>
      </c>
      <c r="O679">
        <f t="shared" ca="1" si="630"/>
        <v>97.938387966405045</v>
      </c>
      <c r="P679">
        <f t="shared" ca="1" si="630"/>
        <v>96.745532503236262</v>
      </c>
      <c r="Q679">
        <f t="shared" ca="1" si="604"/>
        <v>102.17738412594748</v>
      </c>
      <c r="R679">
        <f t="shared" ca="1" si="605"/>
        <v>0</v>
      </c>
      <c r="S679">
        <f t="shared" ca="1" si="606"/>
        <v>0</v>
      </c>
    </row>
    <row r="680" spans="5:19" x14ac:dyDescent="0.75">
      <c r="E680">
        <v>675</v>
      </c>
      <c r="F680">
        <f t="shared" si="602"/>
        <v>100</v>
      </c>
      <c r="G680">
        <f t="shared" ca="1" si="603"/>
        <v>96.510552821444435</v>
      </c>
      <c r="H680">
        <f t="shared" ca="1" si="603"/>
        <v>99.731523598220889</v>
      </c>
      <c r="I680">
        <f t="shared" ca="1" si="603"/>
        <v>100.2581077748097</v>
      </c>
      <c r="J680">
        <f t="shared" ref="J680:P680" ca="1" si="631">I680*EXP(($C$6-0.5*$C$7^2)*$C$12+$C$7*SQRT($C$12)*NORMINV(RAND(),0,1))</f>
        <v>101.70423925880301</v>
      </c>
      <c r="K680">
        <f t="shared" ca="1" si="631"/>
        <v>103.89645639801547</v>
      </c>
      <c r="L680">
        <f t="shared" ca="1" si="631"/>
        <v>103.75761662669909</v>
      </c>
      <c r="M680">
        <f t="shared" ca="1" si="631"/>
        <v>95.380619249837281</v>
      </c>
      <c r="N680">
        <f t="shared" ca="1" si="631"/>
        <v>91.618759633169873</v>
      </c>
      <c r="O680">
        <f t="shared" ca="1" si="631"/>
        <v>90.95026919979162</v>
      </c>
      <c r="P680">
        <f t="shared" ca="1" si="631"/>
        <v>88.433934878531431</v>
      </c>
      <c r="Q680">
        <f t="shared" ca="1" si="604"/>
        <v>103.89645639801547</v>
      </c>
      <c r="R680">
        <f t="shared" ca="1" si="605"/>
        <v>0</v>
      </c>
      <c r="S680">
        <f t="shared" ca="1" si="606"/>
        <v>0</v>
      </c>
    </row>
    <row r="681" spans="5:19" x14ac:dyDescent="0.75">
      <c r="E681">
        <v>676</v>
      </c>
      <c r="F681">
        <f t="shared" si="602"/>
        <v>100</v>
      </c>
      <c r="G681">
        <f t="shared" ca="1" si="603"/>
        <v>113.66449198886721</v>
      </c>
      <c r="H681">
        <f t="shared" ca="1" si="603"/>
        <v>113.58561494144659</v>
      </c>
      <c r="I681">
        <f t="shared" ca="1" si="603"/>
        <v>119.50472559394933</v>
      </c>
      <c r="J681">
        <f t="shared" ref="J681:P681" ca="1" si="632">I681*EXP(($C$6-0.5*$C$7^2)*$C$12+$C$7*SQRT($C$12)*NORMINV(RAND(),0,1))</f>
        <v>127.18958363348528</v>
      </c>
      <c r="K681">
        <f t="shared" ca="1" si="632"/>
        <v>132.1479274001118</v>
      </c>
      <c r="L681">
        <f t="shared" ca="1" si="632"/>
        <v>133.49748887888282</v>
      </c>
      <c r="M681">
        <f t="shared" ca="1" si="632"/>
        <v>129.73805872306508</v>
      </c>
      <c r="N681">
        <f t="shared" ca="1" si="632"/>
        <v>133.48440635772647</v>
      </c>
      <c r="O681">
        <f t="shared" ca="1" si="632"/>
        <v>131.1112605589428</v>
      </c>
      <c r="P681">
        <f t="shared" ca="1" si="632"/>
        <v>134.93907393209216</v>
      </c>
      <c r="Q681">
        <f t="shared" ca="1" si="604"/>
        <v>134.93907393209216</v>
      </c>
      <c r="R681">
        <f t="shared" ca="1" si="605"/>
        <v>0</v>
      </c>
      <c r="S681">
        <f t="shared" ca="1" si="606"/>
        <v>0</v>
      </c>
    </row>
    <row r="682" spans="5:19" x14ac:dyDescent="0.75">
      <c r="E682">
        <v>677</v>
      </c>
      <c r="F682">
        <f t="shared" si="602"/>
        <v>100</v>
      </c>
      <c r="G682">
        <f t="shared" ca="1" si="603"/>
        <v>101.07833963528014</v>
      </c>
      <c r="H682">
        <f t="shared" ca="1" si="603"/>
        <v>101.45936988628941</v>
      </c>
      <c r="I682">
        <f t="shared" ca="1" si="603"/>
        <v>105.68035887124762</v>
      </c>
      <c r="J682">
        <f t="shared" ref="J682:P682" ca="1" si="633">I682*EXP(($C$6-0.5*$C$7^2)*$C$12+$C$7*SQRT($C$12)*NORMINV(RAND(),0,1))</f>
        <v>101.08545545938206</v>
      </c>
      <c r="K682">
        <f t="shared" ca="1" si="633"/>
        <v>99.13672793193588</v>
      </c>
      <c r="L682">
        <f t="shared" ca="1" si="633"/>
        <v>105.58932285526868</v>
      </c>
      <c r="M682">
        <f t="shared" ca="1" si="633"/>
        <v>105.09220660870672</v>
      </c>
      <c r="N682">
        <f t="shared" ca="1" si="633"/>
        <v>109.91665632621309</v>
      </c>
      <c r="O682">
        <f t="shared" ca="1" si="633"/>
        <v>112.79692497679832</v>
      </c>
      <c r="P682">
        <f t="shared" ca="1" si="633"/>
        <v>117.99492023269354</v>
      </c>
      <c r="Q682">
        <f t="shared" ca="1" si="604"/>
        <v>117.99492023269354</v>
      </c>
      <c r="R682">
        <f t="shared" ca="1" si="605"/>
        <v>0</v>
      </c>
      <c r="S682">
        <f t="shared" ca="1" si="606"/>
        <v>0</v>
      </c>
    </row>
    <row r="683" spans="5:19" x14ac:dyDescent="0.75">
      <c r="E683">
        <v>678</v>
      </c>
      <c r="F683">
        <f t="shared" si="602"/>
        <v>100</v>
      </c>
      <c r="G683">
        <f t="shared" ca="1" si="603"/>
        <v>102.97887012965636</v>
      </c>
      <c r="H683">
        <f t="shared" ca="1" si="603"/>
        <v>102.53270667739184</v>
      </c>
      <c r="I683">
        <f t="shared" ca="1" si="603"/>
        <v>106.09299154388501</v>
      </c>
      <c r="J683">
        <f t="shared" ref="J683:P683" ca="1" si="634">I683*EXP(($C$6-0.5*$C$7^2)*$C$12+$C$7*SQRT($C$12)*NORMINV(RAND(),0,1))</f>
        <v>98.125449551387206</v>
      </c>
      <c r="K683">
        <f t="shared" ca="1" si="634"/>
        <v>97.445126538790277</v>
      </c>
      <c r="L683">
        <f t="shared" ca="1" si="634"/>
        <v>101.14203160469069</v>
      </c>
      <c r="M683">
        <f t="shared" ca="1" si="634"/>
        <v>98.24666494205276</v>
      </c>
      <c r="N683">
        <f t="shared" ca="1" si="634"/>
        <v>98.050342270387119</v>
      </c>
      <c r="O683">
        <f t="shared" ca="1" si="634"/>
        <v>104.71264315038918</v>
      </c>
      <c r="P683">
        <f t="shared" ca="1" si="634"/>
        <v>111.56957512129232</v>
      </c>
      <c r="Q683">
        <f t="shared" ca="1" si="604"/>
        <v>111.56957512129232</v>
      </c>
      <c r="R683">
        <f t="shared" ca="1" si="605"/>
        <v>0</v>
      </c>
      <c r="S683">
        <f t="shared" ca="1" si="606"/>
        <v>0</v>
      </c>
    </row>
    <row r="684" spans="5:19" x14ac:dyDescent="0.75">
      <c r="E684">
        <v>679</v>
      </c>
      <c r="F684">
        <f t="shared" si="602"/>
        <v>100</v>
      </c>
      <c r="G684">
        <f t="shared" ca="1" si="603"/>
        <v>105.48033091315511</v>
      </c>
      <c r="H684">
        <f t="shared" ca="1" si="603"/>
        <v>108.16723939437603</v>
      </c>
      <c r="I684">
        <f t="shared" ca="1" si="603"/>
        <v>112.59282991725364</v>
      </c>
      <c r="J684">
        <f t="shared" ref="J684:P684" ca="1" si="635">I684*EXP(($C$6-0.5*$C$7^2)*$C$12+$C$7*SQRT($C$12)*NORMINV(RAND(),0,1))</f>
        <v>109.77621087973093</v>
      </c>
      <c r="K684">
        <f t="shared" ca="1" si="635"/>
        <v>112.51576676215618</v>
      </c>
      <c r="L684">
        <f t="shared" ca="1" si="635"/>
        <v>123.87978457957195</v>
      </c>
      <c r="M684">
        <f t="shared" ca="1" si="635"/>
        <v>136.70676203561035</v>
      </c>
      <c r="N684">
        <f t="shared" ca="1" si="635"/>
        <v>138.5678384043299</v>
      </c>
      <c r="O684">
        <f t="shared" ca="1" si="635"/>
        <v>139.50489561605224</v>
      </c>
      <c r="P684">
        <f t="shared" ca="1" si="635"/>
        <v>151.13999562171091</v>
      </c>
      <c r="Q684">
        <f t="shared" ca="1" si="604"/>
        <v>151.13999562171091</v>
      </c>
      <c r="R684">
        <f t="shared" ca="1" si="605"/>
        <v>0</v>
      </c>
      <c r="S684">
        <f t="shared" ca="1" si="606"/>
        <v>0</v>
      </c>
    </row>
    <row r="685" spans="5:19" x14ac:dyDescent="0.75">
      <c r="E685">
        <v>680</v>
      </c>
      <c r="F685">
        <f t="shared" si="602"/>
        <v>100</v>
      </c>
      <c r="G685">
        <f t="shared" ca="1" si="603"/>
        <v>103.65172738698527</v>
      </c>
      <c r="H685">
        <f t="shared" ca="1" si="603"/>
        <v>103.71954666655445</v>
      </c>
      <c r="I685">
        <f t="shared" ca="1" si="603"/>
        <v>105.84668825959319</v>
      </c>
      <c r="J685">
        <f t="shared" ref="J685:P685" ca="1" si="636">I685*EXP(($C$6-0.5*$C$7^2)*$C$12+$C$7*SQRT($C$12)*NORMINV(RAND(),0,1))</f>
        <v>108.8079865837538</v>
      </c>
      <c r="K685">
        <f t="shared" ca="1" si="636"/>
        <v>110.18946483231477</v>
      </c>
      <c r="L685">
        <f t="shared" ca="1" si="636"/>
        <v>112.93876961569462</v>
      </c>
      <c r="M685">
        <f t="shared" ca="1" si="636"/>
        <v>106.02149523994109</v>
      </c>
      <c r="N685">
        <f t="shared" ca="1" si="636"/>
        <v>101.83717807581601</v>
      </c>
      <c r="O685">
        <f t="shared" ca="1" si="636"/>
        <v>110.59337005094602</v>
      </c>
      <c r="P685">
        <f t="shared" ca="1" si="636"/>
        <v>105.13774935632701</v>
      </c>
      <c r="Q685">
        <f t="shared" ca="1" si="604"/>
        <v>112.93876961569462</v>
      </c>
      <c r="R685">
        <f t="shared" ca="1" si="605"/>
        <v>0</v>
      </c>
      <c r="S685">
        <f t="shared" ca="1" si="606"/>
        <v>0</v>
      </c>
    </row>
    <row r="686" spans="5:19" x14ac:dyDescent="0.75">
      <c r="E686">
        <v>681</v>
      </c>
      <c r="F686">
        <f t="shared" si="602"/>
        <v>100</v>
      </c>
      <c r="G686">
        <f t="shared" ca="1" si="603"/>
        <v>96.43156116253985</v>
      </c>
      <c r="H686">
        <f t="shared" ca="1" si="603"/>
        <v>88.158554476333919</v>
      </c>
      <c r="I686">
        <f t="shared" ca="1" si="603"/>
        <v>90.052102009591692</v>
      </c>
      <c r="J686">
        <f t="shared" ref="J686:P686" ca="1" si="637">I686*EXP(($C$6-0.5*$C$7^2)*$C$12+$C$7*SQRT($C$12)*NORMINV(RAND(),0,1))</f>
        <v>92.601274446995745</v>
      </c>
      <c r="K686">
        <f t="shared" ca="1" si="637"/>
        <v>94.625094997526389</v>
      </c>
      <c r="L686">
        <f t="shared" ca="1" si="637"/>
        <v>91.660979918500402</v>
      </c>
      <c r="M686">
        <f t="shared" ca="1" si="637"/>
        <v>91.717059853507223</v>
      </c>
      <c r="N686">
        <f t="shared" ca="1" si="637"/>
        <v>98.11068130265609</v>
      </c>
      <c r="O686">
        <f t="shared" ca="1" si="637"/>
        <v>89.096844324593391</v>
      </c>
      <c r="P686">
        <f t="shared" ca="1" si="637"/>
        <v>92.147268168751438</v>
      </c>
      <c r="Q686">
        <f t="shared" ca="1" si="604"/>
        <v>98.11068130265609</v>
      </c>
      <c r="R686">
        <f t="shared" ca="1" si="605"/>
        <v>0</v>
      </c>
      <c r="S686">
        <f t="shared" ca="1" si="606"/>
        <v>0</v>
      </c>
    </row>
    <row r="687" spans="5:19" x14ac:dyDescent="0.75">
      <c r="E687">
        <v>682</v>
      </c>
      <c r="F687">
        <f t="shared" si="602"/>
        <v>100</v>
      </c>
      <c r="G687">
        <f t="shared" ca="1" si="603"/>
        <v>106.49594337698684</v>
      </c>
      <c r="H687">
        <f t="shared" ca="1" si="603"/>
        <v>110.14911035410312</v>
      </c>
      <c r="I687">
        <f t="shared" ca="1" si="603"/>
        <v>112.5264803214027</v>
      </c>
      <c r="J687">
        <f t="shared" ref="J687:P687" ca="1" si="638">I687*EXP(($C$6-0.5*$C$7^2)*$C$12+$C$7*SQRT($C$12)*NORMINV(RAND(),0,1))</f>
        <v>108.83140486172695</v>
      </c>
      <c r="K687">
        <f t="shared" ca="1" si="638"/>
        <v>105.31223651776511</v>
      </c>
      <c r="L687">
        <f t="shared" ca="1" si="638"/>
        <v>112.07547202454464</v>
      </c>
      <c r="M687">
        <f t="shared" ca="1" si="638"/>
        <v>108.54788718633552</v>
      </c>
      <c r="N687">
        <f t="shared" ca="1" si="638"/>
        <v>102.25953549075392</v>
      </c>
      <c r="O687">
        <f t="shared" ca="1" si="638"/>
        <v>98.363895474578555</v>
      </c>
      <c r="P687">
        <f t="shared" ca="1" si="638"/>
        <v>97.398868407943056</v>
      </c>
      <c r="Q687">
        <f t="shared" ca="1" si="604"/>
        <v>112.5264803214027</v>
      </c>
      <c r="R687">
        <f t="shared" ca="1" si="605"/>
        <v>0</v>
      </c>
      <c r="S687">
        <f t="shared" ca="1" si="606"/>
        <v>0</v>
      </c>
    </row>
    <row r="688" spans="5:19" x14ac:dyDescent="0.75">
      <c r="E688">
        <v>683</v>
      </c>
      <c r="F688">
        <f t="shared" si="602"/>
        <v>100</v>
      </c>
      <c r="G688">
        <f t="shared" ca="1" si="603"/>
        <v>97.495387314841238</v>
      </c>
      <c r="H688">
        <f t="shared" ca="1" si="603"/>
        <v>94.349905489821921</v>
      </c>
      <c r="I688">
        <f t="shared" ca="1" si="603"/>
        <v>100.32396072910427</v>
      </c>
      <c r="J688">
        <f t="shared" ref="J688:P688" ca="1" si="639">I688*EXP(($C$6-0.5*$C$7^2)*$C$12+$C$7*SQRT($C$12)*NORMINV(RAND(),0,1))</f>
        <v>103.84438617002255</v>
      </c>
      <c r="K688">
        <f t="shared" ca="1" si="639"/>
        <v>104.7826797731269</v>
      </c>
      <c r="L688">
        <f t="shared" ca="1" si="639"/>
        <v>101.36411657064683</v>
      </c>
      <c r="M688">
        <f t="shared" ca="1" si="639"/>
        <v>100.68159679275044</v>
      </c>
      <c r="N688">
        <f t="shared" ca="1" si="639"/>
        <v>105.4620247499851</v>
      </c>
      <c r="O688">
        <f t="shared" ca="1" si="639"/>
        <v>103.91879309444802</v>
      </c>
      <c r="P688">
        <f t="shared" ca="1" si="639"/>
        <v>103.86386391475622</v>
      </c>
      <c r="Q688">
        <f t="shared" ca="1" si="604"/>
        <v>105.4620247499851</v>
      </c>
      <c r="R688">
        <f t="shared" ca="1" si="605"/>
        <v>1.863863914756223</v>
      </c>
      <c r="S688">
        <f t="shared" ca="1" si="606"/>
        <v>1.8178449507336756</v>
      </c>
    </row>
    <row r="689" spans="5:19" x14ac:dyDescent="0.75">
      <c r="E689">
        <v>684</v>
      </c>
      <c r="F689">
        <f t="shared" si="602"/>
        <v>100</v>
      </c>
      <c r="G689">
        <f t="shared" ca="1" si="603"/>
        <v>101.95140356435439</v>
      </c>
      <c r="H689">
        <f t="shared" ca="1" si="603"/>
        <v>104.33230394994197</v>
      </c>
      <c r="I689">
        <f t="shared" ca="1" si="603"/>
        <v>106.7244004002448</v>
      </c>
      <c r="J689">
        <f t="shared" ref="J689:P689" ca="1" si="640">I689*EXP(($C$6-0.5*$C$7^2)*$C$12+$C$7*SQRT($C$12)*NORMINV(RAND(),0,1))</f>
        <v>103.4453887611663</v>
      </c>
      <c r="K689">
        <f t="shared" ca="1" si="640"/>
        <v>95.951589421393422</v>
      </c>
      <c r="L689">
        <f t="shared" ca="1" si="640"/>
        <v>96.395267182908825</v>
      </c>
      <c r="M689">
        <f t="shared" ca="1" si="640"/>
        <v>93.509510293855158</v>
      </c>
      <c r="N689">
        <f t="shared" ca="1" si="640"/>
        <v>96.663888370074801</v>
      </c>
      <c r="O689">
        <f t="shared" ca="1" si="640"/>
        <v>99.794809050781978</v>
      </c>
      <c r="P689">
        <f t="shared" ca="1" si="640"/>
        <v>102.37233599337887</v>
      </c>
      <c r="Q689">
        <f t="shared" ca="1" si="604"/>
        <v>106.7244004002448</v>
      </c>
      <c r="R689">
        <f t="shared" ca="1" si="605"/>
        <v>0.37233599337886858</v>
      </c>
      <c r="S689">
        <f t="shared" ca="1" si="606"/>
        <v>0.36314298494732616</v>
      </c>
    </row>
    <row r="690" spans="5:19" x14ac:dyDescent="0.75">
      <c r="E690">
        <v>685</v>
      </c>
      <c r="F690">
        <f t="shared" si="602"/>
        <v>100</v>
      </c>
      <c r="G690">
        <f t="shared" ca="1" si="603"/>
        <v>99.967545316631075</v>
      </c>
      <c r="H690">
        <f t="shared" ca="1" si="603"/>
        <v>103.19892850507145</v>
      </c>
      <c r="I690">
        <f t="shared" ca="1" si="603"/>
        <v>107.36968894297881</v>
      </c>
      <c r="J690">
        <f t="shared" ref="J690:P690" ca="1" si="641">I690*EXP(($C$6-0.5*$C$7^2)*$C$12+$C$7*SQRT($C$12)*NORMINV(RAND(),0,1))</f>
        <v>105.93953238844955</v>
      </c>
      <c r="K690">
        <f t="shared" ca="1" si="641"/>
        <v>111.50604661297744</v>
      </c>
      <c r="L690">
        <f t="shared" ca="1" si="641"/>
        <v>110.88316179214283</v>
      </c>
      <c r="M690">
        <f t="shared" ca="1" si="641"/>
        <v>103.43099782483314</v>
      </c>
      <c r="N690">
        <f t="shared" ca="1" si="641"/>
        <v>109.96557453953461</v>
      </c>
      <c r="O690">
        <f t="shared" ca="1" si="641"/>
        <v>109.72393594634498</v>
      </c>
      <c r="P690">
        <f t="shared" ca="1" si="641"/>
        <v>110.85033267085754</v>
      </c>
      <c r="Q690">
        <f t="shared" ca="1" si="604"/>
        <v>111.50604661297744</v>
      </c>
      <c r="R690">
        <f t="shared" ca="1" si="605"/>
        <v>0</v>
      </c>
      <c r="S690">
        <f t="shared" ca="1" si="606"/>
        <v>0</v>
      </c>
    </row>
    <row r="691" spans="5:19" x14ac:dyDescent="0.75">
      <c r="E691">
        <v>686</v>
      </c>
      <c r="F691">
        <f t="shared" si="602"/>
        <v>100</v>
      </c>
      <c r="G691">
        <f t="shared" ca="1" si="603"/>
        <v>97.32948517850204</v>
      </c>
      <c r="H691">
        <f t="shared" ca="1" si="603"/>
        <v>94.936138383279342</v>
      </c>
      <c r="I691">
        <f t="shared" ca="1" si="603"/>
        <v>96.881631180155949</v>
      </c>
      <c r="J691">
        <f t="shared" ref="J691:P691" ca="1" si="642">I691*EXP(($C$6-0.5*$C$7^2)*$C$12+$C$7*SQRT($C$12)*NORMINV(RAND(),0,1))</f>
        <v>101.52815921184509</v>
      </c>
      <c r="K691">
        <f t="shared" ca="1" si="642"/>
        <v>99.341242929140023</v>
      </c>
      <c r="L691">
        <f t="shared" ca="1" si="642"/>
        <v>94.78464491921909</v>
      </c>
      <c r="M691">
        <f t="shared" ca="1" si="642"/>
        <v>96.63467099901149</v>
      </c>
      <c r="N691">
        <f t="shared" ca="1" si="642"/>
        <v>100.9711412514323</v>
      </c>
      <c r="O691">
        <f t="shared" ca="1" si="642"/>
        <v>104.70493438301057</v>
      </c>
      <c r="P691">
        <f t="shared" ca="1" si="642"/>
        <v>104.17283609250647</v>
      </c>
      <c r="Q691">
        <f t="shared" ca="1" si="604"/>
        <v>104.70493438301057</v>
      </c>
      <c r="R691">
        <f t="shared" ca="1" si="605"/>
        <v>2.172836092506472</v>
      </c>
      <c r="S691">
        <f t="shared" ca="1" si="606"/>
        <v>2.119188578234473</v>
      </c>
    </row>
    <row r="692" spans="5:19" x14ac:dyDescent="0.75">
      <c r="E692">
        <v>687</v>
      </c>
      <c r="F692">
        <f t="shared" si="602"/>
        <v>100</v>
      </c>
      <c r="G692">
        <f t="shared" ca="1" si="603"/>
        <v>101.08196918434753</v>
      </c>
      <c r="H692">
        <f t="shared" ca="1" si="603"/>
        <v>103.32727607610687</v>
      </c>
      <c r="I692">
        <f t="shared" ca="1" si="603"/>
        <v>106.53488343581702</v>
      </c>
      <c r="J692">
        <f t="shared" ref="J692:P692" ca="1" si="643">I692*EXP(($C$6-0.5*$C$7^2)*$C$12+$C$7*SQRT($C$12)*NORMINV(RAND(),0,1))</f>
        <v>100.32830888048859</v>
      </c>
      <c r="K692">
        <f t="shared" ca="1" si="643"/>
        <v>95.378782014508644</v>
      </c>
      <c r="L692">
        <f t="shared" ca="1" si="643"/>
        <v>93.961275662114701</v>
      </c>
      <c r="M692">
        <f t="shared" ca="1" si="643"/>
        <v>94.91378119782776</v>
      </c>
      <c r="N692">
        <f t="shared" ca="1" si="643"/>
        <v>96.731165339534172</v>
      </c>
      <c r="O692">
        <f t="shared" ca="1" si="643"/>
        <v>94.59946665700015</v>
      </c>
      <c r="P692">
        <f t="shared" ca="1" si="643"/>
        <v>92.884362577013263</v>
      </c>
      <c r="Q692">
        <f t="shared" ca="1" si="604"/>
        <v>106.53488343581702</v>
      </c>
      <c r="R692">
        <f t="shared" ca="1" si="605"/>
        <v>0</v>
      </c>
      <c r="S692">
        <f t="shared" ca="1" si="606"/>
        <v>0</v>
      </c>
    </row>
    <row r="693" spans="5:19" x14ac:dyDescent="0.75">
      <c r="E693">
        <v>688</v>
      </c>
      <c r="F693">
        <f t="shared" si="602"/>
        <v>100</v>
      </c>
      <c r="G693">
        <f t="shared" ca="1" si="603"/>
        <v>101.98998700213065</v>
      </c>
      <c r="H693">
        <f t="shared" ca="1" si="603"/>
        <v>101.10428372952974</v>
      </c>
      <c r="I693">
        <f t="shared" ca="1" si="603"/>
        <v>105.52472727467365</v>
      </c>
      <c r="J693">
        <f t="shared" ref="J693:P693" ca="1" si="644">I693*EXP(($C$6-0.5*$C$7^2)*$C$12+$C$7*SQRT($C$12)*NORMINV(RAND(),0,1))</f>
        <v>105.59443322608435</v>
      </c>
      <c r="K693">
        <f t="shared" ca="1" si="644"/>
        <v>104.55105999758484</v>
      </c>
      <c r="L693">
        <f t="shared" ca="1" si="644"/>
        <v>104.58338617450092</v>
      </c>
      <c r="M693">
        <f t="shared" ca="1" si="644"/>
        <v>105.291902772367</v>
      </c>
      <c r="N693">
        <f t="shared" ca="1" si="644"/>
        <v>104.75841576702828</v>
      </c>
      <c r="O693">
        <f t="shared" ca="1" si="644"/>
        <v>99.347323384934143</v>
      </c>
      <c r="P693">
        <f t="shared" ca="1" si="644"/>
        <v>94.486472211573258</v>
      </c>
      <c r="Q693">
        <f t="shared" ca="1" si="604"/>
        <v>105.59443322608435</v>
      </c>
      <c r="R693">
        <f t="shared" ca="1" si="605"/>
        <v>0</v>
      </c>
      <c r="S693">
        <f t="shared" ca="1" si="606"/>
        <v>0</v>
      </c>
    </row>
    <row r="694" spans="5:19" x14ac:dyDescent="0.75">
      <c r="E694">
        <v>689</v>
      </c>
      <c r="F694">
        <f t="shared" si="602"/>
        <v>100</v>
      </c>
      <c r="G694">
        <f t="shared" ca="1" si="603"/>
        <v>93.901485975576534</v>
      </c>
      <c r="H694">
        <f t="shared" ca="1" si="603"/>
        <v>93.894189158117811</v>
      </c>
      <c r="I694">
        <f t="shared" ca="1" si="603"/>
        <v>95.482533804986161</v>
      </c>
      <c r="J694">
        <f t="shared" ref="J694:P694" ca="1" si="645">I694*EXP(($C$6-0.5*$C$7^2)*$C$12+$C$7*SQRT($C$12)*NORMINV(RAND(),0,1))</f>
        <v>98.684854133001537</v>
      </c>
      <c r="K694">
        <f t="shared" ca="1" si="645"/>
        <v>92.777777370956002</v>
      </c>
      <c r="L694">
        <f t="shared" ca="1" si="645"/>
        <v>85.863334556385809</v>
      </c>
      <c r="M694">
        <f t="shared" ca="1" si="645"/>
        <v>84.772183086022935</v>
      </c>
      <c r="N694">
        <f t="shared" ca="1" si="645"/>
        <v>85.500919553517733</v>
      </c>
      <c r="O694">
        <f t="shared" ca="1" si="645"/>
        <v>82.40718454659492</v>
      </c>
      <c r="P694">
        <f t="shared" ca="1" si="645"/>
        <v>80.261401569174225</v>
      </c>
      <c r="Q694">
        <f t="shared" ca="1" si="604"/>
        <v>98.684854133001537</v>
      </c>
      <c r="R694">
        <f t="shared" ca="1" si="605"/>
        <v>0</v>
      </c>
      <c r="S694">
        <f t="shared" ca="1" si="606"/>
        <v>0</v>
      </c>
    </row>
    <row r="695" spans="5:19" x14ac:dyDescent="0.75">
      <c r="E695">
        <v>690</v>
      </c>
      <c r="F695">
        <f t="shared" si="602"/>
        <v>100</v>
      </c>
      <c r="G695">
        <f t="shared" ca="1" si="603"/>
        <v>96.75054390999361</v>
      </c>
      <c r="H695">
        <f t="shared" ca="1" si="603"/>
        <v>96.024491119701295</v>
      </c>
      <c r="I695">
        <f t="shared" ca="1" si="603"/>
        <v>94.870397243049084</v>
      </c>
      <c r="J695">
        <f t="shared" ref="J695:P695" ca="1" si="646">I695*EXP(($C$6-0.5*$C$7^2)*$C$12+$C$7*SQRT($C$12)*NORMINV(RAND(),0,1))</f>
        <v>92.798019229408368</v>
      </c>
      <c r="K695">
        <f t="shared" ca="1" si="646"/>
        <v>94.418577106697484</v>
      </c>
      <c r="L695">
        <f t="shared" ca="1" si="646"/>
        <v>99.219969050938218</v>
      </c>
      <c r="M695">
        <f t="shared" ca="1" si="646"/>
        <v>99.637796272130899</v>
      </c>
      <c r="N695">
        <f t="shared" ca="1" si="646"/>
        <v>112.43580539214044</v>
      </c>
      <c r="O695">
        <f t="shared" ca="1" si="646"/>
        <v>114.5014217114733</v>
      </c>
      <c r="P695">
        <f t="shared" ca="1" si="646"/>
        <v>115.66995943191395</v>
      </c>
      <c r="Q695">
        <f t="shared" ca="1" si="604"/>
        <v>115.66995943191395</v>
      </c>
      <c r="R695">
        <f t="shared" ca="1" si="605"/>
        <v>0</v>
      </c>
      <c r="S695">
        <f t="shared" ca="1" si="606"/>
        <v>0</v>
      </c>
    </row>
    <row r="696" spans="5:19" x14ac:dyDescent="0.75">
      <c r="E696">
        <v>691</v>
      </c>
      <c r="F696">
        <f t="shared" si="602"/>
        <v>100</v>
      </c>
      <c r="G696">
        <f t="shared" ca="1" si="603"/>
        <v>102.24560816332047</v>
      </c>
      <c r="H696">
        <f t="shared" ca="1" si="603"/>
        <v>99.200268300637944</v>
      </c>
      <c r="I696">
        <f t="shared" ca="1" si="603"/>
        <v>101.20985393321376</v>
      </c>
      <c r="J696">
        <f t="shared" ref="J696:P696" ca="1" si="647">I696*EXP(($C$6-0.5*$C$7^2)*$C$12+$C$7*SQRT($C$12)*NORMINV(RAND(),0,1))</f>
        <v>97.813930208056078</v>
      </c>
      <c r="K696">
        <f t="shared" ca="1" si="647"/>
        <v>93.78706795474092</v>
      </c>
      <c r="L696">
        <f t="shared" ca="1" si="647"/>
        <v>97.643549001278842</v>
      </c>
      <c r="M696">
        <f t="shared" ca="1" si="647"/>
        <v>101.38322830106588</v>
      </c>
      <c r="N696">
        <f t="shared" ca="1" si="647"/>
        <v>102.03452230157771</v>
      </c>
      <c r="O696">
        <f t="shared" ca="1" si="647"/>
        <v>101.76873904052445</v>
      </c>
      <c r="P696">
        <f t="shared" ca="1" si="647"/>
        <v>100.01391607669862</v>
      </c>
      <c r="Q696">
        <f t="shared" ca="1" si="604"/>
        <v>102.24560816332047</v>
      </c>
      <c r="R696">
        <f t="shared" ca="1" si="605"/>
        <v>0</v>
      </c>
      <c r="S696">
        <f t="shared" ca="1" si="606"/>
        <v>0</v>
      </c>
    </row>
    <row r="697" spans="5:19" x14ac:dyDescent="0.75">
      <c r="E697">
        <v>692</v>
      </c>
      <c r="F697">
        <f t="shared" si="602"/>
        <v>100</v>
      </c>
      <c r="G697">
        <f t="shared" ca="1" si="603"/>
        <v>97.869866245594011</v>
      </c>
      <c r="H697">
        <f t="shared" ca="1" si="603"/>
        <v>96.378562338380959</v>
      </c>
      <c r="I697">
        <f t="shared" ca="1" si="603"/>
        <v>97.756727648955589</v>
      </c>
      <c r="J697">
        <f t="shared" ref="J697:P697" ca="1" si="648">I697*EXP(($C$6-0.5*$C$7^2)*$C$12+$C$7*SQRT($C$12)*NORMINV(RAND(),0,1))</f>
        <v>94.730731907751945</v>
      </c>
      <c r="K697">
        <f t="shared" ca="1" si="648"/>
        <v>92.304189131892002</v>
      </c>
      <c r="L697">
        <f t="shared" ca="1" si="648"/>
        <v>101.09099229922191</v>
      </c>
      <c r="M697">
        <f t="shared" ca="1" si="648"/>
        <v>106.90614103956702</v>
      </c>
      <c r="N697">
        <f t="shared" ca="1" si="648"/>
        <v>91.1062384692531</v>
      </c>
      <c r="O697">
        <f t="shared" ca="1" si="648"/>
        <v>86.451882715685457</v>
      </c>
      <c r="P697">
        <f t="shared" ca="1" si="648"/>
        <v>85.126227072844472</v>
      </c>
      <c r="Q697">
        <f t="shared" ca="1" si="604"/>
        <v>106.90614103956702</v>
      </c>
      <c r="R697">
        <f t="shared" ca="1" si="605"/>
        <v>0</v>
      </c>
      <c r="S697">
        <f t="shared" ca="1" si="606"/>
        <v>0</v>
      </c>
    </row>
    <row r="698" spans="5:19" x14ac:dyDescent="0.75">
      <c r="E698">
        <v>693</v>
      </c>
      <c r="F698">
        <f t="shared" si="602"/>
        <v>100</v>
      </c>
      <c r="G698">
        <f t="shared" ca="1" si="603"/>
        <v>100.12841508400068</v>
      </c>
      <c r="H698">
        <f t="shared" ca="1" si="603"/>
        <v>95.440630079507969</v>
      </c>
      <c r="I698">
        <f t="shared" ca="1" si="603"/>
        <v>95.981383733954118</v>
      </c>
      <c r="J698">
        <f t="shared" ref="J698:P698" ca="1" si="649">I698*EXP(($C$6-0.5*$C$7^2)*$C$12+$C$7*SQRT($C$12)*NORMINV(RAND(),0,1))</f>
        <v>99.856548489608343</v>
      </c>
      <c r="K698">
        <f t="shared" ca="1" si="649"/>
        <v>100.74277979869768</v>
      </c>
      <c r="L698">
        <f t="shared" ca="1" si="649"/>
        <v>103.03738771432818</v>
      </c>
      <c r="M698">
        <f t="shared" ca="1" si="649"/>
        <v>99.375595921492021</v>
      </c>
      <c r="N698">
        <f t="shared" ca="1" si="649"/>
        <v>101.09844551608275</v>
      </c>
      <c r="O698">
        <f t="shared" ca="1" si="649"/>
        <v>105.18889185200412</v>
      </c>
      <c r="P698">
        <f t="shared" ca="1" si="649"/>
        <v>100.56905217818705</v>
      </c>
      <c r="Q698">
        <f t="shared" ca="1" si="604"/>
        <v>105.18889185200412</v>
      </c>
      <c r="R698">
        <f t="shared" ca="1" si="605"/>
        <v>0</v>
      </c>
      <c r="S698">
        <f t="shared" ca="1" si="606"/>
        <v>0</v>
      </c>
    </row>
    <row r="699" spans="5:19" x14ac:dyDescent="0.75">
      <c r="E699">
        <v>694</v>
      </c>
      <c r="F699">
        <f t="shared" si="602"/>
        <v>100</v>
      </c>
      <c r="G699">
        <f t="shared" ca="1" si="603"/>
        <v>108.82010250051792</v>
      </c>
      <c r="H699">
        <f t="shared" ca="1" si="603"/>
        <v>109.37321930462701</v>
      </c>
      <c r="I699">
        <f t="shared" ca="1" si="603"/>
        <v>103.15805563740807</v>
      </c>
      <c r="J699">
        <f t="shared" ref="J699:P699" ca="1" si="650">I699*EXP(($C$6-0.5*$C$7^2)*$C$12+$C$7*SQRT($C$12)*NORMINV(RAND(),0,1))</f>
        <v>102.34002933307848</v>
      </c>
      <c r="K699">
        <f t="shared" ca="1" si="650"/>
        <v>110.30983367274747</v>
      </c>
      <c r="L699">
        <f t="shared" ca="1" si="650"/>
        <v>105.25028215644647</v>
      </c>
      <c r="M699">
        <f t="shared" ca="1" si="650"/>
        <v>106.63613880645714</v>
      </c>
      <c r="N699">
        <f t="shared" ca="1" si="650"/>
        <v>111.19809654548604</v>
      </c>
      <c r="O699">
        <f t="shared" ca="1" si="650"/>
        <v>107.84945954551668</v>
      </c>
      <c r="P699">
        <f t="shared" ca="1" si="650"/>
        <v>108.00180461822016</v>
      </c>
      <c r="Q699">
        <f t="shared" ca="1" si="604"/>
        <v>111.19809654548604</v>
      </c>
      <c r="R699">
        <f t="shared" ca="1" si="605"/>
        <v>0</v>
      </c>
      <c r="S699">
        <f t="shared" ca="1" si="606"/>
        <v>0</v>
      </c>
    </row>
    <row r="700" spans="5:19" x14ac:dyDescent="0.75">
      <c r="E700">
        <v>695</v>
      </c>
      <c r="F700">
        <f t="shared" si="602"/>
        <v>100</v>
      </c>
      <c r="G700">
        <f t="shared" ca="1" si="603"/>
        <v>99.570469828281048</v>
      </c>
      <c r="H700">
        <f t="shared" ca="1" si="603"/>
        <v>102.42515974926333</v>
      </c>
      <c r="I700">
        <f t="shared" ca="1" si="603"/>
        <v>104.35980859394144</v>
      </c>
      <c r="J700">
        <f t="shared" ref="J700:P700" ca="1" si="651">I700*EXP(($C$6-0.5*$C$7^2)*$C$12+$C$7*SQRT($C$12)*NORMINV(RAND(),0,1))</f>
        <v>110.61543615421756</v>
      </c>
      <c r="K700">
        <f t="shared" ca="1" si="651"/>
        <v>110.47956807053524</v>
      </c>
      <c r="L700">
        <f t="shared" ca="1" si="651"/>
        <v>119.10123030178872</v>
      </c>
      <c r="M700">
        <f t="shared" ca="1" si="651"/>
        <v>113.44266574053685</v>
      </c>
      <c r="N700">
        <f t="shared" ca="1" si="651"/>
        <v>116.96748899853691</v>
      </c>
      <c r="O700">
        <f t="shared" ca="1" si="651"/>
        <v>110.52887709084911</v>
      </c>
      <c r="P700">
        <f t="shared" ca="1" si="651"/>
        <v>108.12262817935465</v>
      </c>
      <c r="Q700">
        <f t="shared" ca="1" si="604"/>
        <v>119.10123030178872</v>
      </c>
      <c r="R700">
        <f t="shared" ca="1" si="605"/>
        <v>0</v>
      </c>
      <c r="S700">
        <f t="shared" ca="1" si="606"/>
        <v>0</v>
      </c>
    </row>
    <row r="701" spans="5:19" x14ac:dyDescent="0.75">
      <c r="E701">
        <v>696</v>
      </c>
      <c r="F701">
        <f t="shared" si="602"/>
        <v>100</v>
      </c>
      <c r="G701">
        <f t="shared" ca="1" si="603"/>
        <v>104.95858679035889</v>
      </c>
      <c r="H701">
        <f t="shared" ca="1" si="603"/>
        <v>103.96632401096485</v>
      </c>
      <c r="I701">
        <f t="shared" ca="1" si="603"/>
        <v>102.44467904337442</v>
      </c>
      <c r="J701">
        <f t="shared" ref="J701:P701" ca="1" si="652">I701*EXP(($C$6-0.5*$C$7^2)*$C$12+$C$7*SQRT($C$12)*NORMINV(RAND(),0,1))</f>
        <v>98.667083675579534</v>
      </c>
      <c r="K701">
        <f t="shared" ca="1" si="652"/>
        <v>90.91417772010945</v>
      </c>
      <c r="L701">
        <f t="shared" ca="1" si="652"/>
        <v>95.970017560783873</v>
      </c>
      <c r="M701">
        <f t="shared" ca="1" si="652"/>
        <v>103.9597106058053</v>
      </c>
      <c r="N701">
        <f t="shared" ca="1" si="652"/>
        <v>103.15139849895887</v>
      </c>
      <c r="O701">
        <f t="shared" ca="1" si="652"/>
        <v>98.676481646182779</v>
      </c>
      <c r="P701">
        <f t="shared" ca="1" si="652"/>
        <v>97.979974515613975</v>
      </c>
      <c r="Q701">
        <f t="shared" ca="1" si="604"/>
        <v>104.95858679035889</v>
      </c>
      <c r="R701">
        <f t="shared" ca="1" si="605"/>
        <v>0</v>
      </c>
      <c r="S701">
        <f t="shared" ca="1" si="606"/>
        <v>0</v>
      </c>
    </row>
    <row r="702" spans="5:19" x14ac:dyDescent="0.75">
      <c r="E702">
        <v>697</v>
      </c>
      <c r="F702">
        <f t="shared" si="602"/>
        <v>100</v>
      </c>
      <c r="G702">
        <f t="shared" ca="1" si="603"/>
        <v>95.537921419528047</v>
      </c>
      <c r="H702">
        <f t="shared" ca="1" si="603"/>
        <v>103.06958028188053</v>
      </c>
      <c r="I702">
        <f t="shared" ca="1" si="603"/>
        <v>100.74061261325068</v>
      </c>
      <c r="J702">
        <f t="shared" ref="J702:P702" ca="1" si="653">I702*EXP(($C$6-0.5*$C$7^2)*$C$12+$C$7*SQRT($C$12)*NORMINV(RAND(),0,1))</f>
        <v>105.63586292225058</v>
      </c>
      <c r="K702">
        <f t="shared" ca="1" si="653"/>
        <v>102.46280821090573</v>
      </c>
      <c r="L702">
        <f t="shared" ca="1" si="653"/>
        <v>93.631370235321043</v>
      </c>
      <c r="M702">
        <f t="shared" ca="1" si="653"/>
        <v>89.905949541875202</v>
      </c>
      <c r="N702">
        <f t="shared" ca="1" si="653"/>
        <v>86.998014010120215</v>
      </c>
      <c r="O702">
        <f t="shared" ca="1" si="653"/>
        <v>82.149395944882542</v>
      </c>
      <c r="P702">
        <f t="shared" ca="1" si="653"/>
        <v>72.958151350447253</v>
      </c>
      <c r="Q702">
        <f t="shared" ca="1" si="604"/>
        <v>105.63586292225058</v>
      </c>
      <c r="R702">
        <f t="shared" ca="1" si="605"/>
        <v>0</v>
      </c>
      <c r="S702">
        <f t="shared" ca="1" si="606"/>
        <v>0</v>
      </c>
    </row>
    <row r="703" spans="5:19" x14ac:dyDescent="0.75">
      <c r="E703">
        <v>698</v>
      </c>
      <c r="F703">
        <f t="shared" si="602"/>
        <v>100</v>
      </c>
      <c r="G703">
        <f t="shared" ca="1" si="603"/>
        <v>103.80277318762626</v>
      </c>
      <c r="H703">
        <f t="shared" ca="1" si="603"/>
        <v>103.79339919560364</v>
      </c>
      <c r="I703">
        <f t="shared" ca="1" si="603"/>
        <v>104.5352297118604</v>
      </c>
      <c r="J703">
        <f t="shared" ref="J703:P703" ca="1" si="654">I703*EXP(($C$6-0.5*$C$7^2)*$C$12+$C$7*SQRT($C$12)*NORMINV(RAND(),0,1))</f>
        <v>104.74063400295709</v>
      </c>
      <c r="K703">
        <f t="shared" ca="1" si="654"/>
        <v>108.39429183557806</v>
      </c>
      <c r="L703">
        <f t="shared" ca="1" si="654"/>
        <v>108.83832104491832</v>
      </c>
      <c r="M703">
        <f t="shared" ca="1" si="654"/>
        <v>120.01681691376801</v>
      </c>
      <c r="N703">
        <f t="shared" ca="1" si="654"/>
        <v>119.04012051431599</v>
      </c>
      <c r="O703">
        <f t="shared" ca="1" si="654"/>
        <v>122.34939705868662</v>
      </c>
      <c r="P703">
        <f t="shared" ca="1" si="654"/>
        <v>129.74454405420946</v>
      </c>
      <c r="Q703">
        <f t="shared" ca="1" si="604"/>
        <v>129.74454405420946</v>
      </c>
      <c r="R703">
        <f t="shared" ca="1" si="605"/>
        <v>0</v>
      </c>
      <c r="S703">
        <f t="shared" ca="1" si="606"/>
        <v>0</v>
      </c>
    </row>
    <row r="704" spans="5:19" x14ac:dyDescent="0.75">
      <c r="E704">
        <v>699</v>
      </c>
      <c r="F704">
        <f t="shared" si="602"/>
        <v>100</v>
      </c>
      <c r="G704">
        <f t="shared" ca="1" si="603"/>
        <v>101.68902239163553</v>
      </c>
      <c r="H704">
        <f t="shared" ca="1" si="603"/>
        <v>94.394085346040541</v>
      </c>
      <c r="I704">
        <f t="shared" ca="1" si="603"/>
        <v>97.316121659821945</v>
      </c>
      <c r="J704">
        <f t="shared" ref="J704:P704" ca="1" si="655">I704*EXP(($C$6-0.5*$C$7^2)*$C$12+$C$7*SQRT($C$12)*NORMINV(RAND(),0,1))</f>
        <v>101.79756224831033</v>
      </c>
      <c r="K704">
        <f t="shared" ca="1" si="655"/>
        <v>104.06147251118777</v>
      </c>
      <c r="L704">
        <f t="shared" ca="1" si="655"/>
        <v>113.44104378902743</v>
      </c>
      <c r="M704">
        <f t="shared" ca="1" si="655"/>
        <v>111.24243583208846</v>
      </c>
      <c r="N704">
        <f t="shared" ca="1" si="655"/>
        <v>107.12126430957964</v>
      </c>
      <c r="O704">
        <f t="shared" ca="1" si="655"/>
        <v>103.32539911971195</v>
      </c>
      <c r="P704">
        <f t="shared" ca="1" si="655"/>
        <v>107.24551403843117</v>
      </c>
      <c r="Q704">
        <f t="shared" ca="1" si="604"/>
        <v>113.44104378902743</v>
      </c>
      <c r="R704">
        <f t="shared" ca="1" si="605"/>
        <v>0</v>
      </c>
      <c r="S704">
        <f t="shared" ca="1" si="606"/>
        <v>0</v>
      </c>
    </row>
    <row r="705" spans="5:19" x14ac:dyDescent="0.75">
      <c r="E705">
        <v>700</v>
      </c>
      <c r="F705">
        <f t="shared" si="602"/>
        <v>100</v>
      </c>
      <c r="G705">
        <f t="shared" ca="1" si="603"/>
        <v>92.639581369508775</v>
      </c>
      <c r="H705">
        <f t="shared" ca="1" si="603"/>
        <v>86.308537196940335</v>
      </c>
      <c r="I705">
        <f t="shared" ca="1" si="603"/>
        <v>88.533227149900071</v>
      </c>
      <c r="J705">
        <f t="shared" ref="J705:P705" ca="1" si="656">I705*EXP(($C$6-0.5*$C$7^2)*$C$12+$C$7*SQRT($C$12)*NORMINV(RAND(),0,1))</f>
        <v>85.350939934102342</v>
      </c>
      <c r="K705">
        <f t="shared" ca="1" si="656"/>
        <v>78.213453500753431</v>
      </c>
      <c r="L705">
        <f t="shared" ca="1" si="656"/>
        <v>78.191909268801751</v>
      </c>
      <c r="M705">
        <f t="shared" ca="1" si="656"/>
        <v>76.802644644627179</v>
      </c>
      <c r="N705">
        <f t="shared" ca="1" si="656"/>
        <v>74.834593248741854</v>
      </c>
      <c r="O705">
        <f t="shared" ca="1" si="656"/>
        <v>75.686184268433806</v>
      </c>
      <c r="P705">
        <f t="shared" ca="1" si="656"/>
        <v>75.701376689235019</v>
      </c>
      <c r="Q705">
        <f t="shared" ca="1" si="604"/>
        <v>92.639581369508775</v>
      </c>
      <c r="R705">
        <f t="shared" ca="1" si="605"/>
        <v>0</v>
      </c>
      <c r="S705">
        <f t="shared" ca="1" si="606"/>
        <v>0</v>
      </c>
    </row>
    <row r="706" spans="5:19" x14ac:dyDescent="0.75">
      <c r="E706">
        <v>701</v>
      </c>
      <c r="F706">
        <f t="shared" si="602"/>
        <v>100</v>
      </c>
      <c r="G706">
        <f t="shared" ca="1" si="603"/>
        <v>96.866787556558265</v>
      </c>
      <c r="H706">
        <f t="shared" ca="1" si="603"/>
        <v>94.393790060612275</v>
      </c>
      <c r="I706">
        <f t="shared" ca="1" si="603"/>
        <v>90.320453153081573</v>
      </c>
      <c r="J706">
        <f t="shared" ref="J706:P706" ca="1" si="657">I706*EXP(($C$6-0.5*$C$7^2)*$C$12+$C$7*SQRT($C$12)*NORMINV(RAND(),0,1))</f>
        <v>89.937437476466158</v>
      </c>
      <c r="K706">
        <f t="shared" ca="1" si="657"/>
        <v>94.907258339258206</v>
      </c>
      <c r="L706">
        <f t="shared" ca="1" si="657"/>
        <v>101.42967116847861</v>
      </c>
      <c r="M706">
        <f t="shared" ca="1" si="657"/>
        <v>109.02078208794656</v>
      </c>
      <c r="N706">
        <f t="shared" ca="1" si="657"/>
        <v>107.33731403340605</v>
      </c>
      <c r="O706">
        <f t="shared" ca="1" si="657"/>
        <v>103.4178969979223</v>
      </c>
      <c r="P706">
        <f t="shared" ca="1" si="657"/>
        <v>110.65005576790885</v>
      </c>
      <c r="Q706">
        <f t="shared" ca="1" si="604"/>
        <v>110.65005576790885</v>
      </c>
      <c r="R706">
        <f t="shared" ca="1" si="605"/>
        <v>0</v>
      </c>
      <c r="S706">
        <f t="shared" ca="1" si="606"/>
        <v>0</v>
      </c>
    </row>
    <row r="707" spans="5:19" x14ac:dyDescent="0.75">
      <c r="E707">
        <v>702</v>
      </c>
      <c r="F707">
        <f t="shared" si="602"/>
        <v>100</v>
      </c>
      <c r="G707">
        <f t="shared" ca="1" si="603"/>
        <v>90.402502389778874</v>
      </c>
      <c r="H707">
        <f t="shared" ca="1" si="603"/>
        <v>88.673086188992102</v>
      </c>
      <c r="I707">
        <f t="shared" ca="1" si="603"/>
        <v>88.828694404577277</v>
      </c>
      <c r="J707">
        <f t="shared" ref="J707:P707" ca="1" si="658">I707*EXP(($C$6-0.5*$C$7^2)*$C$12+$C$7*SQRT($C$12)*NORMINV(RAND(),0,1))</f>
        <v>90.60983270456623</v>
      </c>
      <c r="K707">
        <f t="shared" ca="1" si="658"/>
        <v>93.734530333860789</v>
      </c>
      <c r="L707">
        <f t="shared" ca="1" si="658"/>
        <v>93.198848629935554</v>
      </c>
      <c r="M707">
        <f t="shared" ca="1" si="658"/>
        <v>95.028404833206153</v>
      </c>
      <c r="N707">
        <f t="shared" ca="1" si="658"/>
        <v>91.92521938961049</v>
      </c>
      <c r="O707">
        <f t="shared" ca="1" si="658"/>
        <v>99.094153580004075</v>
      </c>
      <c r="P707">
        <f t="shared" ca="1" si="658"/>
        <v>101.03887705476926</v>
      </c>
      <c r="Q707">
        <f t="shared" ca="1" si="604"/>
        <v>101.03887705476926</v>
      </c>
      <c r="R707">
        <f t="shared" ca="1" si="605"/>
        <v>0</v>
      </c>
      <c r="S707">
        <f t="shared" ca="1" si="606"/>
        <v>0</v>
      </c>
    </row>
    <row r="708" spans="5:19" x14ac:dyDescent="0.75">
      <c r="E708">
        <v>703</v>
      </c>
      <c r="F708">
        <f t="shared" si="602"/>
        <v>100</v>
      </c>
      <c r="G708">
        <f t="shared" ca="1" si="603"/>
        <v>98.400457402176059</v>
      </c>
      <c r="H708">
        <f t="shared" ca="1" si="603"/>
        <v>97.458171173785232</v>
      </c>
      <c r="I708">
        <f t="shared" ca="1" si="603"/>
        <v>106.55394389313447</v>
      </c>
      <c r="J708">
        <f t="shared" ref="J708:P708" ca="1" si="659">I708*EXP(($C$6-0.5*$C$7^2)*$C$12+$C$7*SQRT($C$12)*NORMINV(RAND(),0,1))</f>
        <v>110.52995536751325</v>
      </c>
      <c r="K708">
        <f t="shared" ca="1" si="659"/>
        <v>104.36359951700737</v>
      </c>
      <c r="L708">
        <f t="shared" ca="1" si="659"/>
        <v>100.18947239818476</v>
      </c>
      <c r="M708">
        <f t="shared" ca="1" si="659"/>
        <v>97.402786228316359</v>
      </c>
      <c r="N708">
        <f t="shared" ca="1" si="659"/>
        <v>103.18872725410029</v>
      </c>
      <c r="O708">
        <f t="shared" ca="1" si="659"/>
        <v>103.27621394888479</v>
      </c>
      <c r="P708">
        <f t="shared" ca="1" si="659"/>
        <v>99.905155676203549</v>
      </c>
      <c r="Q708">
        <f t="shared" ca="1" si="604"/>
        <v>110.52995536751325</v>
      </c>
      <c r="R708">
        <f t="shared" ca="1" si="605"/>
        <v>0</v>
      </c>
      <c r="S708">
        <f t="shared" ca="1" si="606"/>
        <v>0</v>
      </c>
    </row>
    <row r="709" spans="5:19" x14ac:dyDescent="0.75">
      <c r="E709">
        <v>704</v>
      </c>
      <c r="F709">
        <f t="shared" si="602"/>
        <v>100</v>
      </c>
      <c r="G709">
        <f t="shared" ca="1" si="603"/>
        <v>102.99300642993275</v>
      </c>
      <c r="H709">
        <f t="shared" ca="1" si="603"/>
        <v>101.44130593465259</v>
      </c>
      <c r="I709">
        <f t="shared" ca="1" si="603"/>
        <v>96.531973805075197</v>
      </c>
      <c r="J709">
        <f t="shared" ref="J709:P709" ca="1" si="660">I709*EXP(($C$6-0.5*$C$7^2)*$C$12+$C$7*SQRT($C$12)*NORMINV(RAND(),0,1))</f>
        <v>97.003167042751997</v>
      </c>
      <c r="K709">
        <f t="shared" ca="1" si="660"/>
        <v>93.806806763720985</v>
      </c>
      <c r="L709">
        <f t="shared" ca="1" si="660"/>
        <v>92.470032328502597</v>
      </c>
      <c r="M709">
        <f t="shared" ca="1" si="660"/>
        <v>87.774589693703589</v>
      </c>
      <c r="N709">
        <f t="shared" ca="1" si="660"/>
        <v>81.553339805171731</v>
      </c>
      <c r="O709">
        <f t="shared" ca="1" si="660"/>
        <v>81.21445228593268</v>
      </c>
      <c r="P709">
        <f t="shared" ca="1" si="660"/>
        <v>74.529040978823744</v>
      </c>
      <c r="Q709">
        <f t="shared" ca="1" si="604"/>
        <v>102.99300642993275</v>
      </c>
      <c r="R709">
        <f t="shared" ca="1" si="605"/>
        <v>0</v>
      </c>
      <c r="S709">
        <f t="shared" ca="1" si="606"/>
        <v>0</v>
      </c>
    </row>
    <row r="710" spans="5:19" x14ac:dyDescent="0.75">
      <c r="E710">
        <v>705</v>
      </c>
      <c r="F710">
        <f t="shared" si="602"/>
        <v>100</v>
      </c>
      <c r="G710">
        <f t="shared" ca="1" si="603"/>
        <v>110.28138140837905</v>
      </c>
      <c r="H710">
        <f t="shared" ca="1" si="603"/>
        <v>112.79576901421574</v>
      </c>
      <c r="I710">
        <f t="shared" ca="1" si="603"/>
        <v>124.89874818772438</v>
      </c>
      <c r="J710">
        <f t="shared" ref="J710:P710" ca="1" si="661">I710*EXP(($C$6-0.5*$C$7^2)*$C$12+$C$7*SQRT($C$12)*NORMINV(RAND(),0,1))</f>
        <v>128.14660590666634</v>
      </c>
      <c r="K710">
        <f t="shared" ca="1" si="661"/>
        <v>127.48251220111906</v>
      </c>
      <c r="L710">
        <f t="shared" ca="1" si="661"/>
        <v>127.1825347006814</v>
      </c>
      <c r="M710">
        <f t="shared" ca="1" si="661"/>
        <v>126.75643866884047</v>
      </c>
      <c r="N710">
        <f t="shared" ca="1" si="661"/>
        <v>118.41278370508245</v>
      </c>
      <c r="O710">
        <f t="shared" ca="1" si="661"/>
        <v>122.45154506727501</v>
      </c>
      <c r="P710">
        <f t="shared" ca="1" si="661"/>
        <v>123.85866574822965</v>
      </c>
      <c r="Q710">
        <f t="shared" ca="1" si="604"/>
        <v>128.14660590666634</v>
      </c>
      <c r="R710">
        <f t="shared" ca="1" si="605"/>
        <v>0</v>
      </c>
      <c r="S710">
        <f t="shared" ca="1" si="606"/>
        <v>0</v>
      </c>
    </row>
    <row r="711" spans="5:19" x14ac:dyDescent="0.75">
      <c r="E711">
        <v>706</v>
      </c>
      <c r="F711">
        <f t="shared" ref="F711:F774" si="662">$C$5</f>
        <v>100</v>
      </c>
      <c r="G711">
        <f t="shared" ref="G711:P774" ca="1" si="663">F711*EXP(($C$6-0.5*$C$7^2)*$C$12+$C$7*SQRT($C$12)*NORMINV(RAND(),0,1))</f>
        <v>103.38605495614456</v>
      </c>
      <c r="H711">
        <f t="shared" ca="1" si="663"/>
        <v>101.33571936277239</v>
      </c>
      <c r="I711">
        <f t="shared" ca="1" si="663"/>
        <v>104.92413890437713</v>
      </c>
      <c r="J711">
        <f t="shared" ca="1" si="663"/>
        <v>108.41812896362886</v>
      </c>
      <c r="K711">
        <f t="shared" ca="1" si="663"/>
        <v>105.35920065380598</v>
      </c>
      <c r="L711">
        <f t="shared" ca="1" si="663"/>
        <v>112.27116813937921</v>
      </c>
      <c r="M711">
        <f t="shared" ca="1" si="663"/>
        <v>117.36994194491609</v>
      </c>
      <c r="N711">
        <f t="shared" ca="1" si="663"/>
        <v>122.7313814521526</v>
      </c>
      <c r="O711">
        <f t="shared" ca="1" si="663"/>
        <v>129.96609025194272</v>
      </c>
      <c r="P711">
        <f t="shared" ca="1" si="663"/>
        <v>131.06140114011907</v>
      </c>
      <c r="Q711">
        <f t="shared" ref="Q711:Q774" ca="1" si="664">MAX(G711:P711)</f>
        <v>131.06140114011907</v>
      </c>
      <c r="R711">
        <f t="shared" ref="R711:R774" ca="1" si="665">IF(Q711&gt;=$C$13,0, MAX(P711-$C$9,0))</f>
        <v>0</v>
      </c>
      <c r="S711">
        <f t="shared" ref="S711:S774" ca="1" si="666">EXP(-$C$6*$C$8)*R711</f>
        <v>0</v>
      </c>
    </row>
    <row r="712" spans="5:19" x14ac:dyDescent="0.75">
      <c r="E712">
        <v>707</v>
      </c>
      <c r="F712">
        <f t="shared" si="662"/>
        <v>100</v>
      </c>
      <c r="G712">
        <f t="shared" ca="1" si="663"/>
        <v>99.685879418863081</v>
      </c>
      <c r="H712">
        <f t="shared" ca="1" si="663"/>
        <v>101.94087116809467</v>
      </c>
      <c r="I712">
        <f t="shared" ca="1" si="663"/>
        <v>102.01169269133511</v>
      </c>
      <c r="J712">
        <f t="shared" ca="1" si="663"/>
        <v>99.934604379056552</v>
      </c>
      <c r="K712">
        <f t="shared" ca="1" si="663"/>
        <v>93.783618274865802</v>
      </c>
      <c r="L712">
        <f t="shared" ca="1" si="663"/>
        <v>91.785507369612688</v>
      </c>
      <c r="M712">
        <f t="shared" ca="1" si="663"/>
        <v>97.32184520981167</v>
      </c>
      <c r="N712">
        <f t="shared" ca="1" si="663"/>
        <v>96.625714326425907</v>
      </c>
      <c r="O712">
        <f t="shared" ca="1" si="663"/>
        <v>104.52046609067744</v>
      </c>
      <c r="P712">
        <f t="shared" ca="1" si="663"/>
        <v>110.07066904764915</v>
      </c>
      <c r="Q712">
        <f t="shared" ca="1" si="664"/>
        <v>110.07066904764915</v>
      </c>
      <c r="R712">
        <f t="shared" ca="1" si="665"/>
        <v>0</v>
      </c>
      <c r="S712">
        <f t="shared" ca="1" si="666"/>
        <v>0</v>
      </c>
    </row>
    <row r="713" spans="5:19" x14ac:dyDescent="0.75">
      <c r="E713">
        <v>708</v>
      </c>
      <c r="F713">
        <f t="shared" si="662"/>
        <v>100</v>
      </c>
      <c r="G713">
        <f t="shared" ca="1" si="663"/>
        <v>96.882654906598006</v>
      </c>
      <c r="H713">
        <f t="shared" ca="1" si="663"/>
        <v>94.53066042514898</v>
      </c>
      <c r="I713">
        <f t="shared" ca="1" si="663"/>
        <v>96.078024045572164</v>
      </c>
      <c r="J713">
        <f t="shared" ca="1" si="663"/>
        <v>97.532250353370884</v>
      </c>
      <c r="K713">
        <f t="shared" ca="1" si="663"/>
        <v>90.088114607714587</v>
      </c>
      <c r="L713">
        <f t="shared" ca="1" si="663"/>
        <v>93.608593213378199</v>
      </c>
      <c r="M713">
        <f t="shared" ca="1" si="663"/>
        <v>98.111197619345177</v>
      </c>
      <c r="N713">
        <f t="shared" ca="1" si="663"/>
        <v>92.839526113450432</v>
      </c>
      <c r="O713">
        <f t="shared" ca="1" si="663"/>
        <v>94.952296996163781</v>
      </c>
      <c r="P713">
        <f t="shared" ca="1" si="663"/>
        <v>104.79718523215459</v>
      </c>
      <c r="Q713">
        <f t="shared" ca="1" si="664"/>
        <v>104.79718523215459</v>
      </c>
      <c r="R713">
        <f t="shared" ca="1" si="665"/>
        <v>2.7971852321545896</v>
      </c>
      <c r="S713">
        <f t="shared" ca="1" si="666"/>
        <v>2.7281224826996437</v>
      </c>
    </row>
    <row r="714" spans="5:19" x14ac:dyDescent="0.75">
      <c r="E714">
        <v>709</v>
      </c>
      <c r="F714">
        <f t="shared" si="662"/>
        <v>100</v>
      </c>
      <c r="G714">
        <f t="shared" ca="1" si="663"/>
        <v>94.770700871763694</v>
      </c>
      <c r="H714">
        <f t="shared" ca="1" si="663"/>
        <v>93.716884647137078</v>
      </c>
      <c r="I714">
        <f t="shared" ca="1" si="663"/>
        <v>91.253412124669424</v>
      </c>
      <c r="J714">
        <f t="shared" ca="1" si="663"/>
        <v>90.736970393924537</v>
      </c>
      <c r="K714">
        <f t="shared" ca="1" si="663"/>
        <v>89.152306712110359</v>
      </c>
      <c r="L714">
        <f t="shared" ca="1" si="663"/>
        <v>90.794629478085497</v>
      </c>
      <c r="M714">
        <f t="shared" ca="1" si="663"/>
        <v>89.217970792322703</v>
      </c>
      <c r="N714">
        <f t="shared" ca="1" si="663"/>
        <v>88.733249347073425</v>
      </c>
      <c r="O714">
        <f t="shared" ca="1" si="663"/>
        <v>87.636305461365154</v>
      </c>
      <c r="P714">
        <f t="shared" ca="1" si="663"/>
        <v>91.906433983412697</v>
      </c>
      <c r="Q714">
        <f t="shared" ca="1" si="664"/>
        <v>94.770700871763694</v>
      </c>
      <c r="R714">
        <f t="shared" ca="1" si="665"/>
        <v>0</v>
      </c>
      <c r="S714">
        <f t="shared" ca="1" si="666"/>
        <v>0</v>
      </c>
    </row>
    <row r="715" spans="5:19" x14ac:dyDescent="0.75">
      <c r="E715">
        <v>710</v>
      </c>
      <c r="F715">
        <f t="shared" si="662"/>
        <v>100</v>
      </c>
      <c r="G715">
        <f t="shared" ca="1" si="663"/>
        <v>104.1858991214599</v>
      </c>
      <c r="H715">
        <f t="shared" ca="1" si="663"/>
        <v>99.762640394540014</v>
      </c>
      <c r="I715">
        <f t="shared" ca="1" si="663"/>
        <v>102.72447940943317</v>
      </c>
      <c r="J715">
        <f t="shared" ca="1" si="663"/>
        <v>93.638030445025478</v>
      </c>
      <c r="K715">
        <f t="shared" ca="1" si="663"/>
        <v>96.587233078834686</v>
      </c>
      <c r="L715">
        <f t="shared" ca="1" si="663"/>
        <v>92.209842917418939</v>
      </c>
      <c r="M715">
        <f t="shared" ca="1" si="663"/>
        <v>96.514290715276559</v>
      </c>
      <c r="N715">
        <f t="shared" ca="1" si="663"/>
        <v>96.998361608514514</v>
      </c>
      <c r="O715">
        <f t="shared" ca="1" si="663"/>
        <v>101.65696325645624</v>
      </c>
      <c r="P715">
        <f t="shared" ca="1" si="663"/>
        <v>94.501293176503836</v>
      </c>
      <c r="Q715">
        <f t="shared" ca="1" si="664"/>
        <v>104.1858991214599</v>
      </c>
      <c r="R715">
        <f t="shared" ca="1" si="665"/>
        <v>0</v>
      </c>
      <c r="S715">
        <f t="shared" ca="1" si="666"/>
        <v>0</v>
      </c>
    </row>
    <row r="716" spans="5:19" x14ac:dyDescent="0.75">
      <c r="E716">
        <v>711</v>
      </c>
      <c r="F716">
        <f t="shared" si="662"/>
        <v>100</v>
      </c>
      <c r="G716">
        <f t="shared" ca="1" si="663"/>
        <v>98.728462474430231</v>
      </c>
      <c r="H716">
        <f t="shared" ca="1" si="663"/>
        <v>103.73865873325377</v>
      </c>
      <c r="I716">
        <f t="shared" ca="1" si="663"/>
        <v>101.30736472695764</v>
      </c>
      <c r="J716">
        <f t="shared" ca="1" si="663"/>
        <v>99.291084213227066</v>
      </c>
      <c r="K716">
        <f t="shared" ca="1" si="663"/>
        <v>96.697464714988371</v>
      </c>
      <c r="L716">
        <f t="shared" ca="1" si="663"/>
        <v>97.461491131042223</v>
      </c>
      <c r="M716">
        <f t="shared" ca="1" si="663"/>
        <v>89.130901252000143</v>
      </c>
      <c r="N716">
        <f t="shared" ca="1" si="663"/>
        <v>88.486594656220902</v>
      </c>
      <c r="O716">
        <f t="shared" ca="1" si="663"/>
        <v>80.717602479723169</v>
      </c>
      <c r="P716">
        <f t="shared" ca="1" si="663"/>
        <v>82.436670432105117</v>
      </c>
      <c r="Q716">
        <f t="shared" ca="1" si="664"/>
        <v>103.73865873325377</v>
      </c>
      <c r="R716">
        <f t="shared" ca="1" si="665"/>
        <v>0</v>
      </c>
      <c r="S716">
        <f t="shared" ca="1" si="666"/>
        <v>0</v>
      </c>
    </row>
    <row r="717" spans="5:19" x14ac:dyDescent="0.75">
      <c r="E717">
        <v>712</v>
      </c>
      <c r="F717">
        <f t="shared" si="662"/>
        <v>100</v>
      </c>
      <c r="G717">
        <f t="shared" ca="1" si="663"/>
        <v>98.253699733926481</v>
      </c>
      <c r="H717">
        <f t="shared" ca="1" si="663"/>
        <v>99.374041539492296</v>
      </c>
      <c r="I717">
        <f t="shared" ca="1" si="663"/>
        <v>98.510951634264899</v>
      </c>
      <c r="J717">
        <f t="shared" ca="1" si="663"/>
        <v>99.762249130388099</v>
      </c>
      <c r="K717">
        <f t="shared" ca="1" si="663"/>
        <v>99.770698898134967</v>
      </c>
      <c r="L717">
        <f t="shared" ca="1" si="663"/>
        <v>107.17203993114484</v>
      </c>
      <c r="M717">
        <f t="shared" ca="1" si="663"/>
        <v>113.63743825326048</v>
      </c>
      <c r="N717">
        <f t="shared" ca="1" si="663"/>
        <v>105.80322828947101</v>
      </c>
      <c r="O717">
        <f t="shared" ca="1" si="663"/>
        <v>102.3784258525241</v>
      </c>
      <c r="P717">
        <f t="shared" ca="1" si="663"/>
        <v>106.47829420867194</v>
      </c>
      <c r="Q717">
        <f t="shared" ca="1" si="664"/>
        <v>113.63743825326048</v>
      </c>
      <c r="R717">
        <f t="shared" ca="1" si="665"/>
        <v>0</v>
      </c>
      <c r="S717">
        <f t="shared" ca="1" si="666"/>
        <v>0</v>
      </c>
    </row>
    <row r="718" spans="5:19" x14ac:dyDescent="0.75">
      <c r="E718">
        <v>713</v>
      </c>
      <c r="F718">
        <f t="shared" si="662"/>
        <v>100</v>
      </c>
      <c r="G718">
        <f t="shared" ca="1" si="663"/>
        <v>102.68384780289581</v>
      </c>
      <c r="H718">
        <f t="shared" ca="1" si="663"/>
        <v>108.50000061277996</v>
      </c>
      <c r="I718">
        <f t="shared" ca="1" si="663"/>
        <v>107.95943851400607</v>
      </c>
      <c r="J718">
        <f t="shared" ca="1" si="663"/>
        <v>105.89135667978266</v>
      </c>
      <c r="K718">
        <f t="shared" ca="1" si="663"/>
        <v>107.59219926980101</v>
      </c>
      <c r="L718">
        <f t="shared" ca="1" si="663"/>
        <v>113.5781774873743</v>
      </c>
      <c r="M718">
        <f t="shared" ca="1" si="663"/>
        <v>117.43068290965847</v>
      </c>
      <c r="N718">
        <f t="shared" ca="1" si="663"/>
        <v>119.08701990753119</v>
      </c>
      <c r="O718">
        <f t="shared" ca="1" si="663"/>
        <v>111.79735276687806</v>
      </c>
      <c r="P718">
        <f t="shared" ca="1" si="663"/>
        <v>122.22399187296531</v>
      </c>
      <c r="Q718">
        <f t="shared" ca="1" si="664"/>
        <v>122.22399187296531</v>
      </c>
      <c r="R718">
        <f t="shared" ca="1" si="665"/>
        <v>0</v>
      </c>
      <c r="S718">
        <f t="shared" ca="1" si="666"/>
        <v>0</v>
      </c>
    </row>
    <row r="719" spans="5:19" x14ac:dyDescent="0.75">
      <c r="E719">
        <v>714</v>
      </c>
      <c r="F719">
        <f t="shared" si="662"/>
        <v>100</v>
      </c>
      <c r="G719">
        <f t="shared" ca="1" si="663"/>
        <v>95.355889863214998</v>
      </c>
      <c r="H719">
        <f t="shared" ca="1" si="663"/>
        <v>92.608541205426747</v>
      </c>
      <c r="I719">
        <f t="shared" ca="1" si="663"/>
        <v>90.623828004739693</v>
      </c>
      <c r="J719">
        <f t="shared" ca="1" si="663"/>
        <v>96.306466509021163</v>
      </c>
      <c r="K719">
        <f t="shared" ca="1" si="663"/>
        <v>96.95988047646351</v>
      </c>
      <c r="L719">
        <f t="shared" ca="1" si="663"/>
        <v>91.764676028943384</v>
      </c>
      <c r="M719">
        <f t="shared" ca="1" si="663"/>
        <v>88.566923584031528</v>
      </c>
      <c r="N719">
        <f t="shared" ca="1" si="663"/>
        <v>93.204561807512519</v>
      </c>
      <c r="O719">
        <f t="shared" ca="1" si="663"/>
        <v>97.899299188076469</v>
      </c>
      <c r="P719">
        <f t="shared" ca="1" si="663"/>
        <v>102.99628298836794</v>
      </c>
      <c r="Q719">
        <f t="shared" ca="1" si="664"/>
        <v>102.99628298836794</v>
      </c>
      <c r="R719">
        <f t="shared" ca="1" si="665"/>
        <v>0.99628298836793761</v>
      </c>
      <c r="S719">
        <f t="shared" ca="1" si="666"/>
        <v>0.97168467374045753</v>
      </c>
    </row>
    <row r="720" spans="5:19" x14ac:dyDescent="0.75">
      <c r="E720">
        <v>715</v>
      </c>
      <c r="F720">
        <f t="shared" si="662"/>
        <v>100</v>
      </c>
      <c r="G720">
        <f t="shared" ca="1" si="663"/>
        <v>105.86577886810436</v>
      </c>
      <c r="H720">
        <f t="shared" ca="1" si="663"/>
        <v>111.59990571316374</v>
      </c>
      <c r="I720">
        <f t="shared" ca="1" si="663"/>
        <v>109.8086810664379</v>
      </c>
      <c r="J720">
        <f t="shared" ref="J720:P720" ca="1" si="667">I720*EXP(($C$6-0.5*$C$7^2)*$C$12+$C$7*SQRT($C$12)*NORMINV(RAND(),0,1))</f>
        <v>111.24561481923746</v>
      </c>
      <c r="K720">
        <f t="shared" ca="1" si="667"/>
        <v>111.75157770152158</v>
      </c>
      <c r="L720">
        <f t="shared" ca="1" si="667"/>
        <v>106.42475960199077</v>
      </c>
      <c r="M720">
        <f t="shared" ca="1" si="667"/>
        <v>117.34585401471151</v>
      </c>
      <c r="N720">
        <f t="shared" ca="1" si="667"/>
        <v>117.00690303656135</v>
      </c>
      <c r="O720">
        <f t="shared" ca="1" si="667"/>
        <v>132.78968386982191</v>
      </c>
      <c r="P720">
        <f t="shared" ca="1" si="667"/>
        <v>133.14118334183701</v>
      </c>
      <c r="Q720">
        <f t="shared" ca="1" si="664"/>
        <v>133.14118334183701</v>
      </c>
      <c r="R720">
        <f t="shared" ca="1" si="665"/>
        <v>0</v>
      </c>
      <c r="S720">
        <f t="shared" ca="1" si="666"/>
        <v>0</v>
      </c>
    </row>
    <row r="721" spans="5:19" x14ac:dyDescent="0.75">
      <c r="E721">
        <v>716</v>
      </c>
      <c r="F721">
        <f t="shared" si="662"/>
        <v>100</v>
      </c>
      <c r="G721">
        <f t="shared" ca="1" si="663"/>
        <v>96.851409494288447</v>
      </c>
      <c r="H721">
        <f t="shared" ca="1" si="663"/>
        <v>90.437706256879665</v>
      </c>
      <c r="I721">
        <f t="shared" ca="1" si="663"/>
        <v>84.437888533392297</v>
      </c>
      <c r="J721">
        <f t="shared" ref="J721:P721" ca="1" si="668">I721*EXP(($C$6-0.5*$C$7^2)*$C$12+$C$7*SQRT($C$12)*NORMINV(RAND(),0,1))</f>
        <v>80.767645769876367</v>
      </c>
      <c r="K721">
        <f t="shared" ca="1" si="668"/>
        <v>79.954830401941038</v>
      </c>
      <c r="L721">
        <f t="shared" ca="1" si="668"/>
        <v>81.390048425749299</v>
      </c>
      <c r="M721">
        <f t="shared" ca="1" si="668"/>
        <v>80.252476044479351</v>
      </c>
      <c r="N721">
        <f t="shared" ca="1" si="668"/>
        <v>78.161266724090098</v>
      </c>
      <c r="O721">
        <f t="shared" ca="1" si="668"/>
        <v>77.065935868285024</v>
      </c>
      <c r="P721">
        <f t="shared" ca="1" si="668"/>
        <v>78.424424192326001</v>
      </c>
      <c r="Q721">
        <f t="shared" ca="1" si="664"/>
        <v>96.851409494288447</v>
      </c>
      <c r="R721">
        <f t="shared" ca="1" si="665"/>
        <v>0</v>
      </c>
      <c r="S721">
        <f t="shared" ca="1" si="666"/>
        <v>0</v>
      </c>
    </row>
    <row r="722" spans="5:19" x14ac:dyDescent="0.75">
      <c r="E722">
        <v>717</v>
      </c>
      <c r="F722">
        <f t="shared" si="662"/>
        <v>100</v>
      </c>
      <c r="G722">
        <f t="shared" ca="1" si="663"/>
        <v>91.145254729372425</v>
      </c>
      <c r="H722">
        <f t="shared" ca="1" si="663"/>
        <v>93.119439350608729</v>
      </c>
      <c r="I722">
        <f t="shared" ca="1" si="663"/>
        <v>92.35001133238697</v>
      </c>
      <c r="J722">
        <f t="shared" ref="J722:P722" ca="1" si="669">I722*EXP(($C$6-0.5*$C$7^2)*$C$12+$C$7*SQRT($C$12)*NORMINV(RAND(),0,1))</f>
        <v>96.636584860212409</v>
      </c>
      <c r="K722">
        <f t="shared" ca="1" si="669"/>
        <v>92.447980658211705</v>
      </c>
      <c r="L722">
        <f t="shared" ca="1" si="669"/>
        <v>92.442324722828317</v>
      </c>
      <c r="M722">
        <f t="shared" ca="1" si="669"/>
        <v>95.910253723644956</v>
      </c>
      <c r="N722">
        <f t="shared" ca="1" si="669"/>
        <v>98.909841819876036</v>
      </c>
      <c r="O722">
        <f t="shared" ca="1" si="669"/>
        <v>105.28306976993275</v>
      </c>
      <c r="P722">
        <f t="shared" ca="1" si="669"/>
        <v>98.884032053659823</v>
      </c>
      <c r="Q722">
        <f t="shared" ca="1" si="664"/>
        <v>105.28306976993275</v>
      </c>
      <c r="R722">
        <f t="shared" ca="1" si="665"/>
        <v>0</v>
      </c>
      <c r="S722">
        <f t="shared" ca="1" si="666"/>
        <v>0</v>
      </c>
    </row>
    <row r="723" spans="5:19" x14ac:dyDescent="0.75">
      <c r="E723">
        <v>718</v>
      </c>
      <c r="F723">
        <f t="shared" si="662"/>
        <v>100</v>
      </c>
      <c r="G723">
        <f t="shared" ca="1" si="663"/>
        <v>99.780225948611914</v>
      </c>
      <c r="H723">
        <f t="shared" ca="1" si="663"/>
        <v>101.16278854585717</v>
      </c>
      <c r="I723">
        <f t="shared" ca="1" si="663"/>
        <v>98.87691950088815</v>
      </c>
      <c r="J723">
        <f t="shared" ref="J723:P723" ca="1" si="670">I723*EXP(($C$6-0.5*$C$7^2)*$C$12+$C$7*SQRT($C$12)*NORMINV(RAND(),0,1))</f>
        <v>92.768493008431349</v>
      </c>
      <c r="K723">
        <f t="shared" ca="1" si="670"/>
        <v>84.495710096683695</v>
      </c>
      <c r="L723">
        <f t="shared" ca="1" si="670"/>
        <v>80.22628243543258</v>
      </c>
      <c r="M723">
        <f t="shared" ca="1" si="670"/>
        <v>76.421939194987587</v>
      </c>
      <c r="N723">
        <f t="shared" ca="1" si="670"/>
        <v>74.686984944327733</v>
      </c>
      <c r="O723">
        <f t="shared" ca="1" si="670"/>
        <v>74.819977238503128</v>
      </c>
      <c r="P723">
        <f t="shared" ca="1" si="670"/>
        <v>77.949154999265673</v>
      </c>
      <c r="Q723">
        <f t="shared" ca="1" si="664"/>
        <v>101.16278854585717</v>
      </c>
      <c r="R723">
        <f t="shared" ca="1" si="665"/>
        <v>0</v>
      </c>
      <c r="S723">
        <f t="shared" ca="1" si="666"/>
        <v>0</v>
      </c>
    </row>
    <row r="724" spans="5:19" x14ac:dyDescent="0.75">
      <c r="E724">
        <v>719</v>
      </c>
      <c r="F724">
        <f t="shared" si="662"/>
        <v>100</v>
      </c>
      <c r="G724">
        <f t="shared" ca="1" si="663"/>
        <v>109.65073477155249</v>
      </c>
      <c r="H724">
        <f t="shared" ca="1" si="663"/>
        <v>115.93392369639054</v>
      </c>
      <c r="I724">
        <f t="shared" ca="1" si="663"/>
        <v>123.20957011136402</v>
      </c>
      <c r="J724">
        <f t="shared" ref="J724:P724" ca="1" si="671">I724*EXP(($C$6-0.5*$C$7^2)*$C$12+$C$7*SQRT($C$12)*NORMINV(RAND(),0,1))</f>
        <v>117.07421151170989</v>
      </c>
      <c r="K724">
        <f t="shared" ca="1" si="671"/>
        <v>119.66324189880588</v>
      </c>
      <c r="L724">
        <f t="shared" ca="1" si="671"/>
        <v>116.24506076452639</v>
      </c>
      <c r="M724">
        <f t="shared" ca="1" si="671"/>
        <v>113.7249032836243</v>
      </c>
      <c r="N724">
        <f t="shared" ca="1" si="671"/>
        <v>118.51976208252867</v>
      </c>
      <c r="O724">
        <f t="shared" ca="1" si="671"/>
        <v>121.11675844787042</v>
      </c>
      <c r="P724">
        <f t="shared" ca="1" si="671"/>
        <v>113.96458889543358</v>
      </c>
      <c r="Q724">
        <f t="shared" ca="1" si="664"/>
        <v>123.20957011136402</v>
      </c>
      <c r="R724">
        <f t="shared" ca="1" si="665"/>
        <v>0</v>
      </c>
      <c r="S724">
        <f t="shared" ca="1" si="666"/>
        <v>0</v>
      </c>
    </row>
    <row r="725" spans="5:19" x14ac:dyDescent="0.75">
      <c r="E725">
        <v>720</v>
      </c>
      <c r="F725">
        <f t="shared" si="662"/>
        <v>100</v>
      </c>
      <c r="G725">
        <f t="shared" ca="1" si="663"/>
        <v>97.356142144590564</v>
      </c>
      <c r="H725">
        <f t="shared" ca="1" si="663"/>
        <v>93.549674826495988</v>
      </c>
      <c r="I725">
        <f t="shared" ca="1" si="663"/>
        <v>87.100865040148847</v>
      </c>
      <c r="J725">
        <f t="shared" ref="J725:P725" ca="1" si="672">I725*EXP(($C$6-0.5*$C$7^2)*$C$12+$C$7*SQRT($C$12)*NORMINV(RAND(),0,1))</f>
        <v>81.61698483818499</v>
      </c>
      <c r="K725">
        <f t="shared" ca="1" si="672"/>
        <v>84.589066351744762</v>
      </c>
      <c r="L725">
        <f t="shared" ca="1" si="672"/>
        <v>99.998876414217492</v>
      </c>
      <c r="M725">
        <f t="shared" ca="1" si="672"/>
        <v>102.06879554278929</v>
      </c>
      <c r="N725">
        <f t="shared" ca="1" si="672"/>
        <v>93.851085317501571</v>
      </c>
      <c r="O725">
        <f t="shared" ca="1" si="672"/>
        <v>94.08145233791285</v>
      </c>
      <c r="P725">
        <f t="shared" ca="1" si="672"/>
        <v>90.893430857569641</v>
      </c>
      <c r="Q725">
        <f t="shared" ca="1" si="664"/>
        <v>102.06879554278929</v>
      </c>
      <c r="R725">
        <f t="shared" ca="1" si="665"/>
        <v>0</v>
      </c>
      <c r="S725">
        <f t="shared" ca="1" si="666"/>
        <v>0</v>
      </c>
    </row>
    <row r="726" spans="5:19" x14ac:dyDescent="0.75">
      <c r="E726">
        <v>721</v>
      </c>
      <c r="F726">
        <f t="shared" si="662"/>
        <v>100</v>
      </c>
      <c r="G726">
        <f t="shared" ca="1" si="663"/>
        <v>96.202353558084056</v>
      </c>
      <c r="H726">
        <f t="shared" ca="1" si="663"/>
        <v>91.849222190612721</v>
      </c>
      <c r="I726">
        <f t="shared" ca="1" si="663"/>
        <v>89.363848506088729</v>
      </c>
      <c r="J726">
        <f t="shared" ref="J726:P726" ca="1" si="673">I726*EXP(($C$6-0.5*$C$7^2)*$C$12+$C$7*SQRT($C$12)*NORMINV(RAND(),0,1))</f>
        <v>83.662268750207019</v>
      </c>
      <c r="K726">
        <f t="shared" ca="1" si="673"/>
        <v>87.61451819484202</v>
      </c>
      <c r="L726">
        <f t="shared" ca="1" si="673"/>
        <v>91.959784799165433</v>
      </c>
      <c r="M726">
        <f t="shared" ca="1" si="673"/>
        <v>91.854765784344792</v>
      </c>
      <c r="N726">
        <f t="shared" ca="1" si="673"/>
        <v>90.700748719728807</v>
      </c>
      <c r="O726">
        <f t="shared" ca="1" si="673"/>
        <v>92.822614226916812</v>
      </c>
      <c r="P726">
        <f t="shared" ca="1" si="673"/>
        <v>97.326915666618049</v>
      </c>
      <c r="Q726">
        <f t="shared" ca="1" si="664"/>
        <v>97.326915666618049</v>
      </c>
      <c r="R726">
        <f t="shared" ca="1" si="665"/>
        <v>0</v>
      </c>
      <c r="S726">
        <f t="shared" ca="1" si="666"/>
        <v>0</v>
      </c>
    </row>
    <row r="727" spans="5:19" x14ac:dyDescent="0.75">
      <c r="E727">
        <v>722</v>
      </c>
      <c r="F727">
        <f t="shared" si="662"/>
        <v>100</v>
      </c>
      <c r="G727">
        <f t="shared" ca="1" si="663"/>
        <v>99.52350385625644</v>
      </c>
      <c r="H727">
        <f t="shared" ca="1" si="663"/>
        <v>101.79275141910037</v>
      </c>
      <c r="I727">
        <f t="shared" ca="1" si="663"/>
        <v>104.51564045034364</v>
      </c>
      <c r="J727">
        <f t="shared" ref="J727:P727" ca="1" si="674">I727*EXP(($C$6-0.5*$C$7^2)*$C$12+$C$7*SQRT($C$12)*NORMINV(RAND(),0,1))</f>
        <v>100.86466945753692</v>
      </c>
      <c r="K727">
        <f t="shared" ca="1" si="674"/>
        <v>105.57467499206896</v>
      </c>
      <c r="L727">
        <f t="shared" ca="1" si="674"/>
        <v>111.58554413185794</v>
      </c>
      <c r="M727">
        <f t="shared" ca="1" si="674"/>
        <v>117.99384252075716</v>
      </c>
      <c r="N727">
        <f t="shared" ca="1" si="674"/>
        <v>120.30791641394609</v>
      </c>
      <c r="O727">
        <f t="shared" ca="1" si="674"/>
        <v>123.86895547304407</v>
      </c>
      <c r="P727">
        <f t="shared" ca="1" si="674"/>
        <v>133.07953681045404</v>
      </c>
      <c r="Q727">
        <f t="shared" ca="1" si="664"/>
        <v>133.07953681045404</v>
      </c>
      <c r="R727">
        <f t="shared" ca="1" si="665"/>
        <v>0</v>
      </c>
      <c r="S727">
        <f t="shared" ca="1" si="666"/>
        <v>0</v>
      </c>
    </row>
    <row r="728" spans="5:19" x14ac:dyDescent="0.75">
      <c r="E728">
        <v>723</v>
      </c>
      <c r="F728">
        <f t="shared" si="662"/>
        <v>100</v>
      </c>
      <c r="G728">
        <f t="shared" ca="1" si="663"/>
        <v>104.56014135708531</v>
      </c>
      <c r="H728">
        <f t="shared" ca="1" si="663"/>
        <v>111.11903667828706</v>
      </c>
      <c r="I728">
        <f t="shared" ca="1" si="663"/>
        <v>118.44554666891807</v>
      </c>
      <c r="J728">
        <f t="shared" ref="J728:P728" ca="1" si="675">I728*EXP(($C$6-0.5*$C$7^2)*$C$12+$C$7*SQRT($C$12)*NORMINV(RAND(),0,1))</f>
        <v>117.09628998138304</v>
      </c>
      <c r="K728">
        <f t="shared" ca="1" si="675"/>
        <v>125.74847026639567</v>
      </c>
      <c r="L728">
        <f t="shared" ca="1" si="675"/>
        <v>130.9060848908164</v>
      </c>
      <c r="M728">
        <f t="shared" ca="1" si="675"/>
        <v>130.35452671219818</v>
      </c>
      <c r="N728">
        <f t="shared" ca="1" si="675"/>
        <v>122.15256690197529</v>
      </c>
      <c r="O728">
        <f t="shared" ca="1" si="675"/>
        <v>126.25562467442791</v>
      </c>
      <c r="P728">
        <f t="shared" ca="1" si="675"/>
        <v>129.84666045543651</v>
      </c>
      <c r="Q728">
        <f t="shared" ca="1" si="664"/>
        <v>130.9060848908164</v>
      </c>
      <c r="R728">
        <f t="shared" ca="1" si="665"/>
        <v>0</v>
      </c>
      <c r="S728">
        <f t="shared" ca="1" si="666"/>
        <v>0</v>
      </c>
    </row>
    <row r="729" spans="5:19" x14ac:dyDescent="0.75">
      <c r="E729">
        <v>724</v>
      </c>
      <c r="F729">
        <f t="shared" si="662"/>
        <v>100</v>
      </c>
      <c r="G729">
        <f t="shared" ca="1" si="663"/>
        <v>96.692010124506382</v>
      </c>
      <c r="H729">
        <f t="shared" ca="1" si="663"/>
        <v>106.63044434513463</v>
      </c>
      <c r="I729">
        <f t="shared" ca="1" si="663"/>
        <v>100.8733083553976</v>
      </c>
      <c r="J729">
        <f t="shared" ref="J729:P729" ca="1" si="676">I729*EXP(($C$6-0.5*$C$7^2)*$C$12+$C$7*SQRT($C$12)*NORMINV(RAND(),0,1))</f>
        <v>99.177228553798642</v>
      </c>
      <c r="K729">
        <f t="shared" ca="1" si="676"/>
        <v>95.699377995387579</v>
      </c>
      <c r="L729">
        <f t="shared" ca="1" si="676"/>
        <v>90.890453185157966</v>
      </c>
      <c r="M729">
        <f t="shared" ca="1" si="676"/>
        <v>98.837078084974934</v>
      </c>
      <c r="N729">
        <f t="shared" ca="1" si="676"/>
        <v>101.68153734050671</v>
      </c>
      <c r="O729">
        <f t="shared" ca="1" si="676"/>
        <v>101.31369360886063</v>
      </c>
      <c r="P729">
        <f t="shared" ca="1" si="676"/>
        <v>104.80252922644132</v>
      </c>
      <c r="Q729">
        <f t="shared" ca="1" si="664"/>
        <v>106.63044434513463</v>
      </c>
      <c r="R729">
        <f t="shared" ca="1" si="665"/>
        <v>2.8025292264413224</v>
      </c>
      <c r="S729">
        <f t="shared" ca="1" si="666"/>
        <v>2.7333345332973171</v>
      </c>
    </row>
    <row r="730" spans="5:19" x14ac:dyDescent="0.75">
      <c r="E730">
        <v>725</v>
      </c>
      <c r="F730">
        <f t="shared" si="662"/>
        <v>100</v>
      </c>
      <c r="G730">
        <f t="shared" ca="1" si="663"/>
        <v>98.824918861929845</v>
      </c>
      <c r="H730">
        <f t="shared" ca="1" si="663"/>
        <v>103.73136472671122</v>
      </c>
      <c r="I730">
        <f t="shared" ca="1" si="663"/>
        <v>107.53056016060778</v>
      </c>
      <c r="J730">
        <f t="shared" ref="J730:P730" ca="1" si="677">I730*EXP(($C$6-0.5*$C$7^2)*$C$12+$C$7*SQRT($C$12)*NORMINV(RAND(),0,1))</f>
        <v>103.83573426559798</v>
      </c>
      <c r="K730">
        <f t="shared" ca="1" si="677"/>
        <v>98.721004369698477</v>
      </c>
      <c r="L730">
        <f t="shared" ca="1" si="677"/>
        <v>100.31828056664875</v>
      </c>
      <c r="M730">
        <f t="shared" ca="1" si="677"/>
        <v>102.61624078220974</v>
      </c>
      <c r="N730">
        <f t="shared" ca="1" si="677"/>
        <v>112.20746840957017</v>
      </c>
      <c r="O730">
        <f t="shared" ca="1" si="677"/>
        <v>117.01860466124884</v>
      </c>
      <c r="P730">
        <f t="shared" ca="1" si="677"/>
        <v>118.08379187163031</v>
      </c>
      <c r="Q730">
        <f t="shared" ca="1" si="664"/>
        <v>118.08379187163031</v>
      </c>
      <c r="R730">
        <f t="shared" ca="1" si="665"/>
        <v>0</v>
      </c>
      <c r="S730">
        <f t="shared" ca="1" si="666"/>
        <v>0</v>
      </c>
    </row>
    <row r="731" spans="5:19" x14ac:dyDescent="0.75">
      <c r="E731">
        <v>726</v>
      </c>
      <c r="F731">
        <f t="shared" si="662"/>
        <v>100</v>
      </c>
      <c r="G731">
        <f t="shared" ca="1" si="663"/>
        <v>96.125713062226993</v>
      </c>
      <c r="H731">
        <f t="shared" ca="1" si="663"/>
        <v>97.456731867648926</v>
      </c>
      <c r="I731">
        <f t="shared" ca="1" si="663"/>
        <v>94.024584517135608</v>
      </c>
      <c r="J731">
        <f t="shared" ref="J731:P731" ca="1" si="678">I731*EXP(($C$6-0.5*$C$7^2)*$C$12+$C$7*SQRT($C$12)*NORMINV(RAND(),0,1))</f>
        <v>91.591370051456934</v>
      </c>
      <c r="K731">
        <f t="shared" ca="1" si="678"/>
        <v>87.923956673732775</v>
      </c>
      <c r="L731">
        <f t="shared" ca="1" si="678"/>
        <v>84.187993090413514</v>
      </c>
      <c r="M731">
        <f t="shared" ca="1" si="678"/>
        <v>82.526000704830992</v>
      </c>
      <c r="N731">
        <f t="shared" ca="1" si="678"/>
        <v>79.487163262091755</v>
      </c>
      <c r="O731">
        <f t="shared" ca="1" si="678"/>
        <v>81.112221338611292</v>
      </c>
      <c r="P731">
        <f t="shared" ca="1" si="678"/>
        <v>75.94853293026722</v>
      </c>
      <c r="Q731">
        <f t="shared" ca="1" si="664"/>
        <v>97.456731867648926</v>
      </c>
      <c r="R731">
        <f t="shared" ca="1" si="665"/>
        <v>0</v>
      </c>
      <c r="S731">
        <f t="shared" ca="1" si="666"/>
        <v>0</v>
      </c>
    </row>
    <row r="732" spans="5:19" x14ac:dyDescent="0.75">
      <c r="E732">
        <v>727</v>
      </c>
      <c r="F732">
        <f t="shared" si="662"/>
        <v>100</v>
      </c>
      <c r="G732">
        <f t="shared" ca="1" si="663"/>
        <v>103.68694452033797</v>
      </c>
      <c r="H732">
        <f t="shared" ca="1" si="663"/>
        <v>104.96750018579739</v>
      </c>
      <c r="I732">
        <f t="shared" ca="1" si="663"/>
        <v>104.50249319580065</v>
      </c>
      <c r="J732">
        <f t="shared" ref="J732:P732" ca="1" si="679">I732*EXP(($C$6-0.5*$C$7^2)*$C$12+$C$7*SQRT($C$12)*NORMINV(RAND(),0,1))</f>
        <v>104.76054950003893</v>
      </c>
      <c r="K732">
        <f t="shared" ca="1" si="679"/>
        <v>99.078087615874068</v>
      </c>
      <c r="L732">
        <f t="shared" ca="1" si="679"/>
        <v>97.433912224116824</v>
      </c>
      <c r="M732">
        <f t="shared" ca="1" si="679"/>
        <v>99.633815138833455</v>
      </c>
      <c r="N732">
        <f t="shared" ca="1" si="679"/>
        <v>101.32335862002</v>
      </c>
      <c r="O732">
        <f t="shared" ca="1" si="679"/>
        <v>96.498591479759256</v>
      </c>
      <c r="P732">
        <f t="shared" ca="1" si="679"/>
        <v>92.787658342897657</v>
      </c>
      <c r="Q732">
        <f t="shared" ca="1" si="664"/>
        <v>104.96750018579739</v>
      </c>
      <c r="R732">
        <f t="shared" ca="1" si="665"/>
        <v>0</v>
      </c>
      <c r="S732">
        <f t="shared" ca="1" si="666"/>
        <v>0</v>
      </c>
    </row>
    <row r="733" spans="5:19" x14ac:dyDescent="0.75">
      <c r="E733">
        <v>728</v>
      </c>
      <c r="F733">
        <f t="shared" si="662"/>
        <v>100</v>
      </c>
      <c r="G733">
        <f t="shared" ca="1" si="663"/>
        <v>102.56594597509434</v>
      </c>
      <c r="H733">
        <f t="shared" ca="1" si="663"/>
        <v>97.567147415694279</v>
      </c>
      <c r="I733">
        <f t="shared" ca="1" si="663"/>
        <v>99.948037686118354</v>
      </c>
      <c r="J733">
        <f t="shared" ref="J733:P733" ca="1" si="680">I733*EXP(($C$6-0.5*$C$7^2)*$C$12+$C$7*SQRT($C$12)*NORMINV(RAND(),0,1))</f>
        <v>104.1209882558592</v>
      </c>
      <c r="K733">
        <f t="shared" ca="1" si="680"/>
        <v>105.62597475076987</v>
      </c>
      <c r="L733">
        <f t="shared" ca="1" si="680"/>
        <v>101.91322392935334</v>
      </c>
      <c r="M733">
        <f t="shared" ca="1" si="680"/>
        <v>94.301526900540225</v>
      </c>
      <c r="N733">
        <f t="shared" ca="1" si="680"/>
        <v>93.164364832914558</v>
      </c>
      <c r="O733">
        <f t="shared" ca="1" si="680"/>
        <v>89.486659144287202</v>
      </c>
      <c r="P733">
        <f t="shared" ca="1" si="680"/>
        <v>91.190564674472597</v>
      </c>
      <c r="Q733">
        <f t="shared" ca="1" si="664"/>
        <v>105.62597475076987</v>
      </c>
      <c r="R733">
        <f t="shared" ca="1" si="665"/>
        <v>0</v>
      </c>
      <c r="S733">
        <f t="shared" ca="1" si="666"/>
        <v>0</v>
      </c>
    </row>
    <row r="734" spans="5:19" x14ac:dyDescent="0.75">
      <c r="E734">
        <v>729</v>
      </c>
      <c r="F734">
        <f t="shared" si="662"/>
        <v>100</v>
      </c>
      <c r="G734">
        <f t="shared" ca="1" si="663"/>
        <v>101.39814164988525</v>
      </c>
      <c r="H734">
        <f t="shared" ca="1" si="663"/>
        <v>103.70034100019812</v>
      </c>
      <c r="I734">
        <f t="shared" ca="1" si="663"/>
        <v>107.54828376089316</v>
      </c>
      <c r="J734">
        <f t="shared" ref="J734:P734" ca="1" si="681">I734*EXP(($C$6-0.5*$C$7^2)*$C$12+$C$7*SQRT($C$12)*NORMINV(RAND(),0,1))</f>
        <v>108.78475515371416</v>
      </c>
      <c r="K734">
        <f t="shared" ca="1" si="681"/>
        <v>104.86475011351318</v>
      </c>
      <c r="L734">
        <f t="shared" ca="1" si="681"/>
        <v>95.892871656087948</v>
      </c>
      <c r="M734">
        <f t="shared" ca="1" si="681"/>
        <v>97.277688171968109</v>
      </c>
      <c r="N734">
        <f t="shared" ca="1" si="681"/>
        <v>100.81280374822015</v>
      </c>
      <c r="O734">
        <f t="shared" ca="1" si="681"/>
        <v>99.006252804123775</v>
      </c>
      <c r="P734">
        <f t="shared" ca="1" si="681"/>
        <v>93.225148869142188</v>
      </c>
      <c r="Q734">
        <f t="shared" ca="1" si="664"/>
        <v>108.78475515371416</v>
      </c>
      <c r="R734">
        <f t="shared" ca="1" si="665"/>
        <v>0</v>
      </c>
      <c r="S734">
        <f t="shared" ca="1" si="666"/>
        <v>0</v>
      </c>
    </row>
    <row r="735" spans="5:19" x14ac:dyDescent="0.75">
      <c r="E735">
        <v>730</v>
      </c>
      <c r="F735">
        <f t="shared" si="662"/>
        <v>100</v>
      </c>
      <c r="G735">
        <f t="shared" ca="1" si="663"/>
        <v>115.16256181380511</v>
      </c>
      <c r="H735">
        <f t="shared" ca="1" si="663"/>
        <v>111.58709288226477</v>
      </c>
      <c r="I735">
        <f t="shared" ca="1" si="663"/>
        <v>110.87012065255387</v>
      </c>
      <c r="J735">
        <f t="shared" ref="J735:P735" ca="1" si="682">I735*EXP(($C$6-0.5*$C$7^2)*$C$12+$C$7*SQRT($C$12)*NORMINV(RAND(),0,1))</f>
        <v>101.27248821401328</v>
      </c>
      <c r="K735">
        <f t="shared" ca="1" si="682"/>
        <v>103.24982290334002</v>
      </c>
      <c r="L735">
        <f t="shared" ca="1" si="682"/>
        <v>103.11189649333213</v>
      </c>
      <c r="M735">
        <f t="shared" ca="1" si="682"/>
        <v>114.18736962929131</v>
      </c>
      <c r="N735">
        <f t="shared" ca="1" si="682"/>
        <v>113.14836015465535</v>
      </c>
      <c r="O735">
        <f t="shared" ca="1" si="682"/>
        <v>114.62400526955707</v>
      </c>
      <c r="P735">
        <f t="shared" ca="1" si="682"/>
        <v>113.94783729098914</v>
      </c>
      <c r="Q735">
        <f t="shared" ca="1" si="664"/>
        <v>115.16256181380511</v>
      </c>
      <c r="R735">
        <f t="shared" ca="1" si="665"/>
        <v>0</v>
      </c>
      <c r="S735">
        <f t="shared" ca="1" si="666"/>
        <v>0</v>
      </c>
    </row>
    <row r="736" spans="5:19" x14ac:dyDescent="0.75">
      <c r="E736">
        <v>731</v>
      </c>
      <c r="F736">
        <f t="shared" si="662"/>
        <v>100</v>
      </c>
      <c r="G736">
        <f t="shared" ca="1" si="663"/>
        <v>103.23383488927198</v>
      </c>
      <c r="H736">
        <f t="shared" ca="1" si="663"/>
        <v>105.76980146499209</v>
      </c>
      <c r="I736">
        <f t="shared" ca="1" si="663"/>
        <v>111.42664941834876</v>
      </c>
      <c r="J736">
        <f t="shared" ref="J736:P736" ca="1" si="683">I736*EXP(($C$6-0.5*$C$7^2)*$C$12+$C$7*SQRT($C$12)*NORMINV(RAND(),0,1))</f>
        <v>104.44643668900835</v>
      </c>
      <c r="K736">
        <f t="shared" ca="1" si="683"/>
        <v>96.20546744550569</v>
      </c>
      <c r="L736">
        <f t="shared" ca="1" si="683"/>
        <v>95.338874442192818</v>
      </c>
      <c r="M736">
        <f t="shared" ca="1" si="683"/>
        <v>98.069049373356179</v>
      </c>
      <c r="N736">
        <f t="shared" ca="1" si="683"/>
        <v>104.1665943971489</v>
      </c>
      <c r="O736">
        <f t="shared" ca="1" si="683"/>
        <v>97.84917746992528</v>
      </c>
      <c r="P736">
        <f t="shared" ca="1" si="683"/>
        <v>93.848103878930146</v>
      </c>
      <c r="Q736">
        <f t="shared" ca="1" si="664"/>
        <v>111.42664941834876</v>
      </c>
      <c r="R736">
        <f t="shared" ca="1" si="665"/>
        <v>0</v>
      </c>
      <c r="S736">
        <f t="shared" ca="1" si="666"/>
        <v>0</v>
      </c>
    </row>
    <row r="737" spans="5:19" x14ac:dyDescent="0.75">
      <c r="E737">
        <v>732</v>
      </c>
      <c r="F737">
        <f t="shared" si="662"/>
        <v>100</v>
      </c>
      <c r="G737">
        <f t="shared" ca="1" si="663"/>
        <v>97.163053058222985</v>
      </c>
      <c r="H737">
        <f t="shared" ca="1" si="663"/>
        <v>91.937360090242507</v>
      </c>
      <c r="I737">
        <f t="shared" ca="1" si="663"/>
        <v>91.209920925941773</v>
      </c>
      <c r="J737">
        <f t="shared" ref="J737:P737" ca="1" si="684">I737*EXP(($C$6-0.5*$C$7^2)*$C$12+$C$7*SQRT($C$12)*NORMINV(RAND(),0,1))</f>
        <v>86.983410890633195</v>
      </c>
      <c r="K737">
        <f t="shared" ca="1" si="684"/>
        <v>92.530083134331136</v>
      </c>
      <c r="L737">
        <f t="shared" ca="1" si="684"/>
        <v>94.572738006049491</v>
      </c>
      <c r="M737">
        <f t="shared" ca="1" si="684"/>
        <v>96.974244143884576</v>
      </c>
      <c r="N737">
        <f t="shared" ca="1" si="684"/>
        <v>96.647331151832489</v>
      </c>
      <c r="O737">
        <f t="shared" ca="1" si="684"/>
        <v>98.134342732022063</v>
      </c>
      <c r="P737">
        <f t="shared" ca="1" si="684"/>
        <v>97.469841721378089</v>
      </c>
      <c r="Q737">
        <f t="shared" ca="1" si="664"/>
        <v>98.134342732022063</v>
      </c>
      <c r="R737">
        <f t="shared" ca="1" si="665"/>
        <v>0</v>
      </c>
      <c r="S737">
        <f t="shared" ca="1" si="666"/>
        <v>0</v>
      </c>
    </row>
    <row r="738" spans="5:19" x14ac:dyDescent="0.75">
      <c r="E738">
        <v>733</v>
      </c>
      <c r="F738">
        <f t="shared" si="662"/>
        <v>100</v>
      </c>
      <c r="G738">
        <f t="shared" ca="1" si="663"/>
        <v>102.5878501985988</v>
      </c>
      <c r="H738">
        <f t="shared" ca="1" si="663"/>
        <v>98.959911709779874</v>
      </c>
      <c r="I738">
        <f t="shared" ca="1" si="663"/>
        <v>104.3578201524307</v>
      </c>
      <c r="J738">
        <f t="shared" ref="J738:P738" ca="1" si="685">I738*EXP(($C$6-0.5*$C$7^2)*$C$12+$C$7*SQRT($C$12)*NORMINV(RAND(),0,1))</f>
        <v>110.24278881739289</v>
      </c>
      <c r="K738">
        <f t="shared" ca="1" si="685"/>
        <v>106.92184092273892</v>
      </c>
      <c r="L738">
        <f t="shared" ca="1" si="685"/>
        <v>112.09594179592733</v>
      </c>
      <c r="M738">
        <f t="shared" ca="1" si="685"/>
        <v>105.50864076555501</v>
      </c>
      <c r="N738">
        <f t="shared" ca="1" si="685"/>
        <v>105.79533044644855</v>
      </c>
      <c r="O738">
        <f t="shared" ca="1" si="685"/>
        <v>111.6025046448907</v>
      </c>
      <c r="P738">
        <f t="shared" ca="1" si="685"/>
        <v>111.95396364006092</v>
      </c>
      <c r="Q738">
        <f t="shared" ca="1" si="664"/>
        <v>112.09594179592733</v>
      </c>
      <c r="R738">
        <f t="shared" ca="1" si="665"/>
        <v>0</v>
      </c>
      <c r="S738">
        <f t="shared" ca="1" si="666"/>
        <v>0</v>
      </c>
    </row>
    <row r="739" spans="5:19" x14ac:dyDescent="0.75">
      <c r="E739">
        <v>734</v>
      </c>
      <c r="F739">
        <f t="shared" si="662"/>
        <v>100</v>
      </c>
      <c r="G739">
        <f t="shared" ca="1" si="663"/>
        <v>105.55071670435032</v>
      </c>
      <c r="H739">
        <f t="shared" ca="1" si="663"/>
        <v>104.46643385559652</v>
      </c>
      <c r="I739">
        <f t="shared" ca="1" si="663"/>
        <v>103.35048618718287</v>
      </c>
      <c r="J739">
        <f t="shared" ref="J739:P739" ca="1" si="686">I739*EXP(($C$6-0.5*$C$7^2)*$C$12+$C$7*SQRT($C$12)*NORMINV(RAND(),0,1))</f>
        <v>100.2610210953099</v>
      </c>
      <c r="K739">
        <f t="shared" ca="1" si="686"/>
        <v>99.411805581525911</v>
      </c>
      <c r="L739">
        <f t="shared" ca="1" si="686"/>
        <v>101.7192292532597</v>
      </c>
      <c r="M739">
        <f t="shared" ca="1" si="686"/>
        <v>101.36195161029389</v>
      </c>
      <c r="N739">
        <f t="shared" ca="1" si="686"/>
        <v>105.29192689339736</v>
      </c>
      <c r="O739">
        <f t="shared" ca="1" si="686"/>
        <v>117.67875061248152</v>
      </c>
      <c r="P739">
        <f t="shared" ca="1" si="686"/>
        <v>110.68399240861935</v>
      </c>
      <c r="Q739">
        <f t="shared" ca="1" si="664"/>
        <v>117.67875061248152</v>
      </c>
      <c r="R739">
        <f t="shared" ca="1" si="665"/>
        <v>0</v>
      </c>
      <c r="S739">
        <f t="shared" ca="1" si="666"/>
        <v>0</v>
      </c>
    </row>
    <row r="740" spans="5:19" x14ac:dyDescent="0.75">
      <c r="E740">
        <v>735</v>
      </c>
      <c r="F740">
        <f t="shared" si="662"/>
        <v>100</v>
      </c>
      <c r="G740">
        <f t="shared" ca="1" si="663"/>
        <v>98.568819409881641</v>
      </c>
      <c r="H740">
        <f t="shared" ca="1" si="663"/>
        <v>99.320198291572822</v>
      </c>
      <c r="I740">
        <f t="shared" ca="1" si="663"/>
        <v>108.03121982995822</v>
      </c>
      <c r="J740">
        <f t="shared" ref="J740:P740" ca="1" si="687">I740*EXP(($C$6-0.5*$C$7^2)*$C$12+$C$7*SQRT($C$12)*NORMINV(RAND(),0,1))</f>
        <v>111.10325407029656</v>
      </c>
      <c r="K740">
        <f t="shared" ca="1" si="687"/>
        <v>113.11976647657244</v>
      </c>
      <c r="L740">
        <f t="shared" ca="1" si="687"/>
        <v>111.12054672192816</v>
      </c>
      <c r="M740">
        <f t="shared" ca="1" si="687"/>
        <v>122.4022663102326</v>
      </c>
      <c r="N740">
        <f t="shared" ca="1" si="687"/>
        <v>124.48865058733345</v>
      </c>
      <c r="O740">
        <f t="shared" ca="1" si="687"/>
        <v>124.517110893352</v>
      </c>
      <c r="P740">
        <f t="shared" ca="1" si="687"/>
        <v>132.60466761876737</v>
      </c>
      <c r="Q740">
        <f t="shared" ca="1" si="664"/>
        <v>132.60466761876737</v>
      </c>
      <c r="R740">
        <f t="shared" ca="1" si="665"/>
        <v>0</v>
      </c>
      <c r="S740">
        <f t="shared" ca="1" si="666"/>
        <v>0</v>
      </c>
    </row>
    <row r="741" spans="5:19" x14ac:dyDescent="0.75">
      <c r="E741">
        <v>736</v>
      </c>
      <c r="F741">
        <f t="shared" si="662"/>
        <v>100</v>
      </c>
      <c r="G741">
        <f t="shared" ca="1" si="663"/>
        <v>99.027283921817499</v>
      </c>
      <c r="H741">
        <f t="shared" ca="1" si="663"/>
        <v>92.953665266519721</v>
      </c>
      <c r="I741">
        <f t="shared" ca="1" si="663"/>
        <v>87.983867982550336</v>
      </c>
      <c r="J741">
        <f t="shared" ref="J741:P741" ca="1" si="688">I741*EXP(($C$6-0.5*$C$7^2)*$C$12+$C$7*SQRT($C$12)*NORMINV(RAND(),0,1))</f>
        <v>86.600505786121431</v>
      </c>
      <c r="K741">
        <f t="shared" ca="1" si="688"/>
        <v>86.232891422463311</v>
      </c>
      <c r="L741">
        <f t="shared" ca="1" si="688"/>
        <v>88.719828039590155</v>
      </c>
      <c r="M741">
        <f t="shared" ca="1" si="688"/>
        <v>84.163388249029268</v>
      </c>
      <c r="N741">
        <f t="shared" ca="1" si="688"/>
        <v>89.581019421161969</v>
      </c>
      <c r="O741">
        <f t="shared" ca="1" si="688"/>
        <v>96.473850276889806</v>
      </c>
      <c r="P741">
        <f t="shared" ca="1" si="688"/>
        <v>101.82727348770271</v>
      </c>
      <c r="Q741">
        <f t="shared" ca="1" si="664"/>
        <v>101.82727348770271</v>
      </c>
      <c r="R741">
        <f t="shared" ca="1" si="665"/>
        <v>0</v>
      </c>
      <c r="S741">
        <f t="shared" ca="1" si="666"/>
        <v>0</v>
      </c>
    </row>
    <row r="742" spans="5:19" x14ac:dyDescent="0.75">
      <c r="E742">
        <v>737</v>
      </c>
      <c r="F742">
        <f t="shared" si="662"/>
        <v>100</v>
      </c>
      <c r="G742">
        <f t="shared" ca="1" si="663"/>
        <v>101.86302356826897</v>
      </c>
      <c r="H742">
        <f t="shared" ca="1" si="663"/>
        <v>102.87095210564975</v>
      </c>
      <c r="I742">
        <f t="shared" ca="1" si="663"/>
        <v>98.369154338484336</v>
      </c>
      <c r="J742">
        <f t="shared" ref="J742:P742" ca="1" si="689">I742*EXP(($C$6-0.5*$C$7^2)*$C$12+$C$7*SQRT($C$12)*NORMINV(RAND(),0,1))</f>
        <v>93.563591569504581</v>
      </c>
      <c r="K742">
        <f t="shared" ca="1" si="689"/>
        <v>89.181569317882733</v>
      </c>
      <c r="L742">
        <f t="shared" ca="1" si="689"/>
        <v>91.491458520913241</v>
      </c>
      <c r="M742">
        <f t="shared" ca="1" si="689"/>
        <v>90.146047767481377</v>
      </c>
      <c r="N742">
        <f t="shared" ca="1" si="689"/>
        <v>88.270404487791211</v>
      </c>
      <c r="O742">
        <f t="shared" ca="1" si="689"/>
        <v>83.134969429073408</v>
      </c>
      <c r="P742">
        <f t="shared" ca="1" si="689"/>
        <v>80.563135723132049</v>
      </c>
      <c r="Q742">
        <f t="shared" ca="1" si="664"/>
        <v>102.87095210564975</v>
      </c>
      <c r="R742">
        <f t="shared" ca="1" si="665"/>
        <v>0</v>
      </c>
      <c r="S742">
        <f t="shared" ca="1" si="666"/>
        <v>0</v>
      </c>
    </row>
    <row r="743" spans="5:19" x14ac:dyDescent="0.75">
      <c r="E743">
        <v>738</v>
      </c>
      <c r="F743">
        <f t="shared" si="662"/>
        <v>100</v>
      </c>
      <c r="G743">
        <f t="shared" ca="1" si="663"/>
        <v>114.35633462513535</v>
      </c>
      <c r="H743">
        <f t="shared" ca="1" si="663"/>
        <v>106.58362383026801</v>
      </c>
      <c r="I743">
        <f t="shared" ca="1" si="663"/>
        <v>108.74795792982533</v>
      </c>
      <c r="J743">
        <f t="shared" ref="J743:P743" ca="1" si="690">I743*EXP(($C$6-0.5*$C$7^2)*$C$12+$C$7*SQRT($C$12)*NORMINV(RAND(),0,1))</f>
        <v>111.62968434119684</v>
      </c>
      <c r="K743">
        <f t="shared" ca="1" si="690"/>
        <v>114.28796600758821</v>
      </c>
      <c r="L743">
        <f t="shared" ca="1" si="690"/>
        <v>115.89707602936227</v>
      </c>
      <c r="M743">
        <f t="shared" ca="1" si="690"/>
        <v>124.43709660229221</v>
      </c>
      <c r="N743">
        <f t="shared" ca="1" si="690"/>
        <v>126.14945967697189</v>
      </c>
      <c r="O743">
        <f t="shared" ca="1" si="690"/>
        <v>123.05254131080598</v>
      </c>
      <c r="P743">
        <f t="shared" ca="1" si="690"/>
        <v>122.16593005950928</v>
      </c>
      <c r="Q743">
        <f t="shared" ca="1" si="664"/>
        <v>126.14945967697189</v>
      </c>
      <c r="R743">
        <f t="shared" ca="1" si="665"/>
        <v>0</v>
      </c>
      <c r="S743">
        <f t="shared" ca="1" si="666"/>
        <v>0</v>
      </c>
    </row>
    <row r="744" spans="5:19" x14ac:dyDescent="0.75">
      <c r="E744">
        <v>739</v>
      </c>
      <c r="F744">
        <f t="shared" si="662"/>
        <v>100</v>
      </c>
      <c r="G744">
        <f t="shared" ca="1" si="663"/>
        <v>104.86211575905288</v>
      </c>
      <c r="H744">
        <f t="shared" ca="1" si="663"/>
        <v>105.6112405894949</v>
      </c>
      <c r="I744">
        <f t="shared" ca="1" si="663"/>
        <v>94.534389291467193</v>
      </c>
      <c r="J744">
        <f t="shared" ref="J744:P744" ca="1" si="691">I744*EXP(($C$6-0.5*$C$7^2)*$C$12+$C$7*SQRT($C$12)*NORMINV(RAND(),0,1))</f>
        <v>92.433004202863998</v>
      </c>
      <c r="K744">
        <f t="shared" ca="1" si="691"/>
        <v>91.829817591972585</v>
      </c>
      <c r="L744">
        <f t="shared" ca="1" si="691"/>
        <v>89.950767518319907</v>
      </c>
      <c r="M744">
        <f t="shared" ca="1" si="691"/>
        <v>89.675612957856742</v>
      </c>
      <c r="N744">
        <f t="shared" ca="1" si="691"/>
        <v>90.73631367259928</v>
      </c>
      <c r="O744">
        <f t="shared" ca="1" si="691"/>
        <v>88.844568133047957</v>
      </c>
      <c r="P744">
        <f t="shared" ca="1" si="691"/>
        <v>87.199385248240631</v>
      </c>
      <c r="Q744">
        <f t="shared" ca="1" si="664"/>
        <v>105.6112405894949</v>
      </c>
      <c r="R744">
        <f t="shared" ca="1" si="665"/>
        <v>0</v>
      </c>
      <c r="S744">
        <f t="shared" ca="1" si="666"/>
        <v>0</v>
      </c>
    </row>
    <row r="745" spans="5:19" x14ac:dyDescent="0.75">
      <c r="E745">
        <v>740</v>
      </c>
      <c r="F745">
        <f t="shared" si="662"/>
        <v>100</v>
      </c>
      <c r="G745">
        <f t="shared" ca="1" si="663"/>
        <v>101.46469337789547</v>
      </c>
      <c r="H745">
        <f t="shared" ca="1" si="663"/>
        <v>101.78162579311034</v>
      </c>
      <c r="I745">
        <f t="shared" ca="1" si="663"/>
        <v>99.295802692101063</v>
      </c>
      <c r="J745">
        <f t="shared" ref="J745:P745" ca="1" si="692">I745*EXP(($C$6-0.5*$C$7^2)*$C$12+$C$7*SQRT($C$12)*NORMINV(RAND(),0,1))</f>
        <v>104.03870430634859</v>
      </c>
      <c r="K745">
        <f t="shared" ca="1" si="692"/>
        <v>103.30582157073165</v>
      </c>
      <c r="L745">
        <f t="shared" ca="1" si="692"/>
        <v>98.421367146327455</v>
      </c>
      <c r="M745">
        <f t="shared" ca="1" si="692"/>
        <v>95.481163285707467</v>
      </c>
      <c r="N745">
        <f t="shared" ca="1" si="692"/>
        <v>93.708417454775585</v>
      </c>
      <c r="O745">
        <f t="shared" ca="1" si="692"/>
        <v>92.135671456161433</v>
      </c>
      <c r="P745">
        <f t="shared" ca="1" si="692"/>
        <v>95.963764040555873</v>
      </c>
      <c r="Q745">
        <f t="shared" ca="1" si="664"/>
        <v>104.03870430634859</v>
      </c>
      <c r="R745">
        <f t="shared" ca="1" si="665"/>
        <v>0</v>
      </c>
      <c r="S745">
        <f t="shared" ca="1" si="666"/>
        <v>0</v>
      </c>
    </row>
    <row r="746" spans="5:19" x14ac:dyDescent="0.75">
      <c r="E746">
        <v>741</v>
      </c>
      <c r="F746">
        <f t="shared" si="662"/>
        <v>100</v>
      </c>
      <c r="G746">
        <f t="shared" ca="1" si="663"/>
        <v>94.326431671506228</v>
      </c>
      <c r="H746">
        <f t="shared" ca="1" si="663"/>
        <v>95.12150514044265</v>
      </c>
      <c r="I746">
        <f t="shared" ca="1" si="663"/>
        <v>94.850788734749329</v>
      </c>
      <c r="J746">
        <f t="shared" ref="J746:P746" ca="1" si="693">I746*EXP(($C$6-0.5*$C$7^2)*$C$12+$C$7*SQRT($C$12)*NORMINV(RAND(),0,1))</f>
        <v>102.36940369259948</v>
      </c>
      <c r="K746">
        <f t="shared" ca="1" si="693"/>
        <v>100.54989574708991</v>
      </c>
      <c r="L746">
        <f t="shared" ca="1" si="693"/>
        <v>101.31968047862118</v>
      </c>
      <c r="M746">
        <f t="shared" ca="1" si="693"/>
        <v>101.73177472183242</v>
      </c>
      <c r="N746">
        <f t="shared" ca="1" si="693"/>
        <v>100.38740223436348</v>
      </c>
      <c r="O746">
        <f t="shared" ca="1" si="693"/>
        <v>108.12992604973385</v>
      </c>
      <c r="P746">
        <f t="shared" ca="1" si="693"/>
        <v>106.23102567527114</v>
      </c>
      <c r="Q746">
        <f t="shared" ca="1" si="664"/>
        <v>108.12992604973385</v>
      </c>
      <c r="R746">
        <f t="shared" ca="1" si="665"/>
        <v>4.231025675271141</v>
      </c>
      <c r="S746">
        <f t="shared" ca="1" si="666"/>
        <v>4.1265612791383131</v>
      </c>
    </row>
    <row r="747" spans="5:19" x14ac:dyDescent="0.75">
      <c r="E747">
        <v>742</v>
      </c>
      <c r="F747">
        <f t="shared" si="662"/>
        <v>100</v>
      </c>
      <c r="G747">
        <f t="shared" ca="1" si="663"/>
        <v>100.69698965864318</v>
      </c>
      <c r="H747">
        <f t="shared" ca="1" si="663"/>
        <v>103.69851928166312</v>
      </c>
      <c r="I747">
        <f t="shared" ca="1" si="663"/>
        <v>108.84847996031293</v>
      </c>
      <c r="J747">
        <f t="shared" ref="J747:P747" ca="1" si="694">I747*EXP(($C$6-0.5*$C$7^2)*$C$12+$C$7*SQRT($C$12)*NORMINV(RAND(),0,1))</f>
        <v>113.29468015314922</v>
      </c>
      <c r="K747">
        <f t="shared" ca="1" si="694"/>
        <v>113.13188259041291</v>
      </c>
      <c r="L747">
        <f t="shared" ca="1" si="694"/>
        <v>109.60029128244945</v>
      </c>
      <c r="M747">
        <f t="shared" ca="1" si="694"/>
        <v>106.94207067206003</v>
      </c>
      <c r="N747">
        <f t="shared" ca="1" si="694"/>
        <v>98.587462777649179</v>
      </c>
      <c r="O747">
        <f t="shared" ca="1" si="694"/>
        <v>99.473165600819073</v>
      </c>
      <c r="P747">
        <f t="shared" ca="1" si="694"/>
        <v>97.616269090788009</v>
      </c>
      <c r="Q747">
        <f t="shared" ca="1" si="664"/>
        <v>113.29468015314922</v>
      </c>
      <c r="R747">
        <f t="shared" ca="1" si="665"/>
        <v>0</v>
      </c>
      <c r="S747">
        <f t="shared" ca="1" si="666"/>
        <v>0</v>
      </c>
    </row>
    <row r="748" spans="5:19" x14ac:dyDescent="0.75">
      <c r="E748">
        <v>743</v>
      </c>
      <c r="F748">
        <f t="shared" si="662"/>
        <v>100</v>
      </c>
      <c r="G748">
        <f t="shared" ca="1" si="663"/>
        <v>100.68168317914244</v>
      </c>
      <c r="H748">
        <f t="shared" ca="1" si="663"/>
        <v>99.925616997588861</v>
      </c>
      <c r="I748">
        <f t="shared" ca="1" si="663"/>
        <v>98.739450020050583</v>
      </c>
      <c r="J748">
        <f t="shared" ref="J748:P748" ca="1" si="695">I748*EXP(($C$6-0.5*$C$7^2)*$C$12+$C$7*SQRT($C$12)*NORMINV(RAND(),0,1))</f>
        <v>104.45929471263963</v>
      </c>
      <c r="K748">
        <f t="shared" ca="1" si="695"/>
        <v>103.58463378224445</v>
      </c>
      <c r="L748">
        <f t="shared" ca="1" si="695"/>
        <v>96.889856163441763</v>
      </c>
      <c r="M748">
        <f t="shared" ca="1" si="695"/>
        <v>94.797643012237302</v>
      </c>
      <c r="N748">
        <f t="shared" ca="1" si="695"/>
        <v>102.39717728071146</v>
      </c>
      <c r="O748">
        <f t="shared" ca="1" si="695"/>
        <v>103.97571092915985</v>
      </c>
      <c r="P748">
        <f t="shared" ca="1" si="695"/>
        <v>102.91444011895183</v>
      </c>
      <c r="Q748">
        <f t="shared" ca="1" si="664"/>
        <v>104.45929471263963</v>
      </c>
      <c r="R748">
        <f t="shared" ca="1" si="665"/>
        <v>0.91444011895183053</v>
      </c>
      <c r="S748">
        <f t="shared" ca="1" si="666"/>
        <v>0.89186251197008781</v>
      </c>
    </row>
    <row r="749" spans="5:19" x14ac:dyDescent="0.75">
      <c r="E749">
        <v>744</v>
      </c>
      <c r="F749">
        <f t="shared" si="662"/>
        <v>100</v>
      </c>
      <c r="G749">
        <f t="shared" ca="1" si="663"/>
        <v>96.948490486599724</v>
      </c>
      <c r="H749">
        <f t="shared" ca="1" si="663"/>
        <v>97.030159634996025</v>
      </c>
      <c r="I749">
        <f t="shared" ca="1" si="663"/>
        <v>94.968762247121688</v>
      </c>
      <c r="J749">
        <f t="shared" ref="J749:P749" ca="1" si="696">I749*EXP(($C$6-0.5*$C$7^2)*$C$12+$C$7*SQRT($C$12)*NORMINV(RAND(),0,1))</f>
        <v>85.531619330163622</v>
      </c>
      <c r="K749">
        <f t="shared" ca="1" si="696"/>
        <v>84.224711551292614</v>
      </c>
      <c r="L749">
        <f t="shared" ca="1" si="696"/>
        <v>81.676798522670651</v>
      </c>
      <c r="M749">
        <f t="shared" ca="1" si="696"/>
        <v>81.585165296776836</v>
      </c>
      <c r="N749">
        <f t="shared" ca="1" si="696"/>
        <v>82.234154152220782</v>
      </c>
      <c r="O749">
        <f t="shared" ca="1" si="696"/>
        <v>82.428802708999768</v>
      </c>
      <c r="P749">
        <f t="shared" ca="1" si="696"/>
        <v>86.039891352060508</v>
      </c>
      <c r="Q749">
        <f t="shared" ca="1" si="664"/>
        <v>97.030159634996025</v>
      </c>
      <c r="R749">
        <f t="shared" ca="1" si="665"/>
        <v>0</v>
      </c>
      <c r="S749">
        <f t="shared" ca="1" si="666"/>
        <v>0</v>
      </c>
    </row>
    <row r="750" spans="5:19" x14ac:dyDescent="0.75">
      <c r="E750">
        <v>745</v>
      </c>
      <c r="F750">
        <f t="shared" si="662"/>
        <v>100</v>
      </c>
      <c r="G750">
        <f t="shared" ca="1" si="663"/>
        <v>100.04558134090674</v>
      </c>
      <c r="H750">
        <f t="shared" ca="1" si="663"/>
        <v>99.13155623805001</v>
      </c>
      <c r="I750">
        <f t="shared" ca="1" si="663"/>
        <v>105.28543487398275</v>
      </c>
      <c r="J750">
        <f t="shared" ref="J750:P750" ca="1" si="697">I750*EXP(($C$6-0.5*$C$7^2)*$C$12+$C$7*SQRT($C$12)*NORMINV(RAND(),0,1))</f>
        <v>103.10813386158837</v>
      </c>
      <c r="K750">
        <f t="shared" ca="1" si="697"/>
        <v>103.64939634656886</v>
      </c>
      <c r="L750">
        <f t="shared" ca="1" si="697"/>
        <v>102.46060030077921</v>
      </c>
      <c r="M750">
        <f t="shared" ca="1" si="697"/>
        <v>105.41879391361202</v>
      </c>
      <c r="N750">
        <f t="shared" ca="1" si="697"/>
        <v>103.72585243810148</v>
      </c>
      <c r="O750">
        <f t="shared" ca="1" si="697"/>
        <v>101.65928201233938</v>
      </c>
      <c r="P750">
        <f t="shared" ca="1" si="697"/>
        <v>101.29875894990299</v>
      </c>
      <c r="Q750">
        <f t="shared" ca="1" si="664"/>
        <v>105.41879391361202</v>
      </c>
      <c r="R750">
        <f t="shared" ca="1" si="665"/>
        <v>0</v>
      </c>
      <c r="S750">
        <f t="shared" ca="1" si="666"/>
        <v>0</v>
      </c>
    </row>
    <row r="751" spans="5:19" x14ac:dyDescent="0.75">
      <c r="E751">
        <v>746</v>
      </c>
      <c r="F751">
        <f t="shared" si="662"/>
        <v>100</v>
      </c>
      <c r="G751">
        <f t="shared" ca="1" si="663"/>
        <v>93.271349149726717</v>
      </c>
      <c r="H751">
        <f t="shared" ca="1" si="663"/>
        <v>99.1689626288413</v>
      </c>
      <c r="I751">
        <f t="shared" ca="1" si="663"/>
        <v>100.57133045591453</v>
      </c>
      <c r="J751">
        <f t="shared" ref="J751:P751" ca="1" si="698">I751*EXP(($C$6-0.5*$C$7^2)*$C$12+$C$7*SQRT($C$12)*NORMINV(RAND(),0,1))</f>
        <v>102.57501308549068</v>
      </c>
      <c r="K751">
        <f t="shared" ca="1" si="698"/>
        <v>97.223425677180629</v>
      </c>
      <c r="L751">
        <f t="shared" ca="1" si="698"/>
        <v>103.87446645246824</v>
      </c>
      <c r="M751">
        <f t="shared" ca="1" si="698"/>
        <v>109.12701662192546</v>
      </c>
      <c r="N751">
        <f t="shared" ca="1" si="698"/>
        <v>109.90750512255823</v>
      </c>
      <c r="O751">
        <f t="shared" ca="1" si="698"/>
        <v>101.29001210227565</v>
      </c>
      <c r="P751">
        <f t="shared" ca="1" si="698"/>
        <v>107.13162767862723</v>
      </c>
      <c r="Q751">
        <f t="shared" ca="1" si="664"/>
        <v>109.90750512255823</v>
      </c>
      <c r="R751">
        <f t="shared" ca="1" si="665"/>
        <v>5.1316276786272255</v>
      </c>
      <c r="S751">
        <f t="shared" ca="1" si="666"/>
        <v>5.0049273398040759</v>
      </c>
    </row>
    <row r="752" spans="5:19" x14ac:dyDescent="0.75">
      <c r="E752">
        <v>747</v>
      </c>
      <c r="F752">
        <f t="shared" si="662"/>
        <v>100</v>
      </c>
      <c r="G752">
        <f t="shared" ca="1" si="663"/>
        <v>102.05984300621319</v>
      </c>
      <c r="H752">
        <f t="shared" ca="1" si="663"/>
        <v>100.57799289131519</v>
      </c>
      <c r="I752">
        <f t="shared" ca="1" si="663"/>
        <v>93.295127186471603</v>
      </c>
      <c r="J752">
        <f t="shared" ref="J752:P752" ca="1" si="699">I752*EXP(($C$6-0.5*$C$7^2)*$C$12+$C$7*SQRT($C$12)*NORMINV(RAND(),0,1))</f>
        <v>91.78321553348249</v>
      </c>
      <c r="K752">
        <f t="shared" ca="1" si="699"/>
        <v>94.412784886783243</v>
      </c>
      <c r="L752">
        <f t="shared" ca="1" si="699"/>
        <v>89.874736113761202</v>
      </c>
      <c r="M752">
        <f t="shared" ca="1" si="699"/>
        <v>89.122830291009038</v>
      </c>
      <c r="N752">
        <f t="shared" ca="1" si="699"/>
        <v>84.981681760031549</v>
      </c>
      <c r="O752">
        <f t="shared" ca="1" si="699"/>
        <v>82.591354228587065</v>
      </c>
      <c r="P752">
        <f t="shared" ca="1" si="699"/>
        <v>87.363379183298093</v>
      </c>
      <c r="Q752">
        <f t="shared" ca="1" si="664"/>
        <v>102.05984300621319</v>
      </c>
      <c r="R752">
        <f t="shared" ca="1" si="665"/>
        <v>0</v>
      </c>
      <c r="S752">
        <f t="shared" ca="1" si="666"/>
        <v>0</v>
      </c>
    </row>
    <row r="753" spans="5:19" x14ac:dyDescent="0.75">
      <c r="E753">
        <v>748</v>
      </c>
      <c r="F753">
        <f t="shared" si="662"/>
        <v>100</v>
      </c>
      <c r="G753">
        <f t="shared" ca="1" si="663"/>
        <v>102.53393204728414</v>
      </c>
      <c r="H753">
        <f t="shared" ca="1" si="663"/>
        <v>110.59823058094456</v>
      </c>
      <c r="I753">
        <f t="shared" ca="1" si="663"/>
        <v>106.67484300340175</v>
      </c>
      <c r="J753">
        <f t="shared" ref="J753:P753" ca="1" si="700">I753*EXP(($C$6-0.5*$C$7^2)*$C$12+$C$7*SQRT($C$12)*NORMINV(RAND(),0,1))</f>
        <v>113.40024122674046</v>
      </c>
      <c r="K753">
        <f t="shared" ca="1" si="700"/>
        <v>111.90658636242475</v>
      </c>
      <c r="L753">
        <f t="shared" ca="1" si="700"/>
        <v>109.98518907009078</v>
      </c>
      <c r="M753">
        <f t="shared" ca="1" si="700"/>
        <v>123.21774093950818</v>
      </c>
      <c r="N753">
        <f t="shared" ca="1" si="700"/>
        <v>125.37796667421786</v>
      </c>
      <c r="O753">
        <f t="shared" ca="1" si="700"/>
        <v>121.29286882946512</v>
      </c>
      <c r="P753">
        <f t="shared" ca="1" si="700"/>
        <v>116.12590989935859</v>
      </c>
      <c r="Q753">
        <f t="shared" ca="1" si="664"/>
        <v>125.37796667421786</v>
      </c>
      <c r="R753">
        <f t="shared" ca="1" si="665"/>
        <v>0</v>
      </c>
      <c r="S753">
        <f t="shared" ca="1" si="666"/>
        <v>0</v>
      </c>
    </row>
    <row r="754" spans="5:19" x14ac:dyDescent="0.75">
      <c r="E754">
        <v>749</v>
      </c>
      <c r="F754">
        <f t="shared" si="662"/>
        <v>100</v>
      </c>
      <c r="G754">
        <f t="shared" ca="1" si="663"/>
        <v>98.964789610192838</v>
      </c>
      <c r="H754">
        <f t="shared" ca="1" si="663"/>
        <v>96.229897407337106</v>
      </c>
      <c r="I754">
        <f t="shared" ca="1" si="663"/>
        <v>101.22970440636271</v>
      </c>
      <c r="J754">
        <f t="shared" ref="J754:P754" ca="1" si="701">I754*EXP(($C$6-0.5*$C$7^2)*$C$12+$C$7*SQRT($C$12)*NORMINV(RAND(),0,1))</f>
        <v>108.84842195291137</v>
      </c>
      <c r="K754">
        <f t="shared" ca="1" si="701"/>
        <v>102.42271465775519</v>
      </c>
      <c r="L754">
        <f t="shared" ca="1" si="701"/>
        <v>106.22692427771327</v>
      </c>
      <c r="M754">
        <f t="shared" ca="1" si="701"/>
        <v>106.34618222095439</v>
      </c>
      <c r="N754">
        <f t="shared" ca="1" si="701"/>
        <v>105.89201228719904</v>
      </c>
      <c r="O754">
        <f t="shared" ca="1" si="701"/>
        <v>105.10715134159204</v>
      </c>
      <c r="P754">
        <f t="shared" ca="1" si="701"/>
        <v>108.46697030551559</v>
      </c>
      <c r="Q754">
        <f t="shared" ca="1" si="664"/>
        <v>108.84842195291137</v>
      </c>
      <c r="R754">
        <f t="shared" ca="1" si="665"/>
        <v>6.4669703055155878</v>
      </c>
      <c r="S754">
        <f t="shared" ca="1" si="666"/>
        <v>6.3073002397622471</v>
      </c>
    </row>
    <row r="755" spans="5:19" x14ac:dyDescent="0.75">
      <c r="E755">
        <v>750</v>
      </c>
      <c r="F755">
        <f t="shared" si="662"/>
        <v>100</v>
      </c>
      <c r="G755">
        <f t="shared" ca="1" si="663"/>
        <v>104.58724085375948</v>
      </c>
      <c r="H755">
        <f t="shared" ca="1" si="663"/>
        <v>105.40401147526936</v>
      </c>
      <c r="I755">
        <f t="shared" ca="1" si="663"/>
        <v>111.45008715682378</v>
      </c>
      <c r="J755">
        <f t="shared" ref="J755:P755" ca="1" si="702">I755*EXP(($C$6-0.5*$C$7^2)*$C$12+$C$7*SQRT($C$12)*NORMINV(RAND(),0,1))</f>
        <v>107.13664166655018</v>
      </c>
      <c r="K755">
        <f t="shared" ca="1" si="702"/>
        <v>107.79947054561646</v>
      </c>
      <c r="L755">
        <f t="shared" ca="1" si="702"/>
        <v>104.27414288280663</v>
      </c>
      <c r="M755">
        <f t="shared" ca="1" si="702"/>
        <v>106.14282172412253</v>
      </c>
      <c r="N755">
        <f t="shared" ca="1" si="702"/>
        <v>103.86399838055739</v>
      </c>
      <c r="O755">
        <f t="shared" ca="1" si="702"/>
        <v>99.235904724839472</v>
      </c>
      <c r="P755">
        <f t="shared" ca="1" si="702"/>
        <v>102.11911061161344</v>
      </c>
      <c r="Q755">
        <f t="shared" ca="1" si="664"/>
        <v>111.45008715682378</v>
      </c>
      <c r="R755">
        <f t="shared" ca="1" si="665"/>
        <v>0</v>
      </c>
      <c r="S755">
        <f t="shared" ca="1" si="666"/>
        <v>0</v>
      </c>
    </row>
    <row r="756" spans="5:19" x14ac:dyDescent="0.75">
      <c r="E756">
        <v>751</v>
      </c>
      <c r="F756">
        <f t="shared" si="662"/>
        <v>100</v>
      </c>
      <c r="G756">
        <f t="shared" ca="1" si="663"/>
        <v>103.35260541752804</v>
      </c>
      <c r="H756">
        <f t="shared" ca="1" si="663"/>
        <v>100.10963455438468</v>
      </c>
      <c r="I756">
        <f t="shared" ca="1" si="663"/>
        <v>98.294701688009027</v>
      </c>
      <c r="J756">
        <f t="shared" ref="J756:P756" ca="1" si="703">I756*EXP(($C$6-0.5*$C$7^2)*$C$12+$C$7*SQRT($C$12)*NORMINV(RAND(),0,1))</f>
        <v>95.059673065579346</v>
      </c>
      <c r="K756">
        <f t="shared" ca="1" si="703"/>
        <v>95.697983782981495</v>
      </c>
      <c r="L756">
        <f t="shared" ca="1" si="703"/>
        <v>91.23683104237621</v>
      </c>
      <c r="M756">
        <f t="shared" ca="1" si="703"/>
        <v>87.330217387414422</v>
      </c>
      <c r="N756">
        <f t="shared" ca="1" si="703"/>
        <v>93.228486862504738</v>
      </c>
      <c r="O756">
        <f t="shared" ca="1" si="703"/>
        <v>91.229653507468868</v>
      </c>
      <c r="P756">
        <f t="shared" ca="1" si="703"/>
        <v>96.17857778140818</v>
      </c>
      <c r="Q756">
        <f t="shared" ca="1" si="664"/>
        <v>103.35260541752804</v>
      </c>
      <c r="R756">
        <f t="shared" ca="1" si="665"/>
        <v>0</v>
      </c>
      <c r="S756">
        <f t="shared" ca="1" si="666"/>
        <v>0</v>
      </c>
    </row>
    <row r="757" spans="5:19" x14ac:dyDescent="0.75">
      <c r="E757">
        <v>752</v>
      </c>
      <c r="F757">
        <f t="shared" si="662"/>
        <v>100</v>
      </c>
      <c r="G757">
        <f t="shared" ca="1" si="663"/>
        <v>98.650541783844531</v>
      </c>
      <c r="H757">
        <f t="shared" ca="1" si="663"/>
        <v>101.0672916995857</v>
      </c>
      <c r="I757">
        <f t="shared" ca="1" si="663"/>
        <v>97.724131431342585</v>
      </c>
      <c r="J757">
        <f t="shared" ref="J757:P757" ca="1" si="704">I757*EXP(($C$6-0.5*$C$7^2)*$C$12+$C$7*SQRT($C$12)*NORMINV(RAND(),0,1))</f>
        <v>100.22003546169871</v>
      </c>
      <c r="K757">
        <f t="shared" ca="1" si="704"/>
        <v>100.59558043198584</v>
      </c>
      <c r="L757">
        <f t="shared" ca="1" si="704"/>
        <v>97.717778098251827</v>
      </c>
      <c r="M757">
        <f t="shared" ca="1" si="704"/>
        <v>94.664789869127219</v>
      </c>
      <c r="N757">
        <f t="shared" ca="1" si="704"/>
        <v>93.813817465559495</v>
      </c>
      <c r="O757">
        <f t="shared" ca="1" si="704"/>
        <v>97.165593824277465</v>
      </c>
      <c r="P757">
        <f t="shared" ca="1" si="704"/>
        <v>103.44788968525195</v>
      </c>
      <c r="Q757">
        <f t="shared" ca="1" si="664"/>
        <v>103.44788968525195</v>
      </c>
      <c r="R757">
        <f t="shared" ca="1" si="665"/>
        <v>1.4478896852519512</v>
      </c>
      <c r="S757">
        <f t="shared" ca="1" si="666"/>
        <v>1.4121411615498107</v>
      </c>
    </row>
    <row r="758" spans="5:19" x14ac:dyDescent="0.75">
      <c r="E758">
        <v>753</v>
      </c>
      <c r="F758">
        <f t="shared" si="662"/>
        <v>100</v>
      </c>
      <c r="G758">
        <f t="shared" ca="1" si="663"/>
        <v>99.311493729607946</v>
      </c>
      <c r="H758">
        <f t="shared" ca="1" si="663"/>
        <v>104.97193742466831</v>
      </c>
      <c r="I758">
        <f t="shared" ca="1" si="663"/>
        <v>112.31123373828738</v>
      </c>
      <c r="J758">
        <f t="shared" ref="J758:P758" ca="1" si="705">I758*EXP(($C$6-0.5*$C$7^2)*$C$12+$C$7*SQRT($C$12)*NORMINV(RAND(),0,1))</f>
        <v>103.93293579551208</v>
      </c>
      <c r="K758">
        <f t="shared" ca="1" si="705"/>
        <v>99.092313255214833</v>
      </c>
      <c r="L758">
        <f t="shared" ca="1" si="705"/>
        <v>95.661246374783033</v>
      </c>
      <c r="M758">
        <f t="shared" ca="1" si="705"/>
        <v>102.48905212203186</v>
      </c>
      <c r="N758">
        <f t="shared" ca="1" si="705"/>
        <v>102.96469666473143</v>
      </c>
      <c r="O758">
        <f t="shared" ca="1" si="705"/>
        <v>104.34461743542747</v>
      </c>
      <c r="P758">
        <f t="shared" ca="1" si="705"/>
        <v>109.00017205611331</v>
      </c>
      <c r="Q758">
        <f t="shared" ca="1" si="664"/>
        <v>112.31123373828738</v>
      </c>
      <c r="R758">
        <f t="shared" ca="1" si="665"/>
        <v>0</v>
      </c>
      <c r="S758">
        <f t="shared" ca="1" si="666"/>
        <v>0</v>
      </c>
    </row>
    <row r="759" spans="5:19" x14ac:dyDescent="0.75">
      <c r="E759">
        <v>754</v>
      </c>
      <c r="F759">
        <f t="shared" si="662"/>
        <v>100</v>
      </c>
      <c r="G759">
        <f t="shared" ca="1" si="663"/>
        <v>103.32030512316499</v>
      </c>
      <c r="H759">
        <f t="shared" ca="1" si="663"/>
        <v>110.93294429390531</v>
      </c>
      <c r="I759">
        <f t="shared" ca="1" si="663"/>
        <v>109.10060674770372</v>
      </c>
      <c r="J759">
        <f t="shared" ref="J759:P759" ca="1" si="706">I759*EXP(($C$6-0.5*$C$7^2)*$C$12+$C$7*SQRT($C$12)*NORMINV(RAND(),0,1))</f>
        <v>98.786532712516262</v>
      </c>
      <c r="K759">
        <f t="shared" ca="1" si="706"/>
        <v>98.330647217309846</v>
      </c>
      <c r="L759">
        <f t="shared" ca="1" si="706"/>
        <v>109.24976232130774</v>
      </c>
      <c r="M759">
        <f t="shared" ca="1" si="706"/>
        <v>99.980016252442354</v>
      </c>
      <c r="N759">
        <f t="shared" ca="1" si="706"/>
        <v>104.39670555115283</v>
      </c>
      <c r="O759">
        <f t="shared" ca="1" si="706"/>
        <v>105.51275771419999</v>
      </c>
      <c r="P759">
        <f t="shared" ca="1" si="706"/>
        <v>116.51093807356953</v>
      </c>
      <c r="Q759">
        <f t="shared" ca="1" si="664"/>
        <v>116.51093807356953</v>
      </c>
      <c r="R759">
        <f t="shared" ca="1" si="665"/>
        <v>0</v>
      </c>
      <c r="S759">
        <f t="shared" ca="1" si="666"/>
        <v>0</v>
      </c>
    </row>
    <row r="760" spans="5:19" x14ac:dyDescent="0.75">
      <c r="E760">
        <v>755</v>
      </c>
      <c r="F760">
        <f t="shared" si="662"/>
        <v>100</v>
      </c>
      <c r="G760">
        <f t="shared" ca="1" si="663"/>
        <v>92.597155060450703</v>
      </c>
      <c r="H760">
        <f t="shared" ca="1" si="663"/>
        <v>89.400446116175189</v>
      </c>
      <c r="I760">
        <f t="shared" ca="1" si="663"/>
        <v>88.203580540268888</v>
      </c>
      <c r="J760">
        <f t="shared" ref="J760:P760" ca="1" si="707">I760*EXP(($C$6-0.5*$C$7^2)*$C$12+$C$7*SQRT($C$12)*NORMINV(RAND(),0,1))</f>
        <v>87.20520163573201</v>
      </c>
      <c r="K760">
        <f t="shared" ca="1" si="707"/>
        <v>90.302854022622597</v>
      </c>
      <c r="L760">
        <f t="shared" ca="1" si="707"/>
        <v>88.408709424435486</v>
      </c>
      <c r="M760">
        <f t="shared" ca="1" si="707"/>
        <v>84.158943358496785</v>
      </c>
      <c r="N760">
        <f t="shared" ca="1" si="707"/>
        <v>78.184268861826368</v>
      </c>
      <c r="O760">
        <f t="shared" ca="1" si="707"/>
        <v>83.330711756942421</v>
      </c>
      <c r="P760">
        <f t="shared" ca="1" si="707"/>
        <v>76.587706970986844</v>
      </c>
      <c r="Q760">
        <f t="shared" ca="1" si="664"/>
        <v>92.597155060450703</v>
      </c>
      <c r="R760">
        <f t="shared" ca="1" si="665"/>
        <v>0</v>
      </c>
      <c r="S760">
        <f t="shared" ca="1" si="666"/>
        <v>0</v>
      </c>
    </row>
    <row r="761" spans="5:19" x14ac:dyDescent="0.75">
      <c r="E761">
        <v>756</v>
      </c>
      <c r="F761">
        <f t="shared" si="662"/>
        <v>100</v>
      </c>
      <c r="G761">
        <f t="shared" ca="1" si="663"/>
        <v>95.414278131481808</v>
      </c>
      <c r="H761">
        <f t="shared" ca="1" si="663"/>
        <v>94.843074697661493</v>
      </c>
      <c r="I761">
        <f t="shared" ca="1" si="663"/>
        <v>88.580966604752902</v>
      </c>
      <c r="J761">
        <f t="shared" ref="J761:P761" ca="1" si="708">I761*EXP(($C$6-0.5*$C$7^2)*$C$12+$C$7*SQRT($C$12)*NORMINV(RAND(),0,1))</f>
        <v>90.690052227213755</v>
      </c>
      <c r="K761">
        <f t="shared" ca="1" si="708"/>
        <v>96.171470234021655</v>
      </c>
      <c r="L761">
        <f t="shared" ca="1" si="708"/>
        <v>100.20212854867333</v>
      </c>
      <c r="M761">
        <f t="shared" ca="1" si="708"/>
        <v>102.30075016593054</v>
      </c>
      <c r="N761">
        <f t="shared" ca="1" si="708"/>
        <v>104.83432959252961</v>
      </c>
      <c r="O761">
        <f t="shared" ca="1" si="708"/>
        <v>106.92537184778027</v>
      </c>
      <c r="P761">
        <f t="shared" ca="1" si="708"/>
        <v>108.12680775131646</v>
      </c>
      <c r="Q761">
        <f t="shared" ca="1" si="664"/>
        <v>108.12680775131646</v>
      </c>
      <c r="R761">
        <f t="shared" ca="1" si="665"/>
        <v>6.1268077513164627</v>
      </c>
      <c r="S761">
        <f t="shared" ca="1" si="666"/>
        <v>5.975536328950966</v>
      </c>
    </row>
    <row r="762" spans="5:19" x14ac:dyDescent="0.75">
      <c r="E762">
        <v>757</v>
      </c>
      <c r="F762">
        <f t="shared" si="662"/>
        <v>100</v>
      </c>
      <c r="G762">
        <f t="shared" ca="1" si="663"/>
        <v>100.38536823345933</v>
      </c>
      <c r="H762">
        <f t="shared" ca="1" si="663"/>
        <v>103.47029679524543</v>
      </c>
      <c r="I762">
        <f t="shared" ca="1" si="663"/>
        <v>105.75325615762479</v>
      </c>
      <c r="J762">
        <f t="shared" ref="J762:P762" ca="1" si="709">I762*EXP(($C$6-0.5*$C$7^2)*$C$12+$C$7*SQRT($C$12)*NORMINV(RAND(),0,1))</f>
        <v>106.05212211699703</v>
      </c>
      <c r="K762">
        <f t="shared" ca="1" si="709"/>
        <v>111.58813254316462</v>
      </c>
      <c r="L762">
        <f t="shared" ca="1" si="709"/>
        <v>116.70619603116705</v>
      </c>
      <c r="M762">
        <f t="shared" ca="1" si="709"/>
        <v>126.95945432059773</v>
      </c>
      <c r="N762">
        <f t="shared" ca="1" si="709"/>
        <v>129.94501753199555</v>
      </c>
      <c r="O762">
        <f t="shared" ca="1" si="709"/>
        <v>123.60936745810893</v>
      </c>
      <c r="P762">
        <f t="shared" ca="1" si="709"/>
        <v>130.64695269379786</v>
      </c>
      <c r="Q762">
        <f t="shared" ca="1" si="664"/>
        <v>130.64695269379786</v>
      </c>
      <c r="R762">
        <f t="shared" ca="1" si="665"/>
        <v>0</v>
      </c>
      <c r="S762">
        <f t="shared" ca="1" si="666"/>
        <v>0</v>
      </c>
    </row>
    <row r="763" spans="5:19" x14ac:dyDescent="0.75">
      <c r="E763">
        <v>758</v>
      </c>
      <c r="F763">
        <f t="shared" si="662"/>
        <v>100</v>
      </c>
      <c r="G763">
        <f t="shared" ca="1" si="663"/>
        <v>96.461382415313139</v>
      </c>
      <c r="H763">
        <f t="shared" ca="1" si="663"/>
        <v>94.305982047151588</v>
      </c>
      <c r="I763">
        <f t="shared" ca="1" si="663"/>
        <v>94.552439352558267</v>
      </c>
      <c r="J763">
        <f t="shared" ref="J763:P763" ca="1" si="710">I763*EXP(($C$6-0.5*$C$7^2)*$C$12+$C$7*SQRT($C$12)*NORMINV(RAND(),0,1))</f>
        <v>101.63759733115019</v>
      </c>
      <c r="K763">
        <f t="shared" ca="1" si="710"/>
        <v>107.76067441942209</v>
      </c>
      <c r="L763">
        <f t="shared" ca="1" si="710"/>
        <v>110.53225382666102</v>
      </c>
      <c r="M763">
        <f t="shared" ca="1" si="710"/>
        <v>104.24009701601059</v>
      </c>
      <c r="N763">
        <f t="shared" ca="1" si="710"/>
        <v>101.16474530209115</v>
      </c>
      <c r="O763">
        <f t="shared" ca="1" si="710"/>
        <v>100.62427583824584</v>
      </c>
      <c r="P763">
        <f t="shared" ca="1" si="710"/>
        <v>97.317244608507124</v>
      </c>
      <c r="Q763">
        <f t="shared" ca="1" si="664"/>
        <v>110.53225382666102</v>
      </c>
      <c r="R763">
        <f t="shared" ca="1" si="665"/>
        <v>0</v>
      </c>
      <c r="S763">
        <f t="shared" ca="1" si="666"/>
        <v>0</v>
      </c>
    </row>
    <row r="764" spans="5:19" x14ac:dyDescent="0.75">
      <c r="E764">
        <v>759</v>
      </c>
      <c r="F764">
        <f t="shared" si="662"/>
        <v>100</v>
      </c>
      <c r="G764">
        <f t="shared" ca="1" si="663"/>
        <v>104.05075214162443</v>
      </c>
      <c r="H764">
        <f t="shared" ca="1" si="663"/>
        <v>107.54386774939589</v>
      </c>
      <c r="I764">
        <f t="shared" ca="1" si="663"/>
        <v>108.25191000013844</v>
      </c>
      <c r="J764">
        <f t="shared" ref="J764:P764" ca="1" si="711">I764*EXP(($C$6-0.5*$C$7^2)*$C$12+$C$7*SQRT($C$12)*NORMINV(RAND(),0,1))</f>
        <v>105.744292955746</v>
      </c>
      <c r="K764">
        <f t="shared" ca="1" si="711"/>
        <v>110.87434709487306</v>
      </c>
      <c r="L764">
        <f t="shared" ca="1" si="711"/>
        <v>105.68819763726687</v>
      </c>
      <c r="M764">
        <f t="shared" ca="1" si="711"/>
        <v>109.85428601549359</v>
      </c>
      <c r="N764">
        <f t="shared" ca="1" si="711"/>
        <v>116.69427352103349</v>
      </c>
      <c r="O764">
        <f t="shared" ca="1" si="711"/>
        <v>123.6894084757553</v>
      </c>
      <c r="P764">
        <f t="shared" ca="1" si="711"/>
        <v>139.96353440552099</v>
      </c>
      <c r="Q764">
        <f t="shared" ca="1" si="664"/>
        <v>139.96353440552099</v>
      </c>
      <c r="R764">
        <f t="shared" ca="1" si="665"/>
        <v>0</v>
      </c>
      <c r="S764">
        <f t="shared" ca="1" si="666"/>
        <v>0</v>
      </c>
    </row>
    <row r="765" spans="5:19" x14ac:dyDescent="0.75">
      <c r="E765">
        <v>760</v>
      </c>
      <c r="F765">
        <f t="shared" si="662"/>
        <v>100</v>
      </c>
      <c r="G765">
        <f t="shared" ca="1" si="663"/>
        <v>91.867299006569908</v>
      </c>
      <c r="H765">
        <f t="shared" ca="1" si="663"/>
        <v>85.225018649103419</v>
      </c>
      <c r="I765">
        <f t="shared" ca="1" si="663"/>
        <v>80.850020792466509</v>
      </c>
      <c r="J765">
        <f t="shared" ref="J765:P765" ca="1" si="712">I765*EXP(($C$6-0.5*$C$7^2)*$C$12+$C$7*SQRT($C$12)*NORMINV(RAND(),0,1))</f>
        <v>84.447962588710084</v>
      </c>
      <c r="K765">
        <f t="shared" ca="1" si="712"/>
        <v>89.031733176970562</v>
      </c>
      <c r="L765">
        <f t="shared" ca="1" si="712"/>
        <v>90.57841516794339</v>
      </c>
      <c r="M765">
        <f t="shared" ca="1" si="712"/>
        <v>87.79658116894683</v>
      </c>
      <c r="N765">
        <f t="shared" ca="1" si="712"/>
        <v>89.374595205017897</v>
      </c>
      <c r="O765">
        <f t="shared" ca="1" si="712"/>
        <v>99.512945599469973</v>
      </c>
      <c r="P765">
        <f t="shared" ca="1" si="712"/>
        <v>103.26180671141505</v>
      </c>
      <c r="Q765">
        <f t="shared" ca="1" si="664"/>
        <v>103.26180671141505</v>
      </c>
      <c r="R765">
        <f t="shared" ca="1" si="665"/>
        <v>1.2618067114150477</v>
      </c>
      <c r="S765">
        <f t="shared" ca="1" si="666"/>
        <v>1.2306525927069698</v>
      </c>
    </row>
    <row r="766" spans="5:19" x14ac:dyDescent="0.75">
      <c r="E766">
        <v>761</v>
      </c>
      <c r="F766">
        <f t="shared" si="662"/>
        <v>100</v>
      </c>
      <c r="G766">
        <f t="shared" ca="1" si="663"/>
        <v>100.86919400890358</v>
      </c>
      <c r="H766">
        <f t="shared" ca="1" si="663"/>
        <v>105.79542619313403</v>
      </c>
      <c r="I766">
        <f t="shared" ca="1" si="663"/>
        <v>108.60794780034522</v>
      </c>
      <c r="J766">
        <f t="shared" ref="J766:P766" ca="1" si="713">I766*EXP(($C$6-0.5*$C$7^2)*$C$12+$C$7*SQRT($C$12)*NORMINV(RAND(),0,1))</f>
        <v>111.7807807185509</v>
      </c>
      <c r="K766">
        <f t="shared" ca="1" si="713"/>
        <v>117.04950915456622</v>
      </c>
      <c r="L766">
        <f t="shared" ca="1" si="713"/>
        <v>113.3312195932585</v>
      </c>
      <c r="M766">
        <f t="shared" ca="1" si="713"/>
        <v>115.13477380580997</v>
      </c>
      <c r="N766">
        <f t="shared" ca="1" si="713"/>
        <v>106.33526270604303</v>
      </c>
      <c r="O766">
        <f t="shared" ca="1" si="713"/>
        <v>114.91882286857269</v>
      </c>
      <c r="P766">
        <f t="shared" ca="1" si="713"/>
        <v>109.44115772778652</v>
      </c>
      <c r="Q766">
        <f t="shared" ca="1" si="664"/>
        <v>117.04950915456622</v>
      </c>
      <c r="R766">
        <f t="shared" ca="1" si="665"/>
        <v>0</v>
      </c>
      <c r="S766">
        <f t="shared" ca="1" si="666"/>
        <v>0</v>
      </c>
    </row>
    <row r="767" spans="5:19" x14ac:dyDescent="0.75">
      <c r="E767">
        <v>762</v>
      </c>
      <c r="F767">
        <f t="shared" si="662"/>
        <v>100</v>
      </c>
      <c r="G767">
        <f t="shared" ca="1" si="663"/>
        <v>96.551383718583168</v>
      </c>
      <c r="H767">
        <f t="shared" ca="1" si="663"/>
        <v>95.88422041610653</v>
      </c>
      <c r="I767">
        <f t="shared" ca="1" si="663"/>
        <v>91.51591515314945</v>
      </c>
      <c r="J767">
        <f t="shared" ref="J767:P767" ca="1" si="714">I767*EXP(($C$6-0.5*$C$7^2)*$C$12+$C$7*SQRT($C$12)*NORMINV(RAND(),0,1))</f>
        <v>93.059679450017313</v>
      </c>
      <c r="K767">
        <f t="shared" ca="1" si="714"/>
        <v>94.286789471200009</v>
      </c>
      <c r="L767">
        <f t="shared" ca="1" si="714"/>
        <v>101.0640012236957</v>
      </c>
      <c r="M767">
        <f t="shared" ca="1" si="714"/>
        <v>105.91977065879375</v>
      </c>
      <c r="N767">
        <f t="shared" ca="1" si="714"/>
        <v>106.78791631439292</v>
      </c>
      <c r="O767">
        <f t="shared" ca="1" si="714"/>
        <v>114.30674721229798</v>
      </c>
      <c r="P767">
        <f t="shared" ca="1" si="714"/>
        <v>108.06037936334319</v>
      </c>
      <c r="Q767">
        <f t="shared" ca="1" si="664"/>
        <v>114.30674721229798</v>
      </c>
      <c r="R767">
        <f t="shared" ca="1" si="665"/>
        <v>0</v>
      </c>
      <c r="S767">
        <f t="shared" ca="1" si="666"/>
        <v>0</v>
      </c>
    </row>
    <row r="768" spans="5:19" x14ac:dyDescent="0.75">
      <c r="E768">
        <v>763</v>
      </c>
      <c r="F768">
        <f t="shared" si="662"/>
        <v>100</v>
      </c>
      <c r="G768">
        <f t="shared" ca="1" si="663"/>
        <v>96.389693495718987</v>
      </c>
      <c r="H768">
        <f t="shared" ca="1" si="663"/>
        <v>95.692355473270382</v>
      </c>
      <c r="I768">
        <f t="shared" ca="1" si="663"/>
        <v>93.346254826449581</v>
      </c>
      <c r="J768">
        <f t="shared" ref="J768:P768" ca="1" si="715">I768*EXP(($C$6-0.5*$C$7^2)*$C$12+$C$7*SQRT($C$12)*NORMINV(RAND(),0,1))</f>
        <v>97.488311243429493</v>
      </c>
      <c r="K768">
        <f t="shared" ca="1" si="715"/>
        <v>101.6613882687946</v>
      </c>
      <c r="L768">
        <f t="shared" ca="1" si="715"/>
        <v>100.54580967852529</v>
      </c>
      <c r="M768">
        <f t="shared" ca="1" si="715"/>
        <v>108.23435388136869</v>
      </c>
      <c r="N768">
        <f t="shared" ca="1" si="715"/>
        <v>107.00678972209306</v>
      </c>
      <c r="O768">
        <f t="shared" ca="1" si="715"/>
        <v>94.376006846413887</v>
      </c>
      <c r="P768">
        <f t="shared" ca="1" si="715"/>
        <v>90.04797959344819</v>
      </c>
      <c r="Q768">
        <f t="shared" ca="1" si="664"/>
        <v>108.23435388136869</v>
      </c>
      <c r="R768">
        <f t="shared" ca="1" si="665"/>
        <v>0</v>
      </c>
      <c r="S768">
        <f t="shared" ca="1" si="666"/>
        <v>0</v>
      </c>
    </row>
    <row r="769" spans="5:19" x14ac:dyDescent="0.75">
      <c r="E769">
        <v>764</v>
      </c>
      <c r="F769">
        <f t="shared" si="662"/>
        <v>100</v>
      </c>
      <c r="G769">
        <f t="shared" ca="1" si="663"/>
        <v>96.126738261421224</v>
      </c>
      <c r="H769">
        <f t="shared" ca="1" si="663"/>
        <v>89.486211815355844</v>
      </c>
      <c r="I769">
        <f t="shared" ca="1" si="663"/>
        <v>83.179627714388545</v>
      </c>
      <c r="J769">
        <f t="shared" ref="J769:P769" ca="1" si="716">I769*EXP(($C$6-0.5*$C$7^2)*$C$12+$C$7*SQRT($C$12)*NORMINV(RAND(),0,1))</f>
        <v>80.069854290924312</v>
      </c>
      <c r="K769">
        <f t="shared" ca="1" si="716"/>
        <v>77.596838235114106</v>
      </c>
      <c r="L769">
        <f t="shared" ca="1" si="716"/>
        <v>75.978382850449037</v>
      </c>
      <c r="M769">
        <f t="shared" ca="1" si="716"/>
        <v>75.345161883190798</v>
      </c>
      <c r="N769">
        <f t="shared" ca="1" si="716"/>
        <v>77.90949726218571</v>
      </c>
      <c r="O769">
        <f t="shared" ca="1" si="716"/>
        <v>85.74651557985257</v>
      </c>
      <c r="P769">
        <f t="shared" ca="1" si="716"/>
        <v>88.252561506575091</v>
      </c>
      <c r="Q769">
        <f t="shared" ca="1" si="664"/>
        <v>96.126738261421224</v>
      </c>
      <c r="R769">
        <f t="shared" ca="1" si="665"/>
        <v>0</v>
      </c>
      <c r="S769">
        <f t="shared" ca="1" si="666"/>
        <v>0</v>
      </c>
    </row>
    <row r="770" spans="5:19" x14ac:dyDescent="0.75">
      <c r="E770">
        <v>765</v>
      </c>
      <c r="F770">
        <f t="shared" si="662"/>
        <v>100</v>
      </c>
      <c r="G770">
        <f t="shared" ca="1" si="663"/>
        <v>102.90846355753283</v>
      </c>
      <c r="H770">
        <f t="shared" ca="1" si="663"/>
        <v>107.11674641492991</v>
      </c>
      <c r="I770">
        <f t="shared" ca="1" si="663"/>
        <v>103.16551263132141</v>
      </c>
      <c r="J770">
        <f t="shared" ref="J770:P770" ca="1" si="717">I770*EXP(($C$6-0.5*$C$7^2)*$C$12+$C$7*SQRT($C$12)*NORMINV(RAND(),0,1))</f>
        <v>106.87900158047015</v>
      </c>
      <c r="K770">
        <f t="shared" ca="1" si="717"/>
        <v>108.16820176841559</v>
      </c>
      <c r="L770">
        <f t="shared" ca="1" si="717"/>
        <v>107.11383394337517</v>
      </c>
      <c r="M770">
        <f t="shared" ca="1" si="717"/>
        <v>106.91475986041867</v>
      </c>
      <c r="N770">
        <f t="shared" ca="1" si="717"/>
        <v>102.81766768872437</v>
      </c>
      <c r="O770">
        <f t="shared" ca="1" si="717"/>
        <v>110.73035597525275</v>
      </c>
      <c r="P770">
        <f t="shared" ca="1" si="717"/>
        <v>108.65941285163407</v>
      </c>
      <c r="Q770">
        <f t="shared" ca="1" si="664"/>
        <v>110.73035597525275</v>
      </c>
      <c r="R770">
        <f t="shared" ca="1" si="665"/>
        <v>0</v>
      </c>
      <c r="S770">
        <f t="shared" ca="1" si="666"/>
        <v>0</v>
      </c>
    </row>
    <row r="771" spans="5:19" x14ac:dyDescent="0.75">
      <c r="E771">
        <v>766</v>
      </c>
      <c r="F771">
        <f t="shared" si="662"/>
        <v>100</v>
      </c>
      <c r="G771">
        <f t="shared" ca="1" si="663"/>
        <v>102.90122977233321</v>
      </c>
      <c r="H771">
        <f t="shared" ca="1" si="663"/>
        <v>105.06480097684671</v>
      </c>
      <c r="I771">
        <f t="shared" ca="1" si="663"/>
        <v>105.23312392029965</v>
      </c>
      <c r="J771">
        <f t="shared" ref="J771:P771" ca="1" si="718">I771*EXP(($C$6-0.5*$C$7^2)*$C$12+$C$7*SQRT($C$12)*NORMINV(RAND(),0,1))</f>
        <v>106.73686511886882</v>
      </c>
      <c r="K771">
        <f t="shared" ca="1" si="718"/>
        <v>114.51949562318093</v>
      </c>
      <c r="L771">
        <f t="shared" ca="1" si="718"/>
        <v>104.16811751156644</v>
      </c>
      <c r="M771">
        <f t="shared" ca="1" si="718"/>
        <v>105.06926998200709</v>
      </c>
      <c r="N771">
        <f t="shared" ca="1" si="718"/>
        <v>105.3016759183064</v>
      </c>
      <c r="O771">
        <f t="shared" ca="1" si="718"/>
        <v>105.3693166575846</v>
      </c>
      <c r="P771">
        <f t="shared" ca="1" si="718"/>
        <v>111.82498876521915</v>
      </c>
      <c r="Q771">
        <f t="shared" ca="1" si="664"/>
        <v>114.51949562318093</v>
      </c>
      <c r="R771">
        <f t="shared" ca="1" si="665"/>
        <v>0</v>
      </c>
      <c r="S771">
        <f t="shared" ca="1" si="666"/>
        <v>0</v>
      </c>
    </row>
    <row r="772" spans="5:19" x14ac:dyDescent="0.75">
      <c r="E772">
        <v>767</v>
      </c>
      <c r="F772">
        <f t="shared" si="662"/>
        <v>100</v>
      </c>
      <c r="G772">
        <f t="shared" ca="1" si="663"/>
        <v>100.6041382429181</v>
      </c>
      <c r="H772">
        <f t="shared" ca="1" si="663"/>
        <v>97.471478762873758</v>
      </c>
      <c r="I772">
        <f t="shared" ca="1" si="663"/>
        <v>96.323127022755997</v>
      </c>
      <c r="J772">
        <f t="shared" ref="J772:P772" ca="1" si="719">I772*EXP(($C$6-0.5*$C$7^2)*$C$12+$C$7*SQRT($C$12)*NORMINV(RAND(),0,1))</f>
        <v>98.655578527762714</v>
      </c>
      <c r="K772">
        <f t="shared" ca="1" si="719"/>
        <v>102.52009569336515</v>
      </c>
      <c r="L772">
        <f t="shared" ca="1" si="719"/>
        <v>91.466912015591788</v>
      </c>
      <c r="M772">
        <f t="shared" ca="1" si="719"/>
        <v>94.705590760313342</v>
      </c>
      <c r="N772">
        <f t="shared" ca="1" si="719"/>
        <v>97.567998478752799</v>
      </c>
      <c r="O772">
        <f t="shared" ca="1" si="719"/>
        <v>96.602475350919988</v>
      </c>
      <c r="P772">
        <f t="shared" ca="1" si="719"/>
        <v>100.36935135731005</v>
      </c>
      <c r="Q772">
        <f t="shared" ca="1" si="664"/>
        <v>102.52009569336515</v>
      </c>
      <c r="R772">
        <f t="shared" ca="1" si="665"/>
        <v>0</v>
      </c>
      <c r="S772">
        <f t="shared" ca="1" si="666"/>
        <v>0</v>
      </c>
    </row>
    <row r="773" spans="5:19" x14ac:dyDescent="0.75">
      <c r="E773">
        <v>768</v>
      </c>
      <c r="F773">
        <f t="shared" si="662"/>
        <v>100</v>
      </c>
      <c r="G773">
        <f t="shared" ca="1" si="663"/>
        <v>98.350157381481111</v>
      </c>
      <c r="H773">
        <f t="shared" ca="1" si="663"/>
        <v>97.095742024702858</v>
      </c>
      <c r="I773">
        <f t="shared" ca="1" si="663"/>
        <v>109.17490465914075</v>
      </c>
      <c r="J773">
        <f t="shared" ref="J773:P773" ca="1" si="720">I773*EXP(($C$6-0.5*$C$7^2)*$C$12+$C$7*SQRT($C$12)*NORMINV(RAND(),0,1))</f>
        <v>96.315661352540616</v>
      </c>
      <c r="K773">
        <f t="shared" ca="1" si="720"/>
        <v>94.622784997174321</v>
      </c>
      <c r="L773">
        <f t="shared" ca="1" si="720"/>
        <v>99.841463892420933</v>
      </c>
      <c r="M773">
        <f t="shared" ca="1" si="720"/>
        <v>107.62613720265556</v>
      </c>
      <c r="N773">
        <f t="shared" ca="1" si="720"/>
        <v>109.00852685860026</v>
      </c>
      <c r="O773">
        <f t="shared" ca="1" si="720"/>
        <v>109.89963132852711</v>
      </c>
      <c r="P773">
        <f t="shared" ca="1" si="720"/>
        <v>115.98304630876009</v>
      </c>
      <c r="Q773">
        <f t="shared" ca="1" si="664"/>
        <v>115.98304630876009</v>
      </c>
      <c r="R773">
        <f t="shared" ca="1" si="665"/>
        <v>0</v>
      </c>
      <c r="S773">
        <f t="shared" ca="1" si="666"/>
        <v>0</v>
      </c>
    </row>
    <row r="774" spans="5:19" x14ac:dyDescent="0.75">
      <c r="E774">
        <v>769</v>
      </c>
      <c r="F774">
        <f t="shared" si="662"/>
        <v>100</v>
      </c>
      <c r="G774">
        <f t="shared" ca="1" si="663"/>
        <v>90.102645953175781</v>
      </c>
      <c r="H774">
        <f t="shared" ca="1" si="663"/>
        <v>91.955725633143615</v>
      </c>
      <c r="I774">
        <f t="shared" ca="1" si="663"/>
        <v>90.247654209388187</v>
      </c>
      <c r="J774">
        <f t="shared" ref="J774:P774" ca="1" si="721">I774*EXP(($C$6-0.5*$C$7^2)*$C$12+$C$7*SQRT($C$12)*NORMINV(RAND(),0,1))</f>
        <v>95.202004851508093</v>
      </c>
      <c r="K774">
        <f t="shared" ca="1" si="721"/>
        <v>90.957115678158303</v>
      </c>
      <c r="L774">
        <f t="shared" ca="1" si="721"/>
        <v>89.247142310000058</v>
      </c>
      <c r="M774">
        <f t="shared" ca="1" si="721"/>
        <v>93.441679653155816</v>
      </c>
      <c r="N774">
        <f t="shared" ca="1" si="721"/>
        <v>98.539967255808634</v>
      </c>
      <c r="O774">
        <f t="shared" ca="1" si="721"/>
        <v>95.240302627320844</v>
      </c>
      <c r="P774">
        <f t="shared" ca="1" si="721"/>
        <v>95.402233633891427</v>
      </c>
      <c r="Q774">
        <f t="shared" ca="1" si="664"/>
        <v>98.539967255808634</v>
      </c>
      <c r="R774">
        <f t="shared" ca="1" si="665"/>
        <v>0</v>
      </c>
      <c r="S774">
        <f t="shared" ca="1" si="666"/>
        <v>0</v>
      </c>
    </row>
    <row r="775" spans="5:19" x14ac:dyDescent="0.75">
      <c r="E775">
        <v>770</v>
      </c>
      <c r="F775">
        <f t="shared" ref="F775:F838" si="722">$C$5</f>
        <v>100</v>
      </c>
      <c r="G775">
        <f t="shared" ref="G775:P838" ca="1" si="723">F775*EXP(($C$6-0.5*$C$7^2)*$C$12+$C$7*SQRT($C$12)*NORMINV(RAND(),0,1))</f>
        <v>107.80711956988829</v>
      </c>
      <c r="H775">
        <f t="shared" ca="1" si="723"/>
        <v>104.77083082958444</v>
      </c>
      <c r="I775">
        <f t="shared" ca="1" si="723"/>
        <v>102.05294847437112</v>
      </c>
      <c r="J775">
        <f t="shared" ca="1" si="723"/>
        <v>101.26252721757307</v>
      </c>
      <c r="K775">
        <f t="shared" ca="1" si="723"/>
        <v>105.75203905672527</v>
      </c>
      <c r="L775">
        <f t="shared" ca="1" si="723"/>
        <v>96.005969291633974</v>
      </c>
      <c r="M775">
        <f t="shared" ca="1" si="723"/>
        <v>89.638708835963428</v>
      </c>
      <c r="N775">
        <f t="shared" ca="1" si="723"/>
        <v>96.703971479813262</v>
      </c>
      <c r="O775">
        <f t="shared" ca="1" si="723"/>
        <v>100.33067368677186</v>
      </c>
      <c r="P775">
        <f t="shared" ca="1" si="723"/>
        <v>98.85572021399129</v>
      </c>
      <c r="Q775">
        <f t="shared" ref="Q775:Q838" ca="1" si="724">MAX(G775:P775)</f>
        <v>107.80711956988829</v>
      </c>
      <c r="R775">
        <f t="shared" ref="R775:R838" ca="1" si="725">IF(Q775&gt;=$C$13,0, MAX(P775-$C$9,0))</f>
        <v>0</v>
      </c>
      <c r="S775">
        <f t="shared" ref="S775:S838" ca="1" si="726">EXP(-$C$6*$C$8)*R775</f>
        <v>0</v>
      </c>
    </row>
    <row r="776" spans="5:19" x14ac:dyDescent="0.75">
      <c r="E776">
        <v>771</v>
      </c>
      <c r="F776">
        <f t="shared" si="722"/>
        <v>100</v>
      </c>
      <c r="G776">
        <f t="shared" ca="1" si="723"/>
        <v>99.848910685920799</v>
      </c>
      <c r="H776">
        <f t="shared" ca="1" si="723"/>
        <v>100.51299416263994</v>
      </c>
      <c r="I776">
        <f t="shared" ca="1" si="723"/>
        <v>99.835209135492704</v>
      </c>
      <c r="J776">
        <f t="shared" ca="1" si="723"/>
        <v>102.1523148572949</v>
      </c>
      <c r="K776">
        <f t="shared" ca="1" si="723"/>
        <v>100.19534891848355</v>
      </c>
      <c r="L776">
        <f t="shared" ca="1" si="723"/>
        <v>102.48176360789172</v>
      </c>
      <c r="M776">
        <f t="shared" ca="1" si="723"/>
        <v>108.66565450962905</v>
      </c>
      <c r="N776">
        <f t="shared" ca="1" si="723"/>
        <v>112.06673924939362</v>
      </c>
      <c r="O776">
        <f t="shared" ca="1" si="723"/>
        <v>122.60949527706018</v>
      </c>
      <c r="P776">
        <f t="shared" ca="1" si="723"/>
        <v>122.72476032330491</v>
      </c>
      <c r="Q776">
        <f t="shared" ca="1" si="724"/>
        <v>122.72476032330491</v>
      </c>
      <c r="R776">
        <f t="shared" ca="1" si="725"/>
        <v>0</v>
      </c>
      <c r="S776">
        <f t="shared" ca="1" si="726"/>
        <v>0</v>
      </c>
    </row>
    <row r="777" spans="5:19" x14ac:dyDescent="0.75">
      <c r="E777">
        <v>772</v>
      </c>
      <c r="F777">
        <f t="shared" si="722"/>
        <v>100</v>
      </c>
      <c r="G777">
        <f t="shared" ca="1" si="723"/>
        <v>99.176529098485986</v>
      </c>
      <c r="H777">
        <f t="shared" ca="1" si="723"/>
        <v>97.479273266695415</v>
      </c>
      <c r="I777">
        <f t="shared" ca="1" si="723"/>
        <v>99.831789426680032</v>
      </c>
      <c r="J777">
        <f t="shared" ca="1" si="723"/>
        <v>97.241068167259613</v>
      </c>
      <c r="K777">
        <f t="shared" ca="1" si="723"/>
        <v>105.82487183492512</v>
      </c>
      <c r="L777">
        <f t="shared" ca="1" si="723"/>
        <v>104.28164380433691</v>
      </c>
      <c r="M777">
        <f t="shared" ca="1" si="723"/>
        <v>95.257019554073139</v>
      </c>
      <c r="N777">
        <f t="shared" ca="1" si="723"/>
        <v>90.180685147874982</v>
      </c>
      <c r="O777">
        <f t="shared" ca="1" si="723"/>
        <v>85.889992564486207</v>
      </c>
      <c r="P777">
        <f t="shared" ca="1" si="723"/>
        <v>89.184562944654431</v>
      </c>
      <c r="Q777">
        <f t="shared" ca="1" si="724"/>
        <v>105.82487183492512</v>
      </c>
      <c r="R777">
        <f t="shared" ca="1" si="725"/>
        <v>0</v>
      </c>
      <c r="S777">
        <f t="shared" ca="1" si="726"/>
        <v>0</v>
      </c>
    </row>
    <row r="778" spans="5:19" x14ac:dyDescent="0.75">
      <c r="E778">
        <v>773</v>
      </c>
      <c r="F778">
        <f t="shared" si="722"/>
        <v>100</v>
      </c>
      <c r="G778">
        <f t="shared" ca="1" si="723"/>
        <v>102.23491969978879</v>
      </c>
      <c r="H778">
        <f t="shared" ca="1" si="723"/>
        <v>105.52646883520838</v>
      </c>
      <c r="I778">
        <f t="shared" ca="1" si="723"/>
        <v>105.03872786792732</v>
      </c>
      <c r="J778">
        <f t="shared" ca="1" si="723"/>
        <v>102.73372632876746</v>
      </c>
      <c r="K778">
        <f t="shared" ca="1" si="723"/>
        <v>109.11534817362033</v>
      </c>
      <c r="L778">
        <f t="shared" ca="1" si="723"/>
        <v>107.751817275883</v>
      </c>
      <c r="M778">
        <f t="shared" ca="1" si="723"/>
        <v>106.42624585380507</v>
      </c>
      <c r="N778">
        <f t="shared" ca="1" si="723"/>
        <v>105.59524189511087</v>
      </c>
      <c r="O778">
        <f t="shared" ca="1" si="723"/>
        <v>102.06220536563632</v>
      </c>
      <c r="P778">
        <f t="shared" ca="1" si="723"/>
        <v>101.5892281717687</v>
      </c>
      <c r="Q778">
        <f t="shared" ca="1" si="724"/>
        <v>109.11534817362033</v>
      </c>
      <c r="R778">
        <f t="shared" ca="1" si="725"/>
        <v>0</v>
      </c>
      <c r="S778">
        <f t="shared" ca="1" si="726"/>
        <v>0</v>
      </c>
    </row>
    <row r="779" spans="5:19" x14ac:dyDescent="0.75">
      <c r="E779">
        <v>774</v>
      </c>
      <c r="F779">
        <f t="shared" si="722"/>
        <v>100</v>
      </c>
      <c r="G779">
        <f t="shared" ca="1" si="723"/>
        <v>101.43228522184313</v>
      </c>
      <c r="H779">
        <f t="shared" ca="1" si="723"/>
        <v>97.243640432951722</v>
      </c>
      <c r="I779">
        <f t="shared" ca="1" si="723"/>
        <v>90.557753540643432</v>
      </c>
      <c r="J779">
        <f t="shared" ca="1" si="723"/>
        <v>91.493628131700021</v>
      </c>
      <c r="K779">
        <f t="shared" ca="1" si="723"/>
        <v>88.791301535817482</v>
      </c>
      <c r="L779">
        <f t="shared" ca="1" si="723"/>
        <v>90.374851359201429</v>
      </c>
      <c r="M779">
        <f t="shared" ca="1" si="723"/>
        <v>86.468166146251221</v>
      </c>
      <c r="N779">
        <f t="shared" ca="1" si="723"/>
        <v>87.407208549924292</v>
      </c>
      <c r="O779">
        <f t="shared" ca="1" si="723"/>
        <v>90.676686133223342</v>
      </c>
      <c r="P779">
        <f t="shared" ca="1" si="723"/>
        <v>95.110135512877235</v>
      </c>
      <c r="Q779">
        <f t="shared" ca="1" si="724"/>
        <v>101.43228522184313</v>
      </c>
      <c r="R779">
        <f t="shared" ca="1" si="725"/>
        <v>0</v>
      </c>
      <c r="S779">
        <f t="shared" ca="1" si="726"/>
        <v>0</v>
      </c>
    </row>
    <row r="780" spans="5:19" x14ac:dyDescent="0.75">
      <c r="E780">
        <v>775</v>
      </c>
      <c r="F780">
        <f t="shared" si="722"/>
        <v>100</v>
      </c>
      <c r="G780">
        <f t="shared" ca="1" si="723"/>
        <v>98.801634767479612</v>
      </c>
      <c r="H780">
        <f t="shared" ca="1" si="723"/>
        <v>101.75272770812497</v>
      </c>
      <c r="I780">
        <f t="shared" ca="1" si="723"/>
        <v>108.18791540922476</v>
      </c>
      <c r="J780">
        <f t="shared" ca="1" si="723"/>
        <v>111.40810032737716</v>
      </c>
      <c r="K780">
        <f t="shared" ca="1" si="723"/>
        <v>107.34781223673403</v>
      </c>
      <c r="L780">
        <f t="shared" ca="1" si="723"/>
        <v>113.56059003985045</v>
      </c>
      <c r="M780">
        <f t="shared" ca="1" si="723"/>
        <v>117.14663239454488</v>
      </c>
      <c r="N780">
        <f t="shared" ca="1" si="723"/>
        <v>115.11450843938259</v>
      </c>
      <c r="O780">
        <f t="shared" ca="1" si="723"/>
        <v>116.62786254072547</v>
      </c>
      <c r="P780">
        <f t="shared" ca="1" si="723"/>
        <v>114.56266041234474</v>
      </c>
      <c r="Q780">
        <f t="shared" ca="1" si="724"/>
        <v>117.14663239454488</v>
      </c>
      <c r="R780">
        <f t="shared" ca="1" si="725"/>
        <v>0</v>
      </c>
      <c r="S780">
        <f t="shared" ca="1" si="726"/>
        <v>0</v>
      </c>
    </row>
    <row r="781" spans="5:19" x14ac:dyDescent="0.75">
      <c r="E781">
        <v>776</v>
      </c>
      <c r="F781">
        <f t="shared" si="722"/>
        <v>100</v>
      </c>
      <c r="G781">
        <f t="shared" ca="1" si="723"/>
        <v>94.668395262396331</v>
      </c>
      <c r="H781">
        <f t="shared" ca="1" si="723"/>
        <v>96.910140847875738</v>
      </c>
      <c r="I781">
        <f t="shared" ca="1" si="723"/>
        <v>102.45383665441098</v>
      </c>
      <c r="J781">
        <f t="shared" ca="1" si="723"/>
        <v>100.030843044872</v>
      </c>
      <c r="K781">
        <f t="shared" ca="1" si="723"/>
        <v>104.91301693441851</v>
      </c>
      <c r="L781">
        <f t="shared" ca="1" si="723"/>
        <v>108.35707397026681</v>
      </c>
      <c r="M781">
        <f t="shared" ca="1" si="723"/>
        <v>110.27836025137597</v>
      </c>
      <c r="N781">
        <f t="shared" ca="1" si="723"/>
        <v>112.27912248960867</v>
      </c>
      <c r="O781">
        <f t="shared" ca="1" si="723"/>
        <v>106.24228344957282</v>
      </c>
      <c r="P781">
        <f t="shared" ca="1" si="723"/>
        <v>107.81794463887923</v>
      </c>
      <c r="Q781">
        <f t="shared" ca="1" si="724"/>
        <v>112.27912248960867</v>
      </c>
      <c r="R781">
        <f t="shared" ca="1" si="725"/>
        <v>0</v>
      </c>
      <c r="S781">
        <f t="shared" ca="1" si="726"/>
        <v>0</v>
      </c>
    </row>
    <row r="782" spans="5:19" x14ac:dyDescent="0.75">
      <c r="E782">
        <v>777</v>
      </c>
      <c r="F782">
        <f t="shared" si="722"/>
        <v>100</v>
      </c>
      <c r="G782">
        <f t="shared" ca="1" si="723"/>
        <v>102.71645059966501</v>
      </c>
      <c r="H782">
        <f t="shared" ca="1" si="723"/>
        <v>99.279900196133212</v>
      </c>
      <c r="I782">
        <f t="shared" ca="1" si="723"/>
        <v>97.66094218001642</v>
      </c>
      <c r="J782">
        <f t="shared" ca="1" si="723"/>
        <v>97.758606663712271</v>
      </c>
      <c r="K782">
        <f t="shared" ca="1" si="723"/>
        <v>94.187014821026523</v>
      </c>
      <c r="L782">
        <f t="shared" ca="1" si="723"/>
        <v>92.86419647179639</v>
      </c>
      <c r="M782">
        <f t="shared" ca="1" si="723"/>
        <v>89.746195380407855</v>
      </c>
      <c r="N782">
        <f t="shared" ca="1" si="723"/>
        <v>87.08581708708131</v>
      </c>
      <c r="O782">
        <f t="shared" ca="1" si="723"/>
        <v>91.18950384138175</v>
      </c>
      <c r="P782">
        <f t="shared" ca="1" si="723"/>
        <v>85.768790042801953</v>
      </c>
      <c r="Q782">
        <f t="shared" ca="1" si="724"/>
        <v>102.71645059966501</v>
      </c>
      <c r="R782">
        <f t="shared" ca="1" si="725"/>
        <v>0</v>
      </c>
      <c r="S782">
        <f t="shared" ca="1" si="726"/>
        <v>0</v>
      </c>
    </row>
    <row r="783" spans="5:19" x14ac:dyDescent="0.75">
      <c r="E783">
        <v>778</v>
      </c>
      <c r="F783">
        <f t="shared" si="722"/>
        <v>100</v>
      </c>
      <c r="G783">
        <f t="shared" ca="1" si="723"/>
        <v>104.80304872458386</v>
      </c>
      <c r="H783">
        <f t="shared" ca="1" si="723"/>
        <v>102.30362971297859</v>
      </c>
      <c r="I783">
        <f t="shared" ca="1" si="723"/>
        <v>97.09958562326193</v>
      </c>
      <c r="J783">
        <f t="shared" ca="1" si="723"/>
        <v>96.097491325690712</v>
      </c>
      <c r="K783">
        <f t="shared" ca="1" si="723"/>
        <v>93.146236217534337</v>
      </c>
      <c r="L783">
        <f t="shared" ca="1" si="723"/>
        <v>94.186764502184687</v>
      </c>
      <c r="M783">
        <f t="shared" ca="1" si="723"/>
        <v>91.723998942579286</v>
      </c>
      <c r="N783">
        <f t="shared" ca="1" si="723"/>
        <v>96.017271270655499</v>
      </c>
      <c r="O783">
        <f t="shared" ca="1" si="723"/>
        <v>91.217589090136585</v>
      </c>
      <c r="P783">
        <f t="shared" ca="1" si="723"/>
        <v>97.709164357364955</v>
      </c>
      <c r="Q783">
        <f t="shared" ca="1" si="724"/>
        <v>104.80304872458386</v>
      </c>
      <c r="R783">
        <f t="shared" ca="1" si="725"/>
        <v>0</v>
      </c>
      <c r="S783">
        <f t="shared" ca="1" si="726"/>
        <v>0</v>
      </c>
    </row>
    <row r="784" spans="5:19" x14ac:dyDescent="0.75">
      <c r="E784">
        <v>779</v>
      </c>
      <c r="F784">
        <f t="shared" si="722"/>
        <v>100</v>
      </c>
      <c r="G784">
        <f t="shared" ca="1" si="723"/>
        <v>95.526237232294903</v>
      </c>
      <c r="H784">
        <f t="shared" ca="1" si="723"/>
        <v>101.36930471764275</v>
      </c>
      <c r="I784">
        <f t="shared" ca="1" si="723"/>
        <v>105.62520810360982</v>
      </c>
      <c r="J784">
        <f t="shared" ref="J784:P784" ca="1" si="727">I784*EXP(($C$6-0.5*$C$7^2)*$C$12+$C$7*SQRT($C$12)*NORMINV(RAND(),0,1))</f>
        <v>112.12420590139837</v>
      </c>
      <c r="K784">
        <f t="shared" ca="1" si="727"/>
        <v>101.90197494070202</v>
      </c>
      <c r="L784">
        <f t="shared" ca="1" si="727"/>
        <v>98.623544286346089</v>
      </c>
      <c r="M784">
        <f t="shared" ca="1" si="727"/>
        <v>100.62856244877648</v>
      </c>
      <c r="N784">
        <f t="shared" ca="1" si="727"/>
        <v>107.40700761288164</v>
      </c>
      <c r="O784">
        <f t="shared" ca="1" si="727"/>
        <v>106.75083965957472</v>
      </c>
      <c r="P784">
        <f t="shared" ca="1" si="727"/>
        <v>103.93343275989099</v>
      </c>
      <c r="Q784">
        <f t="shared" ca="1" si="724"/>
        <v>112.12420590139837</v>
      </c>
      <c r="R784">
        <f t="shared" ca="1" si="725"/>
        <v>0</v>
      </c>
      <c r="S784">
        <f t="shared" ca="1" si="726"/>
        <v>0</v>
      </c>
    </row>
    <row r="785" spans="5:19" x14ac:dyDescent="0.75">
      <c r="E785">
        <v>780</v>
      </c>
      <c r="F785">
        <f t="shared" si="722"/>
        <v>100</v>
      </c>
      <c r="G785">
        <f t="shared" ca="1" si="723"/>
        <v>98.120130928801089</v>
      </c>
      <c r="H785">
        <f t="shared" ca="1" si="723"/>
        <v>98.642338652117317</v>
      </c>
      <c r="I785">
        <f t="shared" ca="1" si="723"/>
        <v>95.2990758915941</v>
      </c>
      <c r="J785">
        <f t="shared" ref="J785:P785" ca="1" si="728">I785*EXP(($C$6-0.5*$C$7^2)*$C$12+$C$7*SQRT($C$12)*NORMINV(RAND(),0,1))</f>
        <v>93.358081395128394</v>
      </c>
      <c r="K785">
        <f t="shared" ca="1" si="728"/>
        <v>89.92347608735929</v>
      </c>
      <c r="L785">
        <f t="shared" ca="1" si="728"/>
        <v>87.441661417516841</v>
      </c>
      <c r="M785">
        <f t="shared" ca="1" si="728"/>
        <v>89.035312983388991</v>
      </c>
      <c r="N785">
        <f t="shared" ca="1" si="728"/>
        <v>84.626982157645429</v>
      </c>
      <c r="O785">
        <f t="shared" ca="1" si="728"/>
        <v>83.678547431255978</v>
      </c>
      <c r="P785">
        <f t="shared" ca="1" si="728"/>
        <v>86.648546332327257</v>
      </c>
      <c r="Q785">
        <f t="shared" ca="1" si="724"/>
        <v>98.642338652117317</v>
      </c>
      <c r="R785">
        <f t="shared" ca="1" si="725"/>
        <v>0</v>
      </c>
      <c r="S785">
        <f t="shared" ca="1" si="726"/>
        <v>0</v>
      </c>
    </row>
    <row r="786" spans="5:19" x14ac:dyDescent="0.75">
      <c r="E786">
        <v>781</v>
      </c>
      <c r="F786">
        <f t="shared" si="722"/>
        <v>100</v>
      </c>
      <c r="G786">
        <f t="shared" ca="1" si="723"/>
        <v>109.11218924035791</v>
      </c>
      <c r="H786">
        <f t="shared" ca="1" si="723"/>
        <v>121.46763314056032</v>
      </c>
      <c r="I786">
        <f t="shared" ca="1" si="723"/>
        <v>125.38073702782064</v>
      </c>
      <c r="J786">
        <f t="shared" ref="J786:P786" ca="1" si="729">I786*EXP(($C$6-0.5*$C$7^2)*$C$12+$C$7*SQRT($C$12)*NORMINV(RAND(),0,1))</f>
        <v>123.23322224069209</v>
      </c>
      <c r="K786">
        <f t="shared" ca="1" si="729"/>
        <v>134.2586108513843</v>
      </c>
      <c r="L786">
        <f t="shared" ca="1" si="729"/>
        <v>126.79314815375832</v>
      </c>
      <c r="M786">
        <f t="shared" ca="1" si="729"/>
        <v>128.40984832034144</v>
      </c>
      <c r="N786">
        <f t="shared" ca="1" si="729"/>
        <v>126.4455334560581</v>
      </c>
      <c r="O786">
        <f t="shared" ca="1" si="729"/>
        <v>121.62068137309907</v>
      </c>
      <c r="P786">
        <f t="shared" ca="1" si="729"/>
        <v>121.71276945986476</v>
      </c>
      <c r="Q786">
        <f t="shared" ca="1" si="724"/>
        <v>134.2586108513843</v>
      </c>
      <c r="R786">
        <f t="shared" ca="1" si="725"/>
        <v>0</v>
      </c>
      <c r="S786">
        <f t="shared" ca="1" si="726"/>
        <v>0</v>
      </c>
    </row>
    <row r="787" spans="5:19" x14ac:dyDescent="0.75">
      <c r="E787">
        <v>782</v>
      </c>
      <c r="F787">
        <f t="shared" si="722"/>
        <v>100</v>
      </c>
      <c r="G787">
        <f t="shared" ca="1" si="723"/>
        <v>93.366272991346619</v>
      </c>
      <c r="H787">
        <f t="shared" ca="1" si="723"/>
        <v>99.838063343297904</v>
      </c>
      <c r="I787">
        <f t="shared" ca="1" si="723"/>
        <v>101.01813006229449</v>
      </c>
      <c r="J787">
        <f t="shared" ref="J787:P787" ca="1" si="730">I787*EXP(($C$6-0.5*$C$7^2)*$C$12+$C$7*SQRT($C$12)*NORMINV(RAND(),0,1))</f>
        <v>104.49659327152133</v>
      </c>
      <c r="K787">
        <f t="shared" ca="1" si="730"/>
        <v>102.74276727876368</v>
      </c>
      <c r="L787">
        <f t="shared" ca="1" si="730"/>
        <v>102.19992072754928</v>
      </c>
      <c r="M787">
        <f t="shared" ca="1" si="730"/>
        <v>96.881681883009108</v>
      </c>
      <c r="N787">
        <f t="shared" ca="1" si="730"/>
        <v>103.70618989662459</v>
      </c>
      <c r="O787">
        <f t="shared" ca="1" si="730"/>
        <v>97.588990817683438</v>
      </c>
      <c r="P787">
        <f t="shared" ca="1" si="730"/>
        <v>92.484056013446803</v>
      </c>
      <c r="Q787">
        <f t="shared" ca="1" si="724"/>
        <v>104.49659327152133</v>
      </c>
      <c r="R787">
        <f t="shared" ca="1" si="725"/>
        <v>0</v>
      </c>
      <c r="S787">
        <f t="shared" ca="1" si="726"/>
        <v>0</v>
      </c>
    </row>
    <row r="788" spans="5:19" x14ac:dyDescent="0.75">
      <c r="E788">
        <v>783</v>
      </c>
      <c r="F788">
        <f t="shared" si="722"/>
        <v>100</v>
      </c>
      <c r="G788">
        <f t="shared" ca="1" si="723"/>
        <v>100.90798157099015</v>
      </c>
      <c r="H788">
        <f t="shared" ca="1" si="723"/>
        <v>98.935864667565312</v>
      </c>
      <c r="I788">
        <f t="shared" ca="1" si="723"/>
        <v>97.805577723726799</v>
      </c>
      <c r="J788">
        <f t="shared" ref="J788:P788" ca="1" si="731">I788*EXP(($C$6-0.5*$C$7^2)*$C$12+$C$7*SQRT($C$12)*NORMINV(RAND(),0,1))</f>
        <v>101.20678108120902</v>
      </c>
      <c r="K788">
        <f t="shared" ca="1" si="731"/>
        <v>105.84545700254439</v>
      </c>
      <c r="L788">
        <f t="shared" ca="1" si="731"/>
        <v>100.94046976433251</v>
      </c>
      <c r="M788">
        <f t="shared" ca="1" si="731"/>
        <v>102.24800051125766</v>
      </c>
      <c r="N788">
        <f t="shared" ca="1" si="731"/>
        <v>108.85468486444294</v>
      </c>
      <c r="O788">
        <f t="shared" ca="1" si="731"/>
        <v>105.37854938097493</v>
      </c>
      <c r="P788">
        <f t="shared" ca="1" si="731"/>
        <v>110.66601759500115</v>
      </c>
      <c r="Q788">
        <f t="shared" ca="1" si="724"/>
        <v>110.66601759500115</v>
      </c>
      <c r="R788">
        <f t="shared" ca="1" si="725"/>
        <v>0</v>
      </c>
      <c r="S788">
        <f t="shared" ca="1" si="726"/>
        <v>0</v>
      </c>
    </row>
    <row r="789" spans="5:19" x14ac:dyDescent="0.75">
      <c r="E789">
        <v>784</v>
      </c>
      <c r="F789">
        <f t="shared" si="722"/>
        <v>100</v>
      </c>
      <c r="G789">
        <f t="shared" ca="1" si="723"/>
        <v>98.74707581425713</v>
      </c>
      <c r="H789">
        <f t="shared" ca="1" si="723"/>
        <v>96.665292768871851</v>
      </c>
      <c r="I789">
        <f t="shared" ca="1" si="723"/>
        <v>95.587028789796648</v>
      </c>
      <c r="J789">
        <f t="shared" ref="J789:P789" ca="1" si="732">I789*EXP(($C$6-0.5*$C$7^2)*$C$12+$C$7*SQRT($C$12)*NORMINV(RAND(),0,1))</f>
        <v>100.99787628543561</v>
      </c>
      <c r="K789">
        <f t="shared" ca="1" si="732"/>
        <v>108.37533155305144</v>
      </c>
      <c r="L789">
        <f t="shared" ca="1" si="732"/>
        <v>105.37371166070128</v>
      </c>
      <c r="M789">
        <f t="shared" ca="1" si="732"/>
        <v>104.80347389815256</v>
      </c>
      <c r="N789">
        <f t="shared" ca="1" si="732"/>
        <v>104.60053535101574</v>
      </c>
      <c r="O789">
        <f t="shared" ca="1" si="732"/>
        <v>101.38391032077482</v>
      </c>
      <c r="P789">
        <f t="shared" ca="1" si="732"/>
        <v>102.23920611273209</v>
      </c>
      <c r="Q789">
        <f t="shared" ca="1" si="724"/>
        <v>108.37533155305144</v>
      </c>
      <c r="R789">
        <f t="shared" ca="1" si="725"/>
        <v>0.23920611273209147</v>
      </c>
      <c r="S789">
        <f t="shared" ca="1" si="726"/>
        <v>0.23330009276537556</v>
      </c>
    </row>
    <row r="790" spans="5:19" x14ac:dyDescent="0.75">
      <c r="E790">
        <v>785</v>
      </c>
      <c r="F790">
        <f t="shared" si="722"/>
        <v>100</v>
      </c>
      <c r="G790">
        <f t="shared" ca="1" si="723"/>
        <v>91.183298798886497</v>
      </c>
      <c r="H790">
        <f t="shared" ca="1" si="723"/>
        <v>91.730773976655399</v>
      </c>
      <c r="I790">
        <f t="shared" ca="1" si="723"/>
        <v>91.955750730991824</v>
      </c>
      <c r="J790">
        <f t="shared" ref="J790:P790" ca="1" si="733">I790*EXP(($C$6-0.5*$C$7^2)*$C$12+$C$7*SQRT($C$12)*NORMINV(RAND(),0,1))</f>
        <v>89.560283119149062</v>
      </c>
      <c r="K790">
        <f t="shared" ca="1" si="733"/>
        <v>87.70825561503635</v>
      </c>
      <c r="L790">
        <f t="shared" ca="1" si="733"/>
        <v>87.674278011505436</v>
      </c>
      <c r="M790">
        <f t="shared" ca="1" si="733"/>
        <v>83.244813727007354</v>
      </c>
      <c r="N790">
        <f t="shared" ca="1" si="733"/>
        <v>79.030434120491321</v>
      </c>
      <c r="O790">
        <f t="shared" ca="1" si="733"/>
        <v>74.305285906569395</v>
      </c>
      <c r="P790">
        <f t="shared" ca="1" si="733"/>
        <v>77.113112966590393</v>
      </c>
      <c r="Q790">
        <f t="shared" ca="1" si="724"/>
        <v>91.955750730991824</v>
      </c>
      <c r="R790">
        <f t="shared" ca="1" si="725"/>
        <v>0</v>
      </c>
      <c r="S790">
        <f t="shared" ca="1" si="726"/>
        <v>0</v>
      </c>
    </row>
    <row r="791" spans="5:19" x14ac:dyDescent="0.75">
      <c r="E791">
        <v>786</v>
      </c>
      <c r="F791">
        <f t="shared" si="722"/>
        <v>100</v>
      </c>
      <c r="G791">
        <f t="shared" ca="1" si="723"/>
        <v>96.818053226911076</v>
      </c>
      <c r="H791">
        <f t="shared" ca="1" si="723"/>
        <v>94.737219353471005</v>
      </c>
      <c r="I791">
        <f t="shared" ca="1" si="723"/>
        <v>89.801833162510206</v>
      </c>
      <c r="J791">
        <f t="shared" ref="J791:P791" ca="1" si="734">I791*EXP(($C$6-0.5*$C$7^2)*$C$12+$C$7*SQRT($C$12)*NORMINV(RAND(),0,1))</f>
        <v>90.811206278705995</v>
      </c>
      <c r="K791">
        <f t="shared" ca="1" si="734"/>
        <v>86.310590499758263</v>
      </c>
      <c r="L791">
        <f t="shared" ca="1" si="734"/>
        <v>84.576214882429937</v>
      </c>
      <c r="M791">
        <f t="shared" ca="1" si="734"/>
        <v>87.321426483874134</v>
      </c>
      <c r="N791">
        <f t="shared" ca="1" si="734"/>
        <v>88.880220154217028</v>
      </c>
      <c r="O791">
        <f t="shared" ca="1" si="734"/>
        <v>86.953867212290646</v>
      </c>
      <c r="P791">
        <f t="shared" ca="1" si="734"/>
        <v>80.098333663428406</v>
      </c>
      <c r="Q791">
        <f t="shared" ca="1" si="724"/>
        <v>96.818053226911076</v>
      </c>
      <c r="R791">
        <f t="shared" ca="1" si="725"/>
        <v>0</v>
      </c>
      <c r="S791">
        <f t="shared" ca="1" si="726"/>
        <v>0</v>
      </c>
    </row>
    <row r="792" spans="5:19" x14ac:dyDescent="0.75">
      <c r="E792">
        <v>787</v>
      </c>
      <c r="F792">
        <f t="shared" si="722"/>
        <v>100</v>
      </c>
      <c r="G792">
        <f t="shared" ca="1" si="723"/>
        <v>106.42075477069028</v>
      </c>
      <c r="H792">
        <f t="shared" ca="1" si="723"/>
        <v>105.74991708381044</v>
      </c>
      <c r="I792">
        <f t="shared" ca="1" si="723"/>
        <v>110.59561544378798</v>
      </c>
      <c r="J792">
        <f t="shared" ref="J792:P792" ca="1" si="735">I792*EXP(($C$6-0.5*$C$7^2)*$C$12+$C$7*SQRT($C$12)*NORMINV(RAND(),0,1))</f>
        <v>108.26282292723479</v>
      </c>
      <c r="K792">
        <f t="shared" ca="1" si="735"/>
        <v>109.53936671899658</v>
      </c>
      <c r="L792">
        <f t="shared" ca="1" si="735"/>
        <v>110.51595436539695</v>
      </c>
      <c r="M792">
        <f t="shared" ca="1" si="735"/>
        <v>110.10917676507515</v>
      </c>
      <c r="N792">
        <f t="shared" ca="1" si="735"/>
        <v>103.10955757270528</v>
      </c>
      <c r="O792">
        <f t="shared" ca="1" si="735"/>
        <v>101.78518088001411</v>
      </c>
      <c r="P792">
        <f t="shared" ca="1" si="735"/>
        <v>106.07094215125527</v>
      </c>
      <c r="Q792">
        <f t="shared" ca="1" si="724"/>
        <v>110.59561544378798</v>
      </c>
      <c r="R792">
        <f t="shared" ca="1" si="725"/>
        <v>0</v>
      </c>
      <c r="S792">
        <f t="shared" ca="1" si="726"/>
        <v>0</v>
      </c>
    </row>
    <row r="793" spans="5:19" x14ac:dyDescent="0.75">
      <c r="E793">
        <v>788</v>
      </c>
      <c r="F793">
        <f t="shared" si="722"/>
        <v>100</v>
      </c>
      <c r="G793">
        <f t="shared" ca="1" si="723"/>
        <v>97.7808118944005</v>
      </c>
      <c r="H793">
        <f t="shared" ca="1" si="723"/>
        <v>107.28595358787773</v>
      </c>
      <c r="I793">
        <f t="shared" ca="1" si="723"/>
        <v>111.71545761654285</v>
      </c>
      <c r="J793">
        <f t="shared" ref="J793:P793" ca="1" si="736">I793*EXP(($C$6-0.5*$C$7^2)*$C$12+$C$7*SQRT($C$12)*NORMINV(RAND(),0,1))</f>
        <v>115.60545079013833</v>
      </c>
      <c r="K793">
        <f t="shared" ca="1" si="736"/>
        <v>117.88771183492007</v>
      </c>
      <c r="L793">
        <f t="shared" ca="1" si="736"/>
        <v>118.7967806041336</v>
      </c>
      <c r="M793">
        <f t="shared" ca="1" si="736"/>
        <v>113.25253241803841</v>
      </c>
      <c r="N793">
        <f t="shared" ca="1" si="736"/>
        <v>107.50699637730543</v>
      </c>
      <c r="O793">
        <f t="shared" ca="1" si="736"/>
        <v>106.97224783137341</v>
      </c>
      <c r="P793">
        <f t="shared" ca="1" si="736"/>
        <v>103.98395215091978</v>
      </c>
      <c r="Q793">
        <f t="shared" ca="1" si="724"/>
        <v>118.7967806041336</v>
      </c>
      <c r="R793">
        <f t="shared" ca="1" si="725"/>
        <v>0</v>
      </c>
      <c r="S793">
        <f t="shared" ca="1" si="726"/>
        <v>0</v>
      </c>
    </row>
    <row r="794" spans="5:19" x14ac:dyDescent="0.75">
      <c r="E794">
        <v>789</v>
      </c>
      <c r="F794">
        <f t="shared" si="722"/>
        <v>100</v>
      </c>
      <c r="G794">
        <f t="shared" ca="1" si="723"/>
        <v>104.01994407426321</v>
      </c>
      <c r="H794">
        <f t="shared" ca="1" si="723"/>
        <v>97.959513286219149</v>
      </c>
      <c r="I794">
        <f t="shared" ca="1" si="723"/>
        <v>96.505471663878396</v>
      </c>
      <c r="J794">
        <f t="shared" ref="J794:P794" ca="1" si="737">I794*EXP(($C$6-0.5*$C$7^2)*$C$12+$C$7*SQRT($C$12)*NORMINV(RAND(),0,1))</f>
        <v>101.53899399860413</v>
      </c>
      <c r="K794">
        <f t="shared" ca="1" si="737"/>
        <v>110.39773731000963</v>
      </c>
      <c r="L794">
        <f t="shared" ca="1" si="737"/>
        <v>110.96640426435465</v>
      </c>
      <c r="M794">
        <f t="shared" ca="1" si="737"/>
        <v>114.93544729052529</v>
      </c>
      <c r="N794">
        <f t="shared" ca="1" si="737"/>
        <v>116.06291498012027</v>
      </c>
      <c r="O794">
        <f t="shared" ca="1" si="737"/>
        <v>119.02970949882481</v>
      </c>
      <c r="P794">
        <f t="shared" ca="1" si="737"/>
        <v>121.13472201331261</v>
      </c>
      <c r="Q794">
        <f t="shared" ca="1" si="724"/>
        <v>121.13472201331261</v>
      </c>
      <c r="R794">
        <f t="shared" ca="1" si="725"/>
        <v>0</v>
      </c>
      <c r="S794">
        <f t="shared" ca="1" si="726"/>
        <v>0</v>
      </c>
    </row>
    <row r="795" spans="5:19" x14ac:dyDescent="0.75">
      <c r="E795">
        <v>790</v>
      </c>
      <c r="F795">
        <f t="shared" si="722"/>
        <v>100</v>
      </c>
      <c r="G795">
        <f t="shared" ca="1" si="723"/>
        <v>103.58834350771097</v>
      </c>
      <c r="H795">
        <f t="shared" ca="1" si="723"/>
        <v>101.06985944381215</v>
      </c>
      <c r="I795">
        <f t="shared" ca="1" si="723"/>
        <v>97.337060371487581</v>
      </c>
      <c r="J795">
        <f t="shared" ref="J795:P795" ca="1" si="738">I795*EXP(($C$6-0.5*$C$7^2)*$C$12+$C$7*SQRT($C$12)*NORMINV(RAND(),0,1))</f>
        <v>103.23989958054787</v>
      </c>
      <c r="K795">
        <f t="shared" ca="1" si="738"/>
        <v>99.557787511436814</v>
      </c>
      <c r="L795">
        <f t="shared" ca="1" si="738"/>
        <v>96.533117726014197</v>
      </c>
      <c r="M795">
        <f t="shared" ca="1" si="738"/>
        <v>98.467358257489181</v>
      </c>
      <c r="N795">
        <f t="shared" ca="1" si="738"/>
        <v>96.187383063707983</v>
      </c>
      <c r="O795">
        <f t="shared" ca="1" si="738"/>
        <v>94.871923740900229</v>
      </c>
      <c r="P795">
        <f t="shared" ca="1" si="738"/>
        <v>100.28401665574776</v>
      </c>
      <c r="Q795">
        <f t="shared" ca="1" si="724"/>
        <v>103.58834350771097</v>
      </c>
      <c r="R795">
        <f t="shared" ca="1" si="725"/>
        <v>0</v>
      </c>
      <c r="S795">
        <f t="shared" ca="1" si="726"/>
        <v>0</v>
      </c>
    </row>
    <row r="796" spans="5:19" x14ac:dyDescent="0.75">
      <c r="E796">
        <v>791</v>
      </c>
      <c r="F796">
        <f t="shared" si="722"/>
        <v>100</v>
      </c>
      <c r="G796">
        <f t="shared" ca="1" si="723"/>
        <v>99.137453093549894</v>
      </c>
      <c r="H796">
        <f t="shared" ca="1" si="723"/>
        <v>98.438397932533562</v>
      </c>
      <c r="I796">
        <f t="shared" ca="1" si="723"/>
        <v>95.762527741880064</v>
      </c>
      <c r="J796">
        <f t="shared" ref="J796:P796" ca="1" si="739">I796*EXP(($C$6-0.5*$C$7^2)*$C$12+$C$7*SQRT($C$12)*NORMINV(RAND(),0,1))</f>
        <v>95.204306747307456</v>
      </c>
      <c r="K796">
        <f t="shared" ca="1" si="739"/>
        <v>100.93397518184757</v>
      </c>
      <c r="L796">
        <f t="shared" ca="1" si="739"/>
        <v>107.31306975737448</v>
      </c>
      <c r="M796">
        <f t="shared" ca="1" si="739"/>
        <v>105.48090927508999</v>
      </c>
      <c r="N796">
        <f t="shared" ca="1" si="739"/>
        <v>104.13638819870647</v>
      </c>
      <c r="O796">
        <f t="shared" ca="1" si="739"/>
        <v>99.977894830391989</v>
      </c>
      <c r="P796">
        <f t="shared" ca="1" si="739"/>
        <v>100.69835262596055</v>
      </c>
      <c r="Q796">
        <f t="shared" ca="1" si="724"/>
        <v>107.31306975737448</v>
      </c>
      <c r="R796">
        <f t="shared" ca="1" si="725"/>
        <v>0</v>
      </c>
      <c r="S796">
        <f t="shared" ca="1" si="726"/>
        <v>0</v>
      </c>
    </row>
    <row r="797" spans="5:19" x14ac:dyDescent="0.75">
      <c r="E797">
        <v>792</v>
      </c>
      <c r="F797">
        <f t="shared" si="722"/>
        <v>100</v>
      </c>
      <c r="G797">
        <f t="shared" ca="1" si="723"/>
        <v>95.611013182150742</v>
      </c>
      <c r="H797">
        <f t="shared" ca="1" si="723"/>
        <v>100.20648924236824</v>
      </c>
      <c r="I797">
        <f t="shared" ca="1" si="723"/>
        <v>96.860800927159545</v>
      </c>
      <c r="J797">
        <f t="shared" ref="J797:P797" ca="1" si="740">I797*EXP(($C$6-0.5*$C$7^2)*$C$12+$C$7*SQRT($C$12)*NORMINV(RAND(),0,1))</f>
        <v>103.27169324338537</v>
      </c>
      <c r="K797">
        <f t="shared" ca="1" si="740"/>
        <v>103.78110578384236</v>
      </c>
      <c r="L797">
        <f t="shared" ca="1" si="740"/>
        <v>105.82819308177079</v>
      </c>
      <c r="M797">
        <f t="shared" ca="1" si="740"/>
        <v>104.47561368408579</v>
      </c>
      <c r="N797">
        <f t="shared" ca="1" si="740"/>
        <v>113.63339447027575</v>
      </c>
      <c r="O797">
        <f t="shared" ca="1" si="740"/>
        <v>112.94795358212838</v>
      </c>
      <c r="P797">
        <f t="shared" ca="1" si="740"/>
        <v>107.30112791576464</v>
      </c>
      <c r="Q797">
        <f t="shared" ca="1" si="724"/>
        <v>113.63339447027575</v>
      </c>
      <c r="R797">
        <f t="shared" ca="1" si="725"/>
        <v>0</v>
      </c>
      <c r="S797">
        <f t="shared" ca="1" si="726"/>
        <v>0</v>
      </c>
    </row>
    <row r="798" spans="5:19" x14ac:dyDescent="0.75">
      <c r="E798">
        <v>793</v>
      </c>
      <c r="F798">
        <f t="shared" si="722"/>
        <v>100</v>
      </c>
      <c r="G798">
        <f t="shared" ca="1" si="723"/>
        <v>95.547499445512386</v>
      </c>
      <c r="H798">
        <f t="shared" ca="1" si="723"/>
        <v>90.81342045274647</v>
      </c>
      <c r="I798">
        <f t="shared" ca="1" si="723"/>
        <v>92.068660929001624</v>
      </c>
      <c r="J798">
        <f t="shared" ref="J798:P798" ca="1" si="741">I798*EXP(($C$6-0.5*$C$7^2)*$C$12+$C$7*SQRT($C$12)*NORMINV(RAND(),0,1))</f>
        <v>90.306588568904502</v>
      </c>
      <c r="K798">
        <f t="shared" ca="1" si="741"/>
        <v>82.983721961235787</v>
      </c>
      <c r="L798">
        <f t="shared" ca="1" si="741"/>
        <v>73.437684798974217</v>
      </c>
      <c r="M798">
        <f t="shared" ca="1" si="741"/>
        <v>74.809924901085779</v>
      </c>
      <c r="N798">
        <f t="shared" ca="1" si="741"/>
        <v>76.685432886835642</v>
      </c>
      <c r="O798">
        <f t="shared" ca="1" si="741"/>
        <v>82.014010910433655</v>
      </c>
      <c r="P798">
        <f t="shared" ca="1" si="741"/>
        <v>81.696644321803646</v>
      </c>
      <c r="Q798">
        <f t="shared" ca="1" si="724"/>
        <v>95.547499445512386</v>
      </c>
      <c r="R798">
        <f t="shared" ca="1" si="725"/>
        <v>0</v>
      </c>
      <c r="S798">
        <f t="shared" ca="1" si="726"/>
        <v>0</v>
      </c>
    </row>
    <row r="799" spans="5:19" x14ac:dyDescent="0.75">
      <c r="E799">
        <v>794</v>
      </c>
      <c r="F799">
        <f t="shared" si="722"/>
        <v>100</v>
      </c>
      <c r="G799">
        <f t="shared" ca="1" si="723"/>
        <v>98.815435495238617</v>
      </c>
      <c r="H799">
        <f t="shared" ca="1" si="723"/>
        <v>104.1899172287157</v>
      </c>
      <c r="I799">
        <f t="shared" ca="1" si="723"/>
        <v>98.996501138553469</v>
      </c>
      <c r="J799">
        <f t="shared" ref="J799:P799" ca="1" si="742">I799*EXP(($C$6-0.5*$C$7^2)*$C$12+$C$7*SQRT($C$12)*NORMINV(RAND(),0,1))</f>
        <v>99.486089265935078</v>
      </c>
      <c r="K799">
        <f t="shared" ca="1" si="742"/>
        <v>93.434991686847596</v>
      </c>
      <c r="L799">
        <f t="shared" ca="1" si="742"/>
        <v>95.062913976425989</v>
      </c>
      <c r="M799">
        <f t="shared" ca="1" si="742"/>
        <v>100.5516842236152</v>
      </c>
      <c r="N799">
        <f t="shared" ca="1" si="742"/>
        <v>101.5929103055894</v>
      </c>
      <c r="O799">
        <f t="shared" ca="1" si="742"/>
        <v>101.38901489807506</v>
      </c>
      <c r="P799">
        <f t="shared" ca="1" si="742"/>
        <v>103.07721932671161</v>
      </c>
      <c r="Q799">
        <f t="shared" ca="1" si="724"/>
        <v>104.1899172287157</v>
      </c>
      <c r="R799">
        <f t="shared" ca="1" si="725"/>
        <v>1.0772193267116137</v>
      </c>
      <c r="S799">
        <f t="shared" ca="1" si="726"/>
        <v>1.0506226867703237</v>
      </c>
    </row>
    <row r="800" spans="5:19" x14ac:dyDescent="0.75">
      <c r="E800">
        <v>795</v>
      </c>
      <c r="F800">
        <f t="shared" si="722"/>
        <v>100</v>
      </c>
      <c r="G800">
        <f t="shared" ca="1" si="723"/>
        <v>94.43847899206304</v>
      </c>
      <c r="H800">
        <f t="shared" ca="1" si="723"/>
        <v>93.105394744865791</v>
      </c>
      <c r="I800">
        <f t="shared" ca="1" si="723"/>
        <v>91.124026302452449</v>
      </c>
      <c r="J800">
        <f t="shared" ref="J800:P800" ca="1" si="743">I800*EXP(($C$6-0.5*$C$7^2)*$C$12+$C$7*SQRT($C$12)*NORMINV(RAND(),0,1))</f>
        <v>95.503774432955481</v>
      </c>
      <c r="K800">
        <f t="shared" ca="1" si="743"/>
        <v>93.196845815608143</v>
      </c>
      <c r="L800">
        <f t="shared" ca="1" si="743"/>
        <v>90.408456493625252</v>
      </c>
      <c r="M800">
        <f t="shared" ca="1" si="743"/>
        <v>86.186346023094615</v>
      </c>
      <c r="N800">
        <f t="shared" ca="1" si="743"/>
        <v>88.196083923659145</v>
      </c>
      <c r="O800">
        <f t="shared" ca="1" si="743"/>
        <v>88.906831965981439</v>
      </c>
      <c r="P800">
        <f t="shared" ca="1" si="743"/>
        <v>89.841018944499723</v>
      </c>
      <c r="Q800">
        <f t="shared" ca="1" si="724"/>
        <v>95.503774432955481</v>
      </c>
      <c r="R800">
        <f t="shared" ca="1" si="725"/>
        <v>0</v>
      </c>
      <c r="S800">
        <f t="shared" ca="1" si="726"/>
        <v>0</v>
      </c>
    </row>
    <row r="801" spans="5:19" x14ac:dyDescent="0.75">
      <c r="E801">
        <v>796</v>
      </c>
      <c r="F801">
        <f t="shared" si="722"/>
        <v>100</v>
      </c>
      <c r="G801">
        <f t="shared" ca="1" si="723"/>
        <v>97.7032460756527</v>
      </c>
      <c r="H801">
        <f t="shared" ca="1" si="723"/>
        <v>103.27349122256221</v>
      </c>
      <c r="I801">
        <f t="shared" ca="1" si="723"/>
        <v>104.6282318233951</v>
      </c>
      <c r="J801">
        <f t="shared" ref="J801:P801" ca="1" si="744">I801*EXP(($C$6-0.5*$C$7^2)*$C$12+$C$7*SQRT($C$12)*NORMINV(RAND(),0,1))</f>
        <v>103.0833851182086</v>
      </c>
      <c r="K801">
        <f t="shared" ca="1" si="744"/>
        <v>99.202505177120287</v>
      </c>
      <c r="L801">
        <f t="shared" ca="1" si="744"/>
        <v>97.207019914995072</v>
      </c>
      <c r="M801">
        <f t="shared" ca="1" si="744"/>
        <v>92.841281042732248</v>
      </c>
      <c r="N801">
        <f t="shared" ca="1" si="744"/>
        <v>91.045348351439642</v>
      </c>
      <c r="O801">
        <f t="shared" ca="1" si="744"/>
        <v>92.111306533627669</v>
      </c>
      <c r="P801">
        <f t="shared" ca="1" si="744"/>
        <v>94.047821297583781</v>
      </c>
      <c r="Q801">
        <f t="shared" ca="1" si="724"/>
        <v>104.6282318233951</v>
      </c>
      <c r="R801">
        <f t="shared" ca="1" si="725"/>
        <v>0</v>
      </c>
      <c r="S801">
        <f t="shared" ca="1" si="726"/>
        <v>0</v>
      </c>
    </row>
    <row r="802" spans="5:19" x14ac:dyDescent="0.75">
      <c r="E802">
        <v>797</v>
      </c>
      <c r="F802">
        <f t="shared" si="722"/>
        <v>100</v>
      </c>
      <c r="G802">
        <f t="shared" ca="1" si="723"/>
        <v>101.87035282015766</v>
      </c>
      <c r="H802">
        <f t="shared" ca="1" si="723"/>
        <v>93.31801009195884</v>
      </c>
      <c r="I802">
        <f t="shared" ca="1" si="723"/>
        <v>97.484608916607939</v>
      </c>
      <c r="J802">
        <f t="shared" ref="J802:P802" ca="1" si="745">I802*EXP(($C$6-0.5*$C$7^2)*$C$12+$C$7*SQRT($C$12)*NORMINV(RAND(),0,1))</f>
        <v>101.3580767996949</v>
      </c>
      <c r="K802">
        <f t="shared" ca="1" si="745"/>
        <v>99.05266726533155</v>
      </c>
      <c r="L802">
        <f t="shared" ca="1" si="745"/>
        <v>100.84710527802039</v>
      </c>
      <c r="M802">
        <f t="shared" ca="1" si="745"/>
        <v>103.12074534824957</v>
      </c>
      <c r="N802">
        <f t="shared" ca="1" si="745"/>
        <v>105.21223027386741</v>
      </c>
      <c r="O802">
        <f t="shared" ca="1" si="745"/>
        <v>106.82480319251778</v>
      </c>
      <c r="P802">
        <f t="shared" ca="1" si="745"/>
        <v>102.95795012951105</v>
      </c>
      <c r="Q802">
        <f t="shared" ca="1" si="724"/>
        <v>106.82480319251778</v>
      </c>
      <c r="R802">
        <f t="shared" ca="1" si="725"/>
        <v>0.95795012951104752</v>
      </c>
      <c r="S802">
        <f t="shared" ca="1" si="726"/>
        <v>0.93429825654094956</v>
      </c>
    </row>
    <row r="803" spans="5:19" x14ac:dyDescent="0.75">
      <c r="E803">
        <v>798</v>
      </c>
      <c r="F803">
        <f t="shared" si="722"/>
        <v>100</v>
      </c>
      <c r="G803">
        <f t="shared" ca="1" si="723"/>
        <v>99.39218314882352</v>
      </c>
      <c r="H803">
        <f t="shared" ca="1" si="723"/>
        <v>94.757234252878661</v>
      </c>
      <c r="I803">
        <f t="shared" ca="1" si="723"/>
        <v>100.94917759626703</v>
      </c>
      <c r="J803">
        <f t="shared" ref="J803:P803" ca="1" si="746">I803*EXP(($C$6-0.5*$C$7^2)*$C$12+$C$7*SQRT($C$12)*NORMINV(RAND(),0,1))</f>
        <v>99.41047692247929</v>
      </c>
      <c r="K803">
        <f t="shared" ca="1" si="746"/>
        <v>101.65558374833121</v>
      </c>
      <c r="L803">
        <f t="shared" ca="1" si="746"/>
        <v>100.65159734445551</v>
      </c>
      <c r="M803">
        <f t="shared" ca="1" si="746"/>
        <v>95.826238758229081</v>
      </c>
      <c r="N803">
        <f t="shared" ca="1" si="746"/>
        <v>89.261955727127969</v>
      </c>
      <c r="O803">
        <f t="shared" ca="1" si="746"/>
        <v>91.664348748187351</v>
      </c>
      <c r="P803">
        <f t="shared" ca="1" si="746"/>
        <v>91.015348548565555</v>
      </c>
      <c r="Q803">
        <f t="shared" ca="1" si="724"/>
        <v>101.65558374833121</v>
      </c>
      <c r="R803">
        <f t="shared" ca="1" si="725"/>
        <v>0</v>
      </c>
      <c r="S803">
        <f t="shared" ca="1" si="726"/>
        <v>0</v>
      </c>
    </row>
    <row r="804" spans="5:19" x14ac:dyDescent="0.75">
      <c r="E804">
        <v>799</v>
      </c>
      <c r="F804">
        <f t="shared" si="722"/>
        <v>100</v>
      </c>
      <c r="G804">
        <f t="shared" ca="1" si="723"/>
        <v>100.03216009626034</v>
      </c>
      <c r="H804">
        <f t="shared" ca="1" si="723"/>
        <v>97.804044142472421</v>
      </c>
      <c r="I804">
        <f t="shared" ca="1" si="723"/>
        <v>103.57936150908442</v>
      </c>
      <c r="J804">
        <f t="shared" ref="J804:P804" ca="1" si="747">I804*EXP(($C$6-0.5*$C$7^2)*$C$12+$C$7*SQRT($C$12)*NORMINV(RAND(),0,1))</f>
        <v>104.75878536054054</v>
      </c>
      <c r="K804">
        <f t="shared" ca="1" si="747"/>
        <v>95.751723492860606</v>
      </c>
      <c r="L804">
        <f t="shared" ca="1" si="747"/>
        <v>91.938344717995491</v>
      </c>
      <c r="M804">
        <f t="shared" ca="1" si="747"/>
        <v>91.466838153405476</v>
      </c>
      <c r="N804">
        <f t="shared" ca="1" si="747"/>
        <v>89.304874913563907</v>
      </c>
      <c r="O804">
        <f t="shared" ca="1" si="747"/>
        <v>88.471708980811968</v>
      </c>
      <c r="P804">
        <f t="shared" ca="1" si="747"/>
        <v>90.958988065891191</v>
      </c>
      <c r="Q804">
        <f t="shared" ca="1" si="724"/>
        <v>104.75878536054054</v>
      </c>
      <c r="R804">
        <f t="shared" ca="1" si="725"/>
        <v>0</v>
      </c>
      <c r="S804">
        <f t="shared" ca="1" si="726"/>
        <v>0</v>
      </c>
    </row>
    <row r="805" spans="5:19" x14ac:dyDescent="0.75">
      <c r="E805">
        <v>800</v>
      </c>
      <c r="F805">
        <f t="shared" si="722"/>
        <v>100</v>
      </c>
      <c r="G805">
        <f t="shared" ca="1" si="723"/>
        <v>97.605609308982778</v>
      </c>
      <c r="H805">
        <f t="shared" ca="1" si="723"/>
        <v>101.59984973940678</v>
      </c>
      <c r="I805">
        <f t="shared" ca="1" si="723"/>
        <v>97.348101507221742</v>
      </c>
      <c r="J805">
        <f t="shared" ref="J805:P805" ca="1" si="748">I805*EXP(($C$6-0.5*$C$7^2)*$C$12+$C$7*SQRT($C$12)*NORMINV(RAND(),0,1))</f>
        <v>96.483281050087399</v>
      </c>
      <c r="K805">
        <f t="shared" ca="1" si="748"/>
        <v>101.4701399736193</v>
      </c>
      <c r="L805">
        <f t="shared" ca="1" si="748"/>
        <v>105.58397192396077</v>
      </c>
      <c r="M805">
        <f t="shared" ca="1" si="748"/>
        <v>111.73077980277139</v>
      </c>
      <c r="N805">
        <f t="shared" ca="1" si="748"/>
        <v>109.34175581243461</v>
      </c>
      <c r="O805">
        <f t="shared" ca="1" si="748"/>
        <v>102.70089883701077</v>
      </c>
      <c r="P805">
        <f t="shared" ca="1" si="748"/>
        <v>105.46976484364032</v>
      </c>
      <c r="Q805">
        <f t="shared" ca="1" si="724"/>
        <v>111.73077980277139</v>
      </c>
      <c r="R805">
        <f t="shared" ca="1" si="725"/>
        <v>0</v>
      </c>
      <c r="S805">
        <f t="shared" ca="1" si="726"/>
        <v>0</v>
      </c>
    </row>
    <row r="806" spans="5:19" x14ac:dyDescent="0.75">
      <c r="E806">
        <v>801</v>
      </c>
      <c r="F806">
        <f t="shared" si="722"/>
        <v>100</v>
      </c>
      <c r="G806">
        <f t="shared" ca="1" si="723"/>
        <v>103.58153661201568</v>
      </c>
      <c r="H806">
        <f t="shared" ca="1" si="723"/>
        <v>100.10993500485019</v>
      </c>
      <c r="I806">
        <f t="shared" ca="1" si="723"/>
        <v>86.012658987251982</v>
      </c>
      <c r="J806">
        <f t="shared" ref="J806:P806" ca="1" si="749">I806*EXP(($C$6-0.5*$C$7^2)*$C$12+$C$7*SQRT($C$12)*NORMINV(RAND(),0,1))</f>
        <v>84.562956596363421</v>
      </c>
      <c r="K806">
        <f t="shared" ca="1" si="749"/>
        <v>83.844183295181054</v>
      </c>
      <c r="L806">
        <f t="shared" ca="1" si="749"/>
        <v>90.357531929373835</v>
      </c>
      <c r="M806">
        <f t="shared" ca="1" si="749"/>
        <v>91.703328484068493</v>
      </c>
      <c r="N806">
        <f t="shared" ca="1" si="749"/>
        <v>93.304803687098428</v>
      </c>
      <c r="O806">
        <f t="shared" ca="1" si="749"/>
        <v>89.847588396067806</v>
      </c>
      <c r="P806">
        <f t="shared" ca="1" si="749"/>
        <v>90.885950394315543</v>
      </c>
      <c r="Q806">
        <f t="shared" ca="1" si="724"/>
        <v>103.58153661201568</v>
      </c>
      <c r="R806">
        <f t="shared" ca="1" si="725"/>
        <v>0</v>
      </c>
      <c r="S806">
        <f t="shared" ca="1" si="726"/>
        <v>0</v>
      </c>
    </row>
    <row r="807" spans="5:19" x14ac:dyDescent="0.75">
      <c r="E807">
        <v>802</v>
      </c>
      <c r="F807">
        <f t="shared" si="722"/>
        <v>100</v>
      </c>
      <c r="G807">
        <f t="shared" ca="1" si="723"/>
        <v>102.12209091853278</v>
      </c>
      <c r="H807">
        <f t="shared" ca="1" si="723"/>
        <v>100.6790677642484</v>
      </c>
      <c r="I807">
        <f t="shared" ca="1" si="723"/>
        <v>106.39090684638659</v>
      </c>
      <c r="J807">
        <f t="shared" ref="J807:P807" ca="1" si="750">I807*EXP(($C$6-0.5*$C$7^2)*$C$12+$C$7*SQRT($C$12)*NORMINV(RAND(),0,1))</f>
        <v>126.99651537545732</v>
      </c>
      <c r="K807">
        <f t="shared" ca="1" si="750"/>
        <v>120.31010721420041</v>
      </c>
      <c r="L807">
        <f t="shared" ca="1" si="750"/>
        <v>123.360963173149</v>
      </c>
      <c r="M807">
        <f t="shared" ca="1" si="750"/>
        <v>121.89367382843325</v>
      </c>
      <c r="N807">
        <f t="shared" ca="1" si="750"/>
        <v>118.66652543287091</v>
      </c>
      <c r="O807">
        <f t="shared" ca="1" si="750"/>
        <v>113.01319674816622</v>
      </c>
      <c r="P807">
        <f t="shared" ca="1" si="750"/>
        <v>119.59539172960362</v>
      </c>
      <c r="Q807">
        <f t="shared" ca="1" si="724"/>
        <v>126.99651537545732</v>
      </c>
      <c r="R807">
        <f t="shared" ca="1" si="725"/>
        <v>0</v>
      </c>
      <c r="S807">
        <f t="shared" ca="1" si="726"/>
        <v>0</v>
      </c>
    </row>
    <row r="808" spans="5:19" x14ac:dyDescent="0.75">
      <c r="E808">
        <v>803</v>
      </c>
      <c r="F808">
        <f t="shared" si="722"/>
        <v>100</v>
      </c>
      <c r="G808">
        <f t="shared" ca="1" si="723"/>
        <v>95.953078232215418</v>
      </c>
      <c r="H808">
        <f t="shared" ca="1" si="723"/>
        <v>103.40338018254739</v>
      </c>
      <c r="I808">
        <f t="shared" ca="1" si="723"/>
        <v>94.970947548465062</v>
      </c>
      <c r="J808">
        <f t="shared" ref="J808:P808" ca="1" si="751">I808*EXP(($C$6-0.5*$C$7^2)*$C$12+$C$7*SQRT($C$12)*NORMINV(RAND(),0,1))</f>
        <v>92.230106198732585</v>
      </c>
      <c r="K808">
        <f t="shared" ca="1" si="751"/>
        <v>100.62312265468692</v>
      </c>
      <c r="L808">
        <f t="shared" ca="1" si="751"/>
        <v>97.294561452679801</v>
      </c>
      <c r="M808">
        <f t="shared" ca="1" si="751"/>
        <v>95.316098388254403</v>
      </c>
      <c r="N808">
        <f t="shared" ca="1" si="751"/>
        <v>94.694028719308321</v>
      </c>
      <c r="O808">
        <f t="shared" ca="1" si="751"/>
        <v>88.320502963308925</v>
      </c>
      <c r="P808">
        <f t="shared" ca="1" si="751"/>
        <v>84.396268087670506</v>
      </c>
      <c r="Q808">
        <f t="shared" ca="1" si="724"/>
        <v>103.40338018254739</v>
      </c>
      <c r="R808">
        <f t="shared" ca="1" si="725"/>
        <v>0</v>
      </c>
      <c r="S808">
        <f t="shared" ca="1" si="726"/>
        <v>0</v>
      </c>
    </row>
    <row r="809" spans="5:19" x14ac:dyDescent="0.75">
      <c r="E809">
        <v>804</v>
      </c>
      <c r="F809">
        <f t="shared" si="722"/>
        <v>100</v>
      </c>
      <c r="G809">
        <f t="shared" ca="1" si="723"/>
        <v>103.16341026921725</v>
      </c>
      <c r="H809">
        <f t="shared" ca="1" si="723"/>
        <v>108.28330733933809</v>
      </c>
      <c r="I809">
        <f t="shared" ca="1" si="723"/>
        <v>105.38244078656777</v>
      </c>
      <c r="J809">
        <f t="shared" ref="J809:P809" ca="1" si="752">I809*EXP(($C$6-0.5*$C$7^2)*$C$12+$C$7*SQRT($C$12)*NORMINV(RAND(),0,1))</f>
        <v>99.12163459721404</v>
      </c>
      <c r="K809">
        <f t="shared" ca="1" si="752"/>
        <v>97.627231776146076</v>
      </c>
      <c r="L809">
        <f t="shared" ca="1" si="752"/>
        <v>88.230962492131809</v>
      </c>
      <c r="M809">
        <f t="shared" ca="1" si="752"/>
        <v>88.687861567155025</v>
      </c>
      <c r="N809">
        <f t="shared" ca="1" si="752"/>
        <v>93.791860838052727</v>
      </c>
      <c r="O809">
        <f t="shared" ca="1" si="752"/>
        <v>92.060871266543543</v>
      </c>
      <c r="P809">
        <f t="shared" ca="1" si="752"/>
        <v>93.796363508068666</v>
      </c>
      <c r="Q809">
        <f t="shared" ca="1" si="724"/>
        <v>108.28330733933809</v>
      </c>
      <c r="R809">
        <f t="shared" ca="1" si="725"/>
        <v>0</v>
      </c>
      <c r="S809">
        <f t="shared" ca="1" si="726"/>
        <v>0</v>
      </c>
    </row>
    <row r="810" spans="5:19" x14ac:dyDescent="0.75">
      <c r="E810">
        <v>805</v>
      </c>
      <c r="F810">
        <f t="shared" si="722"/>
        <v>100</v>
      </c>
      <c r="G810">
        <f t="shared" ca="1" si="723"/>
        <v>98.332739271747656</v>
      </c>
      <c r="H810">
        <f t="shared" ca="1" si="723"/>
        <v>98.212782245627707</v>
      </c>
      <c r="I810">
        <f t="shared" ca="1" si="723"/>
        <v>93.02472509421014</v>
      </c>
      <c r="J810">
        <f t="shared" ref="J810:P810" ca="1" si="753">I810*EXP(($C$6-0.5*$C$7^2)*$C$12+$C$7*SQRT($C$12)*NORMINV(RAND(),0,1))</f>
        <v>88.505484077128301</v>
      </c>
      <c r="K810">
        <f t="shared" ca="1" si="753"/>
        <v>90.758769954744352</v>
      </c>
      <c r="L810">
        <f t="shared" ca="1" si="753"/>
        <v>90.266408387300658</v>
      </c>
      <c r="M810">
        <f t="shared" ca="1" si="753"/>
        <v>85.406537312011451</v>
      </c>
      <c r="N810">
        <f t="shared" ca="1" si="753"/>
        <v>81.702624686243638</v>
      </c>
      <c r="O810">
        <f t="shared" ca="1" si="753"/>
        <v>78.217662443369747</v>
      </c>
      <c r="P810">
        <f t="shared" ca="1" si="753"/>
        <v>83.488891681063592</v>
      </c>
      <c r="Q810">
        <f t="shared" ca="1" si="724"/>
        <v>98.332739271747656</v>
      </c>
      <c r="R810">
        <f t="shared" ca="1" si="725"/>
        <v>0</v>
      </c>
      <c r="S810">
        <f t="shared" ca="1" si="726"/>
        <v>0</v>
      </c>
    </row>
    <row r="811" spans="5:19" x14ac:dyDescent="0.75">
      <c r="E811">
        <v>806</v>
      </c>
      <c r="F811">
        <f t="shared" si="722"/>
        <v>100</v>
      </c>
      <c r="G811">
        <f t="shared" ca="1" si="723"/>
        <v>103.52313829685133</v>
      </c>
      <c r="H811">
        <f t="shared" ca="1" si="723"/>
        <v>107.63720608422399</v>
      </c>
      <c r="I811">
        <f t="shared" ca="1" si="723"/>
        <v>105.86919054702517</v>
      </c>
      <c r="J811">
        <f t="shared" ref="J811:P811" ca="1" si="754">I811*EXP(($C$6-0.5*$C$7^2)*$C$12+$C$7*SQRT($C$12)*NORMINV(RAND(),0,1))</f>
        <v>103.05674272816962</v>
      </c>
      <c r="K811">
        <f t="shared" ca="1" si="754"/>
        <v>101.69355066302153</v>
      </c>
      <c r="L811">
        <f t="shared" ca="1" si="754"/>
        <v>100.33530749975237</v>
      </c>
      <c r="M811">
        <f t="shared" ca="1" si="754"/>
        <v>88.753587009782891</v>
      </c>
      <c r="N811">
        <f t="shared" ca="1" si="754"/>
        <v>91.462350211144866</v>
      </c>
      <c r="O811">
        <f t="shared" ca="1" si="754"/>
        <v>92.141341441286883</v>
      </c>
      <c r="P811">
        <f t="shared" ca="1" si="754"/>
        <v>88.352096180934069</v>
      </c>
      <c r="Q811">
        <f t="shared" ca="1" si="724"/>
        <v>107.63720608422399</v>
      </c>
      <c r="R811">
        <f t="shared" ca="1" si="725"/>
        <v>0</v>
      </c>
      <c r="S811">
        <f t="shared" ca="1" si="726"/>
        <v>0</v>
      </c>
    </row>
    <row r="812" spans="5:19" x14ac:dyDescent="0.75">
      <c r="E812">
        <v>807</v>
      </c>
      <c r="F812">
        <f t="shared" si="722"/>
        <v>100</v>
      </c>
      <c r="G812">
        <f t="shared" ca="1" si="723"/>
        <v>101.4435936838638</v>
      </c>
      <c r="H812">
        <f t="shared" ca="1" si="723"/>
        <v>98.53560699803036</v>
      </c>
      <c r="I812">
        <f t="shared" ca="1" si="723"/>
        <v>95.374140041074014</v>
      </c>
      <c r="J812">
        <f t="shared" ref="J812:P812" ca="1" si="755">I812*EXP(($C$6-0.5*$C$7^2)*$C$12+$C$7*SQRT($C$12)*NORMINV(RAND(),0,1))</f>
        <v>93.642915112163053</v>
      </c>
      <c r="K812">
        <f t="shared" ca="1" si="755"/>
        <v>92.266520267220514</v>
      </c>
      <c r="L812">
        <f t="shared" ca="1" si="755"/>
        <v>98.633928398000478</v>
      </c>
      <c r="M812">
        <f t="shared" ca="1" si="755"/>
        <v>106.27820266389372</v>
      </c>
      <c r="N812">
        <f t="shared" ca="1" si="755"/>
        <v>108.70939737915108</v>
      </c>
      <c r="O812">
        <f t="shared" ca="1" si="755"/>
        <v>107.1335057815576</v>
      </c>
      <c r="P812">
        <f t="shared" ca="1" si="755"/>
        <v>108.53541400142132</v>
      </c>
      <c r="Q812">
        <f t="shared" ca="1" si="724"/>
        <v>108.70939737915108</v>
      </c>
      <c r="R812">
        <f t="shared" ca="1" si="725"/>
        <v>6.5354140014213158</v>
      </c>
      <c r="S812">
        <f t="shared" ca="1" si="726"/>
        <v>6.3740540547949571</v>
      </c>
    </row>
    <row r="813" spans="5:19" x14ac:dyDescent="0.75">
      <c r="E813">
        <v>808</v>
      </c>
      <c r="F813">
        <f t="shared" si="722"/>
        <v>100</v>
      </c>
      <c r="G813">
        <f t="shared" ca="1" si="723"/>
        <v>96.348477104916526</v>
      </c>
      <c r="H813">
        <f t="shared" ca="1" si="723"/>
        <v>97.317895866650645</v>
      </c>
      <c r="I813">
        <f t="shared" ca="1" si="723"/>
        <v>94.891816840443582</v>
      </c>
      <c r="J813">
        <f t="shared" ref="J813:P813" ca="1" si="756">I813*EXP(($C$6-0.5*$C$7^2)*$C$12+$C$7*SQRT($C$12)*NORMINV(RAND(),0,1))</f>
        <v>100.3626123765369</v>
      </c>
      <c r="K813">
        <f t="shared" ca="1" si="756"/>
        <v>98.977976950429834</v>
      </c>
      <c r="L813">
        <f t="shared" ca="1" si="756"/>
        <v>100.14884276957962</v>
      </c>
      <c r="M813">
        <f t="shared" ca="1" si="756"/>
        <v>93.216001432086642</v>
      </c>
      <c r="N813">
        <f t="shared" ca="1" si="756"/>
        <v>102.15678267897697</v>
      </c>
      <c r="O813">
        <f t="shared" ca="1" si="756"/>
        <v>103.40754710846392</v>
      </c>
      <c r="P813">
        <f t="shared" ca="1" si="756"/>
        <v>103.94245896152184</v>
      </c>
      <c r="Q813">
        <f t="shared" ca="1" si="724"/>
        <v>103.94245896152184</v>
      </c>
      <c r="R813">
        <f t="shared" ca="1" si="725"/>
        <v>1.9424589615218366</v>
      </c>
      <c r="S813">
        <f t="shared" ca="1" si="726"/>
        <v>1.8944994788805087</v>
      </c>
    </row>
    <row r="814" spans="5:19" x14ac:dyDescent="0.75">
      <c r="E814">
        <v>809</v>
      </c>
      <c r="F814">
        <f t="shared" si="722"/>
        <v>100</v>
      </c>
      <c r="G814">
        <f t="shared" ca="1" si="723"/>
        <v>104.82842253194011</v>
      </c>
      <c r="H814">
        <f t="shared" ca="1" si="723"/>
        <v>102.01981289710145</v>
      </c>
      <c r="I814">
        <f t="shared" ca="1" si="723"/>
        <v>100.73175700320708</v>
      </c>
      <c r="J814">
        <f t="shared" ref="J814:P814" ca="1" si="757">I814*EXP(($C$6-0.5*$C$7^2)*$C$12+$C$7*SQRT($C$12)*NORMINV(RAND(),0,1))</f>
        <v>95.774590770238618</v>
      </c>
      <c r="K814">
        <f t="shared" ca="1" si="757"/>
        <v>93.159552891271389</v>
      </c>
      <c r="L814">
        <f t="shared" ca="1" si="757"/>
        <v>94.314425931043161</v>
      </c>
      <c r="M814">
        <f t="shared" ca="1" si="757"/>
        <v>90.120829869344391</v>
      </c>
      <c r="N814">
        <f t="shared" ca="1" si="757"/>
        <v>94.52720112988284</v>
      </c>
      <c r="O814">
        <f t="shared" ca="1" si="757"/>
        <v>93.168454518735402</v>
      </c>
      <c r="P814">
        <f t="shared" ca="1" si="757"/>
        <v>94.309675863692362</v>
      </c>
      <c r="Q814">
        <f t="shared" ca="1" si="724"/>
        <v>104.82842253194011</v>
      </c>
      <c r="R814">
        <f t="shared" ca="1" si="725"/>
        <v>0</v>
      </c>
      <c r="S814">
        <f t="shared" ca="1" si="726"/>
        <v>0</v>
      </c>
    </row>
    <row r="815" spans="5:19" x14ac:dyDescent="0.75">
      <c r="E815">
        <v>810</v>
      </c>
      <c r="F815">
        <f t="shared" si="722"/>
        <v>100</v>
      </c>
      <c r="G815">
        <f t="shared" ca="1" si="723"/>
        <v>98.692253900818102</v>
      </c>
      <c r="H815">
        <f t="shared" ca="1" si="723"/>
        <v>93.957783865523737</v>
      </c>
      <c r="I815">
        <f t="shared" ca="1" si="723"/>
        <v>99.031534079308258</v>
      </c>
      <c r="J815">
        <f t="shared" ref="J815:P815" ca="1" si="758">I815*EXP(($C$6-0.5*$C$7^2)*$C$12+$C$7*SQRT($C$12)*NORMINV(RAND(),0,1))</f>
        <v>106.77831600723535</v>
      </c>
      <c r="K815">
        <f t="shared" ca="1" si="758"/>
        <v>113.695015651164</v>
      </c>
      <c r="L815">
        <f t="shared" ca="1" si="758"/>
        <v>111.27380382686478</v>
      </c>
      <c r="M815">
        <f t="shared" ca="1" si="758"/>
        <v>119.11744143345832</v>
      </c>
      <c r="N815">
        <f t="shared" ca="1" si="758"/>
        <v>118.63329650283535</v>
      </c>
      <c r="O815">
        <f t="shared" ca="1" si="758"/>
        <v>124.49331951247186</v>
      </c>
      <c r="P815">
        <f t="shared" ca="1" si="758"/>
        <v>125.52728104831245</v>
      </c>
      <c r="Q815">
        <f t="shared" ca="1" si="724"/>
        <v>125.52728104831245</v>
      </c>
      <c r="R815">
        <f t="shared" ca="1" si="725"/>
        <v>0</v>
      </c>
      <c r="S815">
        <f t="shared" ca="1" si="726"/>
        <v>0</v>
      </c>
    </row>
    <row r="816" spans="5:19" x14ac:dyDescent="0.75">
      <c r="E816">
        <v>811</v>
      </c>
      <c r="F816">
        <f t="shared" si="722"/>
        <v>100</v>
      </c>
      <c r="G816">
        <f t="shared" ca="1" si="723"/>
        <v>98.190137698167206</v>
      </c>
      <c r="H816">
        <f t="shared" ca="1" si="723"/>
        <v>102.71777356526218</v>
      </c>
      <c r="I816">
        <f t="shared" ca="1" si="723"/>
        <v>93.835083425042058</v>
      </c>
      <c r="J816">
        <f t="shared" ref="J816:P816" ca="1" si="759">I816*EXP(($C$6-0.5*$C$7^2)*$C$12+$C$7*SQRT($C$12)*NORMINV(RAND(),0,1))</f>
        <v>96.103030896009926</v>
      </c>
      <c r="K816">
        <f t="shared" ca="1" si="759"/>
        <v>93.780106883957458</v>
      </c>
      <c r="L816">
        <f t="shared" ca="1" si="759"/>
        <v>93.558323560599064</v>
      </c>
      <c r="M816">
        <f t="shared" ca="1" si="759"/>
        <v>93.482037635296535</v>
      </c>
      <c r="N816">
        <f t="shared" ca="1" si="759"/>
        <v>89.419620639148334</v>
      </c>
      <c r="O816">
        <f t="shared" ca="1" si="759"/>
        <v>90.114608669120884</v>
      </c>
      <c r="P816">
        <f t="shared" ca="1" si="759"/>
        <v>89.70616468915614</v>
      </c>
      <c r="Q816">
        <f t="shared" ca="1" si="724"/>
        <v>102.71777356526218</v>
      </c>
      <c r="R816">
        <f t="shared" ca="1" si="725"/>
        <v>0</v>
      </c>
      <c r="S816">
        <f t="shared" ca="1" si="726"/>
        <v>0</v>
      </c>
    </row>
    <row r="817" spans="5:19" x14ac:dyDescent="0.75">
      <c r="E817">
        <v>812</v>
      </c>
      <c r="F817">
        <f t="shared" si="722"/>
        <v>100</v>
      </c>
      <c r="G817">
        <f t="shared" ca="1" si="723"/>
        <v>103.33304943120577</v>
      </c>
      <c r="H817">
        <f t="shared" ca="1" si="723"/>
        <v>101.58481024336815</v>
      </c>
      <c r="I817">
        <f t="shared" ca="1" si="723"/>
        <v>105.79901804631396</v>
      </c>
      <c r="J817">
        <f t="shared" ref="J817:P817" ca="1" si="760">I817*EXP(($C$6-0.5*$C$7^2)*$C$12+$C$7*SQRT($C$12)*NORMINV(RAND(),0,1))</f>
        <v>102.72087947370292</v>
      </c>
      <c r="K817">
        <f t="shared" ca="1" si="760"/>
        <v>100.77715382131355</v>
      </c>
      <c r="L817">
        <f t="shared" ca="1" si="760"/>
        <v>105.18195975348438</v>
      </c>
      <c r="M817">
        <f t="shared" ca="1" si="760"/>
        <v>106.8193026474338</v>
      </c>
      <c r="N817">
        <f t="shared" ca="1" si="760"/>
        <v>101.67659260832222</v>
      </c>
      <c r="O817">
        <f t="shared" ca="1" si="760"/>
        <v>95.239780489453935</v>
      </c>
      <c r="P817">
        <f t="shared" ca="1" si="760"/>
        <v>97.331699299028571</v>
      </c>
      <c r="Q817">
        <f t="shared" ca="1" si="724"/>
        <v>106.8193026474338</v>
      </c>
      <c r="R817">
        <f t="shared" ca="1" si="725"/>
        <v>0</v>
      </c>
      <c r="S817">
        <f t="shared" ca="1" si="726"/>
        <v>0</v>
      </c>
    </row>
    <row r="818" spans="5:19" x14ac:dyDescent="0.75">
      <c r="E818">
        <v>813</v>
      </c>
      <c r="F818">
        <f t="shared" si="722"/>
        <v>100</v>
      </c>
      <c r="G818">
        <f t="shared" ca="1" si="723"/>
        <v>97.926353871299668</v>
      </c>
      <c r="H818">
        <f t="shared" ca="1" si="723"/>
        <v>103.06957001139902</v>
      </c>
      <c r="I818">
        <f t="shared" ca="1" si="723"/>
        <v>108.77017088326197</v>
      </c>
      <c r="J818">
        <f t="shared" ref="J818:P818" ca="1" si="761">I818*EXP(($C$6-0.5*$C$7^2)*$C$12+$C$7*SQRT($C$12)*NORMINV(RAND(),0,1))</f>
        <v>102.033917677715</v>
      </c>
      <c r="K818">
        <f t="shared" ca="1" si="761"/>
        <v>92.70277538369055</v>
      </c>
      <c r="L818">
        <f t="shared" ca="1" si="761"/>
        <v>86.60795629578493</v>
      </c>
      <c r="M818">
        <f t="shared" ca="1" si="761"/>
        <v>83.253152740180539</v>
      </c>
      <c r="N818">
        <f t="shared" ca="1" si="761"/>
        <v>79.187470498761101</v>
      </c>
      <c r="O818">
        <f t="shared" ca="1" si="761"/>
        <v>76.986771600676505</v>
      </c>
      <c r="P818">
        <f t="shared" ca="1" si="761"/>
        <v>71.019861580243457</v>
      </c>
      <c r="Q818">
        <f t="shared" ca="1" si="724"/>
        <v>108.77017088326197</v>
      </c>
      <c r="R818">
        <f t="shared" ca="1" si="725"/>
        <v>0</v>
      </c>
      <c r="S818">
        <f t="shared" ca="1" si="726"/>
        <v>0</v>
      </c>
    </row>
    <row r="819" spans="5:19" x14ac:dyDescent="0.75">
      <c r="E819">
        <v>814</v>
      </c>
      <c r="F819">
        <f t="shared" si="722"/>
        <v>100</v>
      </c>
      <c r="G819">
        <f t="shared" ca="1" si="723"/>
        <v>94.495772154705023</v>
      </c>
      <c r="H819">
        <f t="shared" ca="1" si="723"/>
        <v>94.347321604646083</v>
      </c>
      <c r="I819">
        <f t="shared" ca="1" si="723"/>
        <v>87.279568781715511</v>
      </c>
      <c r="J819">
        <f t="shared" ref="J819:P819" ca="1" si="762">I819*EXP(($C$6-0.5*$C$7^2)*$C$12+$C$7*SQRT($C$12)*NORMINV(RAND(),0,1))</f>
        <v>83.477924079073262</v>
      </c>
      <c r="K819">
        <f t="shared" ca="1" si="762"/>
        <v>81.090169182451916</v>
      </c>
      <c r="L819">
        <f t="shared" ca="1" si="762"/>
        <v>84.826954817519848</v>
      </c>
      <c r="M819">
        <f t="shared" ca="1" si="762"/>
        <v>91.909720961272313</v>
      </c>
      <c r="N819">
        <f t="shared" ca="1" si="762"/>
        <v>88.039259645646339</v>
      </c>
      <c r="O819">
        <f t="shared" ca="1" si="762"/>
        <v>86.98843024587832</v>
      </c>
      <c r="P819">
        <f t="shared" ca="1" si="762"/>
        <v>86.398254149957907</v>
      </c>
      <c r="Q819">
        <f t="shared" ca="1" si="724"/>
        <v>94.495772154705023</v>
      </c>
      <c r="R819">
        <f t="shared" ca="1" si="725"/>
        <v>0</v>
      </c>
      <c r="S819">
        <f t="shared" ca="1" si="726"/>
        <v>0</v>
      </c>
    </row>
    <row r="820" spans="5:19" x14ac:dyDescent="0.75">
      <c r="E820">
        <v>815</v>
      </c>
      <c r="F820">
        <f t="shared" si="722"/>
        <v>100</v>
      </c>
      <c r="G820">
        <f t="shared" ca="1" si="723"/>
        <v>97.010903236733455</v>
      </c>
      <c r="H820">
        <f t="shared" ca="1" si="723"/>
        <v>94.030997940636382</v>
      </c>
      <c r="I820">
        <f t="shared" ca="1" si="723"/>
        <v>102.23256711212672</v>
      </c>
      <c r="J820">
        <f t="shared" ref="J820:P820" ca="1" si="763">I820*EXP(($C$6-0.5*$C$7^2)*$C$12+$C$7*SQRT($C$12)*NORMINV(RAND(),0,1))</f>
        <v>99.144814573581584</v>
      </c>
      <c r="K820">
        <f t="shared" ca="1" si="763"/>
        <v>103.29968182454967</v>
      </c>
      <c r="L820">
        <f t="shared" ca="1" si="763"/>
        <v>98.065890931365999</v>
      </c>
      <c r="M820">
        <f t="shared" ca="1" si="763"/>
        <v>100.12499803984288</v>
      </c>
      <c r="N820">
        <f t="shared" ca="1" si="763"/>
        <v>108.79213521089203</v>
      </c>
      <c r="O820">
        <f t="shared" ca="1" si="763"/>
        <v>106.64557120618558</v>
      </c>
      <c r="P820">
        <f t="shared" ca="1" si="763"/>
        <v>113.55204576710005</v>
      </c>
      <c r="Q820">
        <f t="shared" ca="1" si="724"/>
        <v>113.55204576710005</v>
      </c>
      <c r="R820">
        <f t="shared" ca="1" si="725"/>
        <v>0</v>
      </c>
      <c r="S820">
        <f t="shared" ca="1" si="726"/>
        <v>0</v>
      </c>
    </row>
    <row r="821" spans="5:19" x14ac:dyDescent="0.75">
      <c r="E821">
        <v>816</v>
      </c>
      <c r="F821">
        <f t="shared" si="722"/>
        <v>100</v>
      </c>
      <c r="G821">
        <f t="shared" ca="1" si="723"/>
        <v>98.259465289946107</v>
      </c>
      <c r="H821">
        <f t="shared" ca="1" si="723"/>
        <v>101.57139492506079</v>
      </c>
      <c r="I821">
        <f t="shared" ca="1" si="723"/>
        <v>109.95980751670817</v>
      </c>
      <c r="J821">
        <f t="shared" ref="J821:P821" ca="1" si="764">I821*EXP(($C$6-0.5*$C$7^2)*$C$12+$C$7*SQRT($C$12)*NORMINV(RAND(),0,1))</f>
        <v>113.25540260609952</v>
      </c>
      <c r="K821">
        <f t="shared" ca="1" si="764"/>
        <v>114.947788036921</v>
      </c>
      <c r="L821">
        <f t="shared" ca="1" si="764"/>
        <v>106.88544718573638</v>
      </c>
      <c r="M821">
        <f t="shared" ca="1" si="764"/>
        <v>100.20692034504374</v>
      </c>
      <c r="N821">
        <f t="shared" ca="1" si="764"/>
        <v>101.85696324837662</v>
      </c>
      <c r="O821">
        <f t="shared" ca="1" si="764"/>
        <v>102.35658991551004</v>
      </c>
      <c r="P821">
        <f t="shared" ca="1" si="764"/>
        <v>105.05505040704709</v>
      </c>
      <c r="Q821">
        <f t="shared" ca="1" si="724"/>
        <v>114.947788036921</v>
      </c>
      <c r="R821">
        <f t="shared" ca="1" si="725"/>
        <v>0</v>
      </c>
      <c r="S821">
        <f t="shared" ca="1" si="726"/>
        <v>0</v>
      </c>
    </row>
    <row r="822" spans="5:19" x14ac:dyDescent="0.75">
      <c r="E822">
        <v>817</v>
      </c>
      <c r="F822">
        <f t="shared" si="722"/>
        <v>100</v>
      </c>
      <c r="G822">
        <f t="shared" ca="1" si="723"/>
        <v>92.611394991665009</v>
      </c>
      <c r="H822">
        <f t="shared" ca="1" si="723"/>
        <v>92.794335568118228</v>
      </c>
      <c r="I822">
        <f t="shared" ca="1" si="723"/>
        <v>97.497753346972374</v>
      </c>
      <c r="J822">
        <f t="shared" ref="J822:P822" ca="1" si="765">I822*EXP(($C$6-0.5*$C$7^2)*$C$12+$C$7*SQRT($C$12)*NORMINV(RAND(),0,1))</f>
        <v>97.242689188388425</v>
      </c>
      <c r="K822">
        <f t="shared" ca="1" si="765"/>
        <v>98.964719595598396</v>
      </c>
      <c r="L822">
        <f t="shared" ca="1" si="765"/>
        <v>92.858992994278267</v>
      </c>
      <c r="M822">
        <f t="shared" ca="1" si="765"/>
        <v>93.880809988710638</v>
      </c>
      <c r="N822">
        <f t="shared" ca="1" si="765"/>
        <v>99.737677738891861</v>
      </c>
      <c r="O822">
        <f t="shared" ca="1" si="765"/>
        <v>89.985244804914117</v>
      </c>
      <c r="P822">
        <f t="shared" ca="1" si="765"/>
        <v>93.082389443439226</v>
      </c>
      <c r="Q822">
        <f t="shared" ca="1" si="724"/>
        <v>99.737677738891861</v>
      </c>
      <c r="R822">
        <f t="shared" ca="1" si="725"/>
        <v>0</v>
      </c>
      <c r="S822">
        <f t="shared" ca="1" si="726"/>
        <v>0</v>
      </c>
    </row>
    <row r="823" spans="5:19" x14ac:dyDescent="0.75">
      <c r="E823">
        <v>818</v>
      </c>
      <c r="F823">
        <f t="shared" si="722"/>
        <v>100</v>
      </c>
      <c r="G823">
        <f t="shared" ca="1" si="723"/>
        <v>102.11608318160796</v>
      </c>
      <c r="H823">
        <f t="shared" ca="1" si="723"/>
        <v>93.507347582623552</v>
      </c>
      <c r="I823">
        <f t="shared" ca="1" si="723"/>
        <v>95.324760330313609</v>
      </c>
      <c r="J823">
        <f t="shared" ref="J823:P823" ca="1" si="766">I823*EXP(($C$6-0.5*$C$7^2)*$C$12+$C$7*SQRT($C$12)*NORMINV(RAND(),0,1))</f>
        <v>102.14730669182549</v>
      </c>
      <c r="K823">
        <f t="shared" ca="1" si="766"/>
        <v>105.40000344152392</v>
      </c>
      <c r="L823">
        <f t="shared" ca="1" si="766"/>
        <v>103.12184166494815</v>
      </c>
      <c r="M823">
        <f t="shared" ca="1" si="766"/>
        <v>102.3310719051982</v>
      </c>
      <c r="N823">
        <f t="shared" ca="1" si="766"/>
        <v>97.246366414108564</v>
      </c>
      <c r="O823">
        <f t="shared" ca="1" si="766"/>
        <v>103.1457782889314</v>
      </c>
      <c r="P823">
        <f t="shared" ca="1" si="766"/>
        <v>102.45932775341964</v>
      </c>
      <c r="Q823">
        <f t="shared" ca="1" si="724"/>
        <v>105.40000344152392</v>
      </c>
      <c r="R823">
        <f t="shared" ca="1" si="725"/>
        <v>0.45932775341964316</v>
      </c>
      <c r="S823">
        <f t="shared" ca="1" si="726"/>
        <v>0.44798691077988384</v>
      </c>
    </row>
    <row r="824" spans="5:19" x14ac:dyDescent="0.75">
      <c r="E824">
        <v>819</v>
      </c>
      <c r="F824">
        <f t="shared" si="722"/>
        <v>100</v>
      </c>
      <c r="G824">
        <f t="shared" ca="1" si="723"/>
        <v>97.513459874173265</v>
      </c>
      <c r="H824">
        <f t="shared" ca="1" si="723"/>
        <v>96.487633940577282</v>
      </c>
      <c r="I824">
        <f t="shared" ca="1" si="723"/>
        <v>102.48556755281257</v>
      </c>
      <c r="J824">
        <f t="shared" ref="J824:P824" ca="1" si="767">I824*EXP(($C$6-0.5*$C$7^2)*$C$12+$C$7*SQRT($C$12)*NORMINV(RAND(),0,1))</f>
        <v>108.57640112373633</v>
      </c>
      <c r="K824">
        <f t="shared" ca="1" si="767"/>
        <v>103.28559952331283</v>
      </c>
      <c r="L824">
        <f t="shared" ca="1" si="767"/>
        <v>100.654555161565</v>
      </c>
      <c r="M824">
        <f t="shared" ca="1" si="767"/>
        <v>105.21470100255516</v>
      </c>
      <c r="N824">
        <f t="shared" ca="1" si="767"/>
        <v>106.38561076441792</v>
      </c>
      <c r="O824">
        <f t="shared" ca="1" si="767"/>
        <v>99.86742445664666</v>
      </c>
      <c r="P824">
        <f t="shared" ca="1" si="767"/>
        <v>96.129809528034968</v>
      </c>
      <c r="Q824">
        <f t="shared" ca="1" si="724"/>
        <v>108.57640112373633</v>
      </c>
      <c r="R824">
        <f t="shared" ca="1" si="725"/>
        <v>0</v>
      </c>
      <c r="S824">
        <f t="shared" ca="1" si="726"/>
        <v>0</v>
      </c>
    </row>
    <row r="825" spans="5:19" x14ac:dyDescent="0.75">
      <c r="E825">
        <v>820</v>
      </c>
      <c r="F825">
        <f t="shared" si="722"/>
        <v>100</v>
      </c>
      <c r="G825">
        <f t="shared" ca="1" si="723"/>
        <v>100.3861965606004</v>
      </c>
      <c r="H825">
        <f t="shared" ca="1" si="723"/>
        <v>100.23774933849317</v>
      </c>
      <c r="I825">
        <f t="shared" ca="1" si="723"/>
        <v>98.509223019492865</v>
      </c>
      <c r="J825">
        <f t="shared" ref="J825:P825" ca="1" si="768">I825*EXP(($C$6-0.5*$C$7^2)*$C$12+$C$7*SQRT($C$12)*NORMINV(RAND(),0,1))</f>
        <v>98.92442848463287</v>
      </c>
      <c r="K825">
        <f t="shared" ca="1" si="768"/>
        <v>99.760084206729417</v>
      </c>
      <c r="L825">
        <f t="shared" ca="1" si="768"/>
        <v>103.06789779255253</v>
      </c>
      <c r="M825">
        <f t="shared" ca="1" si="768"/>
        <v>98.655497056506164</v>
      </c>
      <c r="N825">
        <f t="shared" ca="1" si="768"/>
        <v>87.989817023123848</v>
      </c>
      <c r="O825">
        <f t="shared" ca="1" si="768"/>
        <v>90.802918947963292</v>
      </c>
      <c r="P825">
        <f t="shared" ca="1" si="768"/>
        <v>87.905181493915251</v>
      </c>
      <c r="Q825">
        <f t="shared" ca="1" si="724"/>
        <v>103.06789779255253</v>
      </c>
      <c r="R825">
        <f t="shared" ca="1" si="725"/>
        <v>0</v>
      </c>
      <c r="S825">
        <f t="shared" ca="1" si="726"/>
        <v>0</v>
      </c>
    </row>
    <row r="826" spans="5:19" x14ac:dyDescent="0.75">
      <c r="E826">
        <v>821</v>
      </c>
      <c r="F826">
        <f t="shared" si="722"/>
        <v>100</v>
      </c>
      <c r="G826">
        <f t="shared" ca="1" si="723"/>
        <v>94.661871603452468</v>
      </c>
      <c r="H826">
        <f t="shared" ca="1" si="723"/>
        <v>92.399869699291827</v>
      </c>
      <c r="I826">
        <f t="shared" ca="1" si="723"/>
        <v>90.166911275230206</v>
      </c>
      <c r="J826">
        <f t="shared" ref="J826:P826" ca="1" si="769">I826*EXP(($C$6-0.5*$C$7^2)*$C$12+$C$7*SQRT($C$12)*NORMINV(RAND(),0,1))</f>
        <v>88.569295770170172</v>
      </c>
      <c r="K826">
        <f t="shared" ca="1" si="769"/>
        <v>90.084247173224114</v>
      </c>
      <c r="L826">
        <f t="shared" ca="1" si="769"/>
        <v>93.292787509800718</v>
      </c>
      <c r="M826">
        <f t="shared" ca="1" si="769"/>
        <v>97.586617987533032</v>
      </c>
      <c r="N826">
        <f t="shared" ca="1" si="769"/>
        <v>104.83715256220331</v>
      </c>
      <c r="O826">
        <f t="shared" ca="1" si="769"/>
        <v>101.615648874722</v>
      </c>
      <c r="P826">
        <f t="shared" ca="1" si="769"/>
        <v>100.81891602306368</v>
      </c>
      <c r="Q826">
        <f t="shared" ca="1" si="724"/>
        <v>104.83715256220331</v>
      </c>
      <c r="R826">
        <f t="shared" ca="1" si="725"/>
        <v>0</v>
      </c>
      <c r="S826">
        <f t="shared" ca="1" si="726"/>
        <v>0</v>
      </c>
    </row>
    <row r="827" spans="5:19" x14ac:dyDescent="0.75">
      <c r="E827">
        <v>822</v>
      </c>
      <c r="F827">
        <f t="shared" si="722"/>
        <v>100</v>
      </c>
      <c r="G827">
        <f t="shared" ca="1" si="723"/>
        <v>99.278291638749153</v>
      </c>
      <c r="H827">
        <f t="shared" ca="1" si="723"/>
        <v>101.26580304174979</v>
      </c>
      <c r="I827">
        <f t="shared" ca="1" si="723"/>
        <v>99.464903370560393</v>
      </c>
      <c r="J827">
        <f t="shared" ref="J827:P827" ca="1" si="770">I827*EXP(($C$6-0.5*$C$7^2)*$C$12+$C$7*SQRT($C$12)*NORMINV(RAND(),0,1))</f>
        <v>100.52669726286388</v>
      </c>
      <c r="K827">
        <f t="shared" ca="1" si="770"/>
        <v>106.55133894269655</v>
      </c>
      <c r="L827">
        <f t="shared" ca="1" si="770"/>
        <v>112.26069905047248</v>
      </c>
      <c r="M827">
        <f t="shared" ca="1" si="770"/>
        <v>112.09499512314119</v>
      </c>
      <c r="N827">
        <f t="shared" ca="1" si="770"/>
        <v>121.38143224140103</v>
      </c>
      <c r="O827">
        <f t="shared" ca="1" si="770"/>
        <v>113.39960028431044</v>
      </c>
      <c r="P827">
        <f t="shared" ca="1" si="770"/>
        <v>120.91190599580825</v>
      </c>
      <c r="Q827">
        <f t="shared" ca="1" si="724"/>
        <v>121.38143224140103</v>
      </c>
      <c r="R827">
        <f t="shared" ca="1" si="725"/>
        <v>0</v>
      </c>
      <c r="S827">
        <f t="shared" ca="1" si="726"/>
        <v>0</v>
      </c>
    </row>
    <row r="828" spans="5:19" x14ac:dyDescent="0.75">
      <c r="E828">
        <v>823</v>
      </c>
      <c r="F828">
        <f t="shared" si="722"/>
        <v>100</v>
      </c>
      <c r="G828">
        <f t="shared" ca="1" si="723"/>
        <v>96.672820068378968</v>
      </c>
      <c r="H828">
        <f t="shared" ca="1" si="723"/>
        <v>91.340783923997293</v>
      </c>
      <c r="I828">
        <f t="shared" ca="1" si="723"/>
        <v>90.504232673945808</v>
      </c>
      <c r="J828">
        <f t="shared" ref="J828:P828" ca="1" si="771">I828*EXP(($C$6-0.5*$C$7^2)*$C$12+$C$7*SQRT($C$12)*NORMINV(RAND(),0,1))</f>
        <v>93.942977793518338</v>
      </c>
      <c r="K828">
        <f t="shared" ca="1" si="771"/>
        <v>95.793930793252883</v>
      </c>
      <c r="L828">
        <f t="shared" ca="1" si="771"/>
        <v>97.904502494860282</v>
      </c>
      <c r="M828">
        <f t="shared" ca="1" si="771"/>
        <v>98.186183289730053</v>
      </c>
      <c r="N828">
        <f t="shared" ca="1" si="771"/>
        <v>88.6961838269347</v>
      </c>
      <c r="O828">
        <f t="shared" ca="1" si="771"/>
        <v>83.862800450049079</v>
      </c>
      <c r="P828">
        <f t="shared" ca="1" si="771"/>
        <v>87.987121733318375</v>
      </c>
      <c r="Q828">
        <f t="shared" ca="1" si="724"/>
        <v>98.186183289730053</v>
      </c>
      <c r="R828">
        <f t="shared" ca="1" si="725"/>
        <v>0</v>
      </c>
      <c r="S828">
        <f t="shared" ca="1" si="726"/>
        <v>0</v>
      </c>
    </row>
    <row r="829" spans="5:19" x14ac:dyDescent="0.75">
      <c r="E829">
        <v>824</v>
      </c>
      <c r="F829">
        <f t="shared" si="722"/>
        <v>100</v>
      </c>
      <c r="G829">
        <f t="shared" ca="1" si="723"/>
        <v>101.13191049948153</v>
      </c>
      <c r="H829">
        <f t="shared" ca="1" si="723"/>
        <v>105.06676457953803</v>
      </c>
      <c r="I829">
        <f t="shared" ca="1" si="723"/>
        <v>108.15386882746634</v>
      </c>
      <c r="J829">
        <f t="shared" ref="J829:P829" ca="1" si="772">I829*EXP(($C$6-0.5*$C$7^2)*$C$12+$C$7*SQRT($C$12)*NORMINV(RAND(),0,1))</f>
        <v>110.95667467004841</v>
      </c>
      <c r="K829">
        <f t="shared" ca="1" si="772"/>
        <v>114.80105024479914</v>
      </c>
      <c r="L829">
        <f t="shared" ca="1" si="772"/>
        <v>117.69747886179694</v>
      </c>
      <c r="M829">
        <f t="shared" ca="1" si="772"/>
        <v>115.01520935776199</v>
      </c>
      <c r="N829">
        <f t="shared" ca="1" si="772"/>
        <v>118.57536742350973</v>
      </c>
      <c r="O829">
        <f t="shared" ca="1" si="772"/>
        <v>101.82296428498164</v>
      </c>
      <c r="P829">
        <f t="shared" ca="1" si="772"/>
        <v>103.04415092863719</v>
      </c>
      <c r="Q829">
        <f t="shared" ca="1" si="724"/>
        <v>118.57536742350973</v>
      </c>
      <c r="R829">
        <f t="shared" ca="1" si="725"/>
        <v>0</v>
      </c>
      <c r="S829">
        <f t="shared" ca="1" si="726"/>
        <v>0</v>
      </c>
    </row>
    <row r="830" spans="5:19" x14ac:dyDescent="0.75">
      <c r="E830">
        <v>825</v>
      </c>
      <c r="F830">
        <f t="shared" si="722"/>
        <v>100</v>
      </c>
      <c r="G830">
        <f t="shared" ca="1" si="723"/>
        <v>102.14358871800788</v>
      </c>
      <c r="H830">
        <f t="shared" ca="1" si="723"/>
        <v>104.09955523795286</v>
      </c>
      <c r="I830">
        <f t="shared" ca="1" si="723"/>
        <v>106.59456075204041</v>
      </c>
      <c r="J830">
        <f t="shared" ref="J830:P830" ca="1" si="773">I830*EXP(($C$6-0.5*$C$7^2)*$C$12+$C$7*SQRT($C$12)*NORMINV(RAND(),0,1))</f>
        <v>107.65784602133478</v>
      </c>
      <c r="K830">
        <f t="shared" ca="1" si="773"/>
        <v>107.98235810121665</v>
      </c>
      <c r="L830">
        <f t="shared" ca="1" si="773"/>
        <v>106.0954478284269</v>
      </c>
      <c r="M830">
        <f t="shared" ca="1" si="773"/>
        <v>113.18627954703499</v>
      </c>
      <c r="N830">
        <f t="shared" ca="1" si="773"/>
        <v>110.07637715730735</v>
      </c>
      <c r="O830">
        <f t="shared" ca="1" si="773"/>
        <v>113.88729118115407</v>
      </c>
      <c r="P830">
        <f t="shared" ca="1" si="773"/>
        <v>120.24746289013061</v>
      </c>
      <c r="Q830">
        <f t="shared" ca="1" si="724"/>
        <v>120.24746289013061</v>
      </c>
      <c r="R830">
        <f t="shared" ca="1" si="725"/>
        <v>0</v>
      </c>
      <c r="S830">
        <f t="shared" ca="1" si="726"/>
        <v>0</v>
      </c>
    </row>
    <row r="831" spans="5:19" x14ac:dyDescent="0.75">
      <c r="E831">
        <v>826</v>
      </c>
      <c r="F831">
        <f t="shared" si="722"/>
        <v>100</v>
      </c>
      <c r="G831">
        <f t="shared" ca="1" si="723"/>
        <v>106.11252756269761</v>
      </c>
      <c r="H831">
        <f t="shared" ca="1" si="723"/>
        <v>103.16897411163708</v>
      </c>
      <c r="I831">
        <f t="shared" ca="1" si="723"/>
        <v>108.9140068903972</v>
      </c>
      <c r="J831">
        <f t="shared" ref="J831:P831" ca="1" si="774">I831*EXP(($C$6-0.5*$C$7^2)*$C$12+$C$7*SQRT($C$12)*NORMINV(RAND(),0,1))</f>
        <v>107.53761411908422</v>
      </c>
      <c r="K831">
        <f t="shared" ca="1" si="774"/>
        <v>104.11276652967514</v>
      </c>
      <c r="L831">
        <f t="shared" ca="1" si="774"/>
        <v>98.222952565205077</v>
      </c>
      <c r="M831">
        <f t="shared" ca="1" si="774"/>
        <v>96.152914367697477</v>
      </c>
      <c r="N831">
        <f t="shared" ca="1" si="774"/>
        <v>99.357923705735274</v>
      </c>
      <c r="O831">
        <f t="shared" ca="1" si="774"/>
        <v>99.672958632543313</v>
      </c>
      <c r="P831">
        <f t="shared" ca="1" si="774"/>
        <v>97.915341184541276</v>
      </c>
      <c r="Q831">
        <f t="shared" ca="1" si="724"/>
        <v>108.9140068903972</v>
      </c>
      <c r="R831">
        <f t="shared" ca="1" si="725"/>
        <v>0</v>
      </c>
      <c r="S831">
        <f t="shared" ca="1" si="726"/>
        <v>0</v>
      </c>
    </row>
    <row r="832" spans="5:19" x14ac:dyDescent="0.75">
      <c r="E832">
        <v>827</v>
      </c>
      <c r="F832">
        <f t="shared" si="722"/>
        <v>100</v>
      </c>
      <c r="G832">
        <f t="shared" ca="1" si="723"/>
        <v>96.718038246242941</v>
      </c>
      <c r="H832">
        <f t="shared" ca="1" si="723"/>
        <v>103.42802177133991</v>
      </c>
      <c r="I832">
        <f t="shared" ca="1" si="723"/>
        <v>106.96051494658639</v>
      </c>
      <c r="J832">
        <f t="shared" ref="J832:P832" ca="1" si="775">I832*EXP(($C$6-0.5*$C$7^2)*$C$12+$C$7*SQRT($C$12)*NORMINV(RAND(),0,1))</f>
        <v>104.87346619365061</v>
      </c>
      <c r="K832">
        <f t="shared" ca="1" si="775"/>
        <v>103.35959604940054</v>
      </c>
      <c r="L832">
        <f t="shared" ca="1" si="775"/>
        <v>97.333813840880495</v>
      </c>
      <c r="M832">
        <f t="shared" ca="1" si="775"/>
        <v>92.414534317981719</v>
      </c>
      <c r="N832">
        <f t="shared" ca="1" si="775"/>
        <v>93.968159664159387</v>
      </c>
      <c r="O832">
        <f t="shared" ca="1" si="775"/>
        <v>91.464601428550097</v>
      </c>
      <c r="P832">
        <f t="shared" ca="1" si="775"/>
        <v>85.491904340660781</v>
      </c>
      <c r="Q832">
        <f t="shared" ca="1" si="724"/>
        <v>106.96051494658639</v>
      </c>
      <c r="R832">
        <f t="shared" ca="1" si="725"/>
        <v>0</v>
      </c>
      <c r="S832">
        <f t="shared" ca="1" si="726"/>
        <v>0</v>
      </c>
    </row>
    <row r="833" spans="5:19" x14ac:dyDescent="0.75">
      <c r="E833">
        <v>828</v>
      </c>
      <c r="F833">
        <f t="shared" si="722"/>
        <v>100</v>
      </c>
      <c r="G833">
        <f t="shared" ca="1" si="723"/>
        <v>92.208021425407736</v>
      </c>
      <c r="H833">
        <f t="shared" ca="1" si="723"/>
        <v>82.420258780179836</v>
      </c>
      <c r="I833">
        <f t="shared" ca="1" si="723"/>
        <v>83.46794176110528</v>
      </c>
      <c r="J833">
        <f t="shared" ref="J833:P833" ca="1" si="776">I833*EXP(($C$6-0.5*$C$7^2)*$C$12+$C$7*SQRT($C$12)*NORMINV(RAND(),0,1))</f>
        <v>85.023102088491768</v>
      </c>
      <c r="K833">
        <f t="shared" ca="1" si="776"/>
        <v>82.788749687692174</v>
      </c>
      <c r="L833">
        <f t="shared" ca="1" si="776"/>
        <v>83.86175103811027</v>
      </c>
      <c r="M833">
        <f t="shared" ca="1" si="776"/>
        <v>80.275764196100852</v>
      </c>
      <c r="N833">
        <f t="shared" ca="1" si="776"/>
        <v>77.579042673036895</v>
      </c>
      <c r="O833">
        <f t="shared" ca="1" si="776"/>
        <v>73.069215434413408</v>
      </c>
      <c r="P833">
        <f t="shared" ca="1" si="776"/>
        <v>69.355505262081635</v>
      </c>
      <c r="Q833">
        <f t="shared" ca="1" si="724"/>
        <v>92.208021425407736</v>
      </c>
      <c r="R833">
        <f t="shared" ca="1" si="725"/>
        <v>0</v>
      </c>
      <c r="S833">
        <f t="shared" ca="1" si="726"/>
        <v>0</v>
      </c>
    </row>
    <row r="834" spans="5:19" x14ac:dyDescent="0.75">
      <c r="E834">
        <v>829</v>
      </c>
      <c r="F834">
        <f t="shared" si="722"/>
        <v>100</v>
      </c>
      <c r="G834">
        <f t="shared" ca="1" si="723"/>
        <v>94.095029785660074</v>
      </c>
      <c r="H834">
        <f t="shared" ca="1" si="723"/>
        <v>98.491885773861796</v>
      </c>
      <c r="I834">
        <f t="shared" ca="1" si="723"/>
        <v>100.01432626358506</v>
      </c>
      <c r="J834">
        <f t="shared" ref="J834:P834" ca="1" si="777">I834*EXP(($C$6-0.5*$C$7^2)*$C$12+$C$7*SQRT($C$12)*NORMINV(RAND(),0,1))</f>
        <v>98.456202099228463</v>
      </c>
      <c r="K834">
        <f t="shared" ca="1" si="777"/>
        <v>94.867211409412377</v>
      </c>
      <c r="L834">
        <f t="shared" ca="1" si="777"/>
        <v>90.34948135400343</v>
      </c>
      <c r="M834">
        <f t="shared" ca="1" si="777"/>
        <v>81.574938115530301</v>
      </c>
      <c r="N834">
        <f t="shared" ca="1" si="777"/>
        <v>77.741497088002475</v>
      </c>
      <c r="O834">
        <f t="shared" ca="1" si="777"/>
        <v>80.018365915451554</v>
      </c>
      <c r="P834">
        <f t="shared" ca="1" si="777"/>
        <v>78.867726267525327</v>
      </c>
      <c r="Q834">
        <f t="shared" ca="1" si="724"/>
        <v>100.01432626358506</v>
      </c>
      <c r="R834">
        <f t="shared" ca="1" si="725"/>
        <v>0</v>
      </c>
      <c r="S834">
        <f t="shared" ca="1" si="726"/>
        <v>0</v>
      </c>
    </row>
    <row r="835" spans="5:19" x14ac:dyDescent="0.75">
      <c r="E835">
        <v>830</v>
      </c>
      <c r="F835">
        <f t="shared" si="722"/>
        <v>100</v>
      </c>
      <c r="G835">
        <f t="shared" ca="1" si="723"/>
        <v>105.37652007004483</v>
      </c>
      <c r="H835">
        <f t="shared" ca="1" si="723"/>
        <v>106.88260896613055</v>
      </c>
      <c r="I835">
        <f t="shared" ca="1" si="723"/>
        <v>115.67299200626536</v>
      </c>
      <c r="J835">
        <f t="shared" ref="J835:P835" ca="1" si="778">I835*EXP(($C$6-0.5*$C$7^2)*$C$12+$C$7*SQRT($C$12)*NORMINV(RAND(),0,1))</f>
        <v>123.5816847456675</v>
      </c>
      <c r="K835">
        <f t="shared" ca="1" si="778"/>
        <v>127.16565763267511</v>
      </c>
      <c r="L835">
        <f t="shared" ca="1" si="778"/>
        <v>134.31089591248167</v>
      </c>
      <c r="M835">
        <f t="shared" ca="1" si="778"/>
        <v>136.66171435172711</v>
      </c>
      <c r="N835">
        <f t="shared" ca="1" si="778"/>
        <v>142.49620640356511</v>
      </c>
      <c r="O835">
        <f t="shared" ca="1" si="778"/>
        <v>131.09727274606851</v>
      </c>
      <c r="P835">
        <f t="shared" ca="1" si="778"/>
        <v>132.09138563244235</v>
      </c>
      <c r="Q835">
        <f t="shared" ca="1" si="724"/>
        <v>142.49620640356511</v>
      </c>
      <c r="R835">
        <f t="shared" ca="1" si="725"/>
        <v>0</v>
      </c>
      <c r="S835">
        <f t="shared" ca="1" si="726"/>
        <v>0</v>
      </c>
    </row>
    <row r="836" spans="5:19" x14ac:dyDescent="0.75">
      <c r="E836">
        <v>831</v>
      </c>
      <c r="F836">
        <f t="shared" si="722"/>
        <v>100</v>
      </c>
      <c r="G836">
        <f t="shared" ca="1" si="723"/>
        <v>96.945900331707605</v>
      </c>
      <c r="H836">
        <f t="shared" ca="1" si="723"/>
        <v>104.60668981301528</v>
      </c>
      <c r="I836">
        <f t="shared" ca="1" si="723"/>
        <v>102.4256563531207</v>
      </c>
      <c r="J836">
        <f t="shared" ref="J836:P836" ca="1" si="779">I836*EXP(($C$6-0.5*$C$7^2)*$C$12+$C$7*SQRT($C$12)*NORMINV(RAND(),0,1))</f>
        <v>98.506511703937974</v>
      </c>
      <c r="K836">
        <f t="shared" ca="1" si="779"/>
        <v>94.861247755200679</v>
      </c>
      <c r="L836">
        <f t="shared" ca="1" si="779"/>
        <v>89.547429191673558</v>
      </c>
      <c r="M836">
        <f t="shared" ca="1" si="779"/>
        <v>81.799274282862839</v>
      </c>
      <c r="N836">
        <f t="shared" ca="1" si="779"/>
        <v>78.935132953975938</v>
      </c>
      <c r="O836">
        <f t="shared" ca="1" si="779"/>
        <v>79.076400673795931</v>
      </c>
      <c r="P836">
        <f t="shared" ca="1" si="779"/>
        <v>77.266732832459866</v>
      </c>
      <c r="Q836">
        <f t="shared" ca="1" si="724"/>
        <v>104.60668981301528</v>
      </c>
      <c r="R836">
        <f t="shared" ca="1" si="725"/>
        <v>0</v>
      </c>
      <c r="S836">
        <f t="shared" ca="1" si="726"/>
        <v>0</v>
      </c>
    </row>
    <row r="837" spans="5:19" x14ac:dyDescent="0.75">
      <c r="E837">
        <v>832</v>
      </c>
      <c r="F837">
        <f t="shared" si="722"/>
        <v>100</v>
      </c>
      <c r="G837">
        <f t="shared" ca="1" si="723"/>
        <v>105.50184542514656</v>
      </c>
      <c r="H837">
        <f t="shared" ca="1" si="723"/>
        <v>104.40499346931396</v>
      </c>
      <c r="I837">
        <f t="shared" ca="1" si="723"/>
        <v>104.72818130801684</v>
      </c>
      <c r="J837">
        <f t="shared" ref="J837:P837" ca="1" si="780">I837*EXP(($C$6-0.5*$C$7^2)*$C$12+$C$7*SQRT($C$12)*NORMINV(RAND(),0,1))</f>
        <v>104.27429775098821</v>
      </c>
      <c r="K837">
        <f t="shared" ca="1" si="780"/>
        <v>101.39849054385847</v>
      </c>
      <c r="L837">
        <f t="shared" ca="1" si="780"/>
        <v>103.79892583524406</v>
      </c>
      <c r="M837">
        <f t="shared" ca="1" si="780"/>
        <v>107.38079924421616</v>
      </c>
      <c r="N837">
        <f t="shared" ca="1" si="780"/>
        <v>103.24417772434599</v>
      </c>
      <c r="O837">
        <f t="shared" ca="1" si="780"/>
        <v>106.52549275775426</v>
      </c>
      <c r="P837">
        <f t="shared" ca="1" si="780"/>
        <v>113.86447324902139</v>
      </c>
      <c r="Q837">
        <f t="shared" ca="1" si="724"/>
        <v>113.86447324902139</v>
      </c>
      <c r="R837">
        <f t="shared" ca="1" si="725"/>
        <v>0</v>
      </c>
      <c r="S837">
        <f t="shared" ca="1" si="726"/>
        <v>0</v>
      </c>
    </row>
    <row r="838" spans="5:19" x14ac:dyDescent="0.75">
      <c r="E838">
        <v>833</v>
      </c>
      <c r="F838">
        <f t="shared" si="722"/>
        <v>100</v>
      </c>
      <c r="G838">
        <f t="shared" ca="1" si="723"/>
        <v>97.543073958895064</v>
      </c>
      <c r="H838">
        <f t="shared" ca="1" si="723"/>
        <v>98.94715433842795</v>
      </c>
      <c r="I838">
        <f t="shared" ca="1" si="723"/>
        <v>105.93105434011569</v>
      </c>
      <c r="J838">
        <f t="shared" ref="J838:P838" ca="1" si="781">I838*EXP(($C$6-0.5*$C$7^2)*$C$12+$C$7*SQRT($C$12)*NORMINV(RAND(),0,1))</f>
        <v>106.42305371015492</v>
      </c>
      <c r="K838">
        <f t="shared" ca="1" si="781"/>
        <v>102.41661227239945</v>
      </c>
      <c r="L838">
        <f t="shared" ca="1" si="781"/>
        <v>109.19911805222483</v>
      </c>
      <c r="M838">
        <f t="shared" ca="1" si="781"/>
        <v>113.34339010135304</v>
      </c>
      <c r="N838">
        <f t="shared" ca="1" si="781"/>
        <v>115.65680860559978</v>
      </c>
      <c r="O838">
        <f t="shared" ca="1" si="781"/>
        <v>126.18748700129979</v>
      </c>
      <c r="P838">
        <f t="shared" ca="1" si="781"/>
        <v>123.34892209290298</v>
      </c>
      <c r="Q838">
        <f t="shared" ca="1" si="724"/>
        <v>126.18748700129979</v>
      </c>
      <c r="R838">
        <f t="shared" ca="1" si="725"/>
        <v>0</v>
      </c>
      <c r="S838">
        <f t="shared" ca="1" si="726"/>
        <v>0</v>
      </c>
    </row>
    <row r="839" spans="5:19" x14ac:dyDescent="0.75">
      <c r="E839">
        <v>834</v>
      </c>
      <c r="F839">
        <f t="shared" ref="F839:F902" si="782">$C$5</f>
        <v>100</v>
      </c>
      <c r="G839">
        <f t="shared" ref="G839:P902" ca="1" si="783">F839*EXP(($C$6-0.5*$C$7^2)*$C$12+$C$7*SQRT($C$12)*NORMINV(RAND(),0,1))</f>
        <v>93.35949296876538</v>
      </c>
      <c r="H839">
        <f t="shared" ca="1" si="783"/>
        <v>97.672518843614327</v>
      </c>
      <c r="I839">
        <f t="shared" ca="1" si="783"/>
        <v>99.777684864614443</v>
      </c>
      <c r="J839">
        <f t="shared" ca="1" si="783"/>
        <v>108.0672939669566</v>
      </c>
      <c r="K839">
        <f t="shared" ca="1" si="783"/>
        <v>115.49430254616995</v>
      </c>
      <c r="L839">
        <f t="shared" ca="1" si="783"/>
        <v>108.91767985446498</v>
      </c>
      <c r="M839">
        <f t="shared" ca="1" si="783"/>
        <v>111.59788173958803</v>
      </c>
      <c r="N839">
        <f t="shared" ca="1" si="783"/>
        <v>107.9677058946826</v>
      </c>
      <c r="O839">
        <f t="shared" ca="1" si="783"/>
        <v>111.3843051121752</v>
      </c>
      <c r="P839">
        <f t="shared" ca="1" si="783"/>
        <v>107.49022584684158</v>
      </c>
      <c r="Q839">
        <f t="shared" ref="Q839:Q902" ca="1" si="784">MAX(G839:P839)</f>
        <v>115.49430254616995</v>
      </c>
      <c r="R839">
        <f t="shared" ref="R839:R902" ca="1" si="785">IF(Q839&gt;=$C$13,0, MAX(P839-$C$9,0))</f>
        <v>0</v>
      </c>
      <c r="S839">
        <f t="shared" ref="S839:S902" ca="1" si="786">EXP(-$C$6*$C$8)*R839</f>
        <v>0</v>
      </c>
    </row>
    <row r="840" spans="5:19" x14ac:dyDescent="0.75">
      <c r="E840">
        <v>835</v>
      </c>
      <c r="F840">
        <f t="shared" si="782"/>
        <v>100</v>
      </c>
      <c r="G840">
        <f t="shared" ca="1" si="783"/>
        <v>102.65982315952196</v>
      </c>
      <c r="H840">
        <f t="shared" ca="1" si="783"/>
        <v>105.68499417627177</v>
      </c>
      <c r="I840">
        <f t="shared" ca="1" si="783"/>
        <v>108.0392748758222</v>
      </c>
      <c r="J840">
        <f t="shared" ca="1" si="783"/>
        <v>105.27609819039475</v>
      </c>
      <c r="K840">
        <f t="shared" ca="1" si="783"/>
        <v>101.12262957628676</v>
      </c>
      <c r="L840">
        <f t="shared" ca="1" si="783"/>
        <v>93.18818364096748</v>
      </c>
      <c r="M840">
        <f t="shared" ca="1" si="783"/>
        <v>93.889794204146526</v>
      </c>
      <c r="N840">
        <f t="shared" ca="1" si="783"/>
        <v>92.693174028078758</v>
      </c>
      <c r="O840">
        <f t="shared" ca="1" si="783"/>
        <v>92.647535027100673</v>
      </c>
      <c r="P840">
        <f t="shared" ca="1" si="783"/>
        <v>98.133697329412271</v>
      </c>
      <c r="Q840">
        <f t="shared" ca="1" si="784"/>
        <v>108.0392748758222</v>
      </c>
      <c r="R840">
        <f t="shared" ca="1" si="785"/>
        <v>0</v>
      </c>
      <c r="S840">
        <f t="shared" ca="1" si="786"/>
        <v>0</v>
      </c>
    </row>
    <row r="841" spans="5:19" x14ac:dyDescent="0.75">
      <c r="E841">
        <v>836</v>
      </c>
      <c r="F841">
        <f t="shared" si="782"/>
        <v>100</v>
      </c>
      <c r="G841">
        <f t="shared" ca="1" si="783"/>
        <v>99.868849073896371</v>
      </c>
      <c r="H841">
        <f t="shared" ca="1" si="783"/>
        <v>96.042028188337781</v>
      </c>
      <c r="I841">
        <f t="shared" ca="1" si="783"/>
        <v>96.405655705020905</v>
      </c>
      <c r="J841">
        <f t="shared" ca="1" si="783"/>
        <v>102.46385769568387</v>
      </c>
      <c r="K841">
        <f t="shared" ca="1" si="783"/>
        <v>102.04831303368486</v>
      </c>
      <c r="L841">
        <f t="shared" ca="1" si="783"/>
        <v>99.336439764275511</v>
      </c>
      <c r="M841">
        <f t="shared" ca="1" si="783"/>
        <v>99.491635844799632</v>
      </c>
      <c r="N841">
        <f t="shared" ca="1" si="783"/>
        <v>93.185571692264233</v>
      </c>
      <c r="O841">
        <f t="shared" ca="1" si="783"/>
        <v>96.850346144209695</v>
      </c>
      <c r="P841">
        <f t="shared" ca="1" si="783"/>
        <v>89.042316122228172</v>
      </c>
      <c r="Q841">
        <f t="shared" ca="1" si="784"/>
        <v>102.46385769568387</v>
      </c>
      <c r="R841">
        <f t="shared" ca="1" si="785"/>
        <v>0</v>
      </c>
      <c r="S841">
        <f t="shared" ca="1" si="786"/>
        <v>0</v>
      </c>
    </row>
    <row r="842" spans="5:19" x14ac:dyDescent="0.75">
      <c r="E842">
        <v>837</v>
      </c>
      <c r="F842">
        <f t="shared" si="782"/>
        <v>100</v>
      </c>
      <c r="G842">
        <f t="shared" ca="1" si="783"/>
        <v>106.52458280017581</v>
      </c>
      <c r="H842">
        <f t="shared" ca="1" si="783"/>
        <v>108.31880416737968</v>
      </c>
      <c r="I842">
        <f t="shared" ca="1" si="783"/>
        <v>100.03388051594942</v>
      </c>
      <c r="J842">
        <f t="shared" ca="1" si="783"/>
        <v>105.76301915518195</v>
      </c>
      <c r="K842">
        <f t="shared" ca="1" si="783"/>
        <v>108.09891438097752</v>
      </c>
      <c r="L842">
        <f t="shared" ca="1" si="783"/>
        <v>104.51404707454297</v>
      </c>
      <c r="M842">
        <f t="shared" ca="1" si="783"/>
        <v>107.77559111300481</v>
      </c>
      <c r="N842">
        <f t="shared" ca="1" si="783"/>
        <v>108.49786424416466</v>
      </c>
      <c r="O842">
        <f t="shared" ca="1" si="783"/>
        <v>114.23711406197023</v>
      </c>
      <c r="P842">
        <f t="shared" ca="1" si="783"/>
        <v>113.14550570451247</v>
      </c>
      <c r="Q842">
        <f t="shared" ca="1" si="784"/>
        <v>114.23711406197023</v>
      </c>
      <c r="R842">
        <f t="shared" ca="1" si="785"/>
        <v>0</v>
      </c>
      <c r="S842">
        <f t="shared" ca="1" si="786"/>
        <v>0</v>
      </c>
    </row>
    <row r="843" spans="5:19" x14ac:dyDescent="0.75">
      <c r="E843">
        <v>838</v>
      </c>
      <c r="F843">
        <f t="shared" si="782"/>
        <v>100</v>
      </c>
      <c r="G843">
        <f t="shared" ca="1" si="783"/>
        <v>99.075747622427912</v>
      </c>
      <c r="H843">
        <f t="shared" ca="1" si="783"/>
        <v>107.00279103226343</v>
      </c>
      <c r="I843">
        <f t="shared" ca="1" si="783"/>
        <v>109.00531383672077</v>
      </c>
      <c r="J843">
        <f t="shared" ca="1" si="783"/>
        <v>106.91856961416671</v>
      </c>
      <c r="K843">
        <f t="shared" ca="1" si="783"/>
        <v>107.27152523591845</v>
      </c>
      <c r="L843">
        <f t="shared" ca="1" si="783"/>
        <v>104.8802226504443</v>
      </c>
      <c r="M843">
        <f t="shared" ca="1" si="783"/>
        <v>109.80586136129199</v>
      </c>
      <c r="N843">
        <f t="shared" ca="1" si="783"/>
        <v>106.85966846029275</v>
      </c>
      <c r="O843">
        <f t="shared" ca="1" si="783"/>
        <v>103.82252114865844</v>
      </c>
      <c r="P843">
        <f t="shared" ca="1" si="783"/>
        <v>120.32128904695836</v>
      </c>
      <c r="Q843">
        <f t="shared" ca="1" si="784"/>
        <v>120.32128904695836</v>
      </c>
      <c r="R843">
        <f t="shared" ca="1" si="785"/>
        <v>0</v>
      </c>
      <c r="S843">
        <f t="shared" ca="1" si="786"/>
        <v>0</v>
      </c>
    </row>
    <row r="844" spans="5:19" x14ac:dyDescent="0.75">
      <c r="E844">
        <v>839</v>
      </c>
      <c r="F844">
        <f t="shared" si="782"/>
        <v>100</v>
      </c>
      <c r="G844">
        <f t="shared" ca="1" si="783"/>
        <v>100.83773683507961</v>
      </c>
      <c r="H844">
        <f t="shared" ca="1" si="783"/>
        <v>96.870161384611677</v>
      </c>
      <c r="I844">
        <f t="shared" ca="1" si="783"/>
        <v>94.428014336403749</v>
      </c>
      <c r="J844">
        <f t="shared" ca="1" si="783"/>
        <v>91.349839621225513</v>
      </c>
      <c r="K844">
        <f t="shared" ca="1" si="783"/>
        <v>91.766313616766766</v>
      </c>
      <c r="L844">
        <f t="shared" ca="1" si="783"/>
        <v>89.086368686443635</v>
      </c>
      <c r="M844">
        <f t="shared" ca="1" si="783"/>
        <v>89.265920064464439</v>
      </c>
      <c r="N844">
        <f t="shared" ca="1" si="783"/>
        <v>96.048806515068605</v>
      </c>
      <c r="O844">
        <f t="shared" ca="1" si="783"/>
        <v>96.258628860606535</v>
      </c>
      <c r="P844">
        <f t="shared" ca="1" si="783"/>
        <v>94.359132782912113</v>
      </c>
      <c r="Q844">
        <f t="shared" ca="1" si="784"/>
        <v>100.83773683507961</v>
      </c>
      <c r="R844">
        <f t="shared" ca="1" si="785"/>
        <v>0</v>
      </c>
      <c r="S844">
        <f t="shared" ca="1" si="786"/>
        <v>0</v>
      </c>
    </row>
    <row r="845" spans="5:19" x14ac:dyDescent="0.75">
      <c r="E845">
        <v>840</v>
      </c>
      <c r="F845">
        <f t="shared" si="782"/>
        <v>100</v>
      </c>
      <c r="G845">
        <f t="shared" ca="1" si="783"/>
        <v>103.83560293706566</v>
      </c>
      <c r="H845">
        <f t="shared" ca="1" si="783"/>
        <v>102.92711509369438</v>
      </c>
      <c r="I845">
        <f t="shared" ca="1" si="783"/>
        <v>104.9573813065626</v>
      </c>
      <c r="J845">
        <f t="shared" ca="1" si="783"/>
        <v>109.266010743856</v>
      </c>
      <c r="K845">
        <f t="shared" ca="1" si="783"/>
        <v>117.99360465468243</v>
      </c>
      <c r="L845">
        <f t="shared" ca="1" si="783"/>
        <v>121.44241265153735</v>
      </c>
      <c r="M845">
        <f t="shared" ca="1" si="783"/>
        <v>119.43821146121867</v>
      </c>
      <c r="N845">
        <f t="shared" ca="1" si="783"/>
        <v>123.88673045704027</v>
      </c>
      <c r="O845">
        <f t="shared" ca="1" si="783"/>
        <v>125.0804510704785</v>
      </c>
      <c r="P845">
        <f t="shared" ca="1" si="783"/>
        <v>126.79883892732333</v>
      </c>
      <c r="Q845">
        <f t="shared" ca="1" si="784"/>
        <v>126.79883892732333</v>
      </c>
      <c r="R845">
        <f t="shared" ca="1" si="785"/>
        <v>0</v>
      </c>
      <c r="S845">
        <f t="shared" ca="1" si="786"/>
        <v>0</v>
      </c>
    </row>
    <row r="846" spans="5:19" x14ac:dyDescent="0.75">
      <c r="E846">
        <v>841</v>
      </c>
      <c r="F846">
        <f t="shared" si="782"/>
        <v>100</v>
      </c>
      <c r="G846">
        <f t="shared" ca="1" si="783"/>
        <v>109.0375647424117</v>
      </c>
      <c r="H846">
        <f t="shared" ca="1" si="783"/>
        <v>115.466251733558</v>
      </c>
      <c r="I846">
        <f t="shared" ca="1" si="783"/>
        <v>119.45782944071848</v>
      </c>
      <c r="J846">
        <f t="shared" ca="1" si="783"/>
        <v>124.65285998947439</v>
      </c>
      <c r="K846">
        <f t="shared" ca="1" si="783"/>
        <v>123.45972691034144</v>
      </c>
      <c r="L846">
        <f t="shared" ca="1" si="783"/>
        <v>115.26237874777567</v>
      </c>
      <c r="M846">
        <f t="shared" ca="1" si="783"/>
        <v>118.74123680321063</v>
      </c>
      <c r="N846">
        <f t="shared" ca="1" si="783"/>
        <v>131.11986134114167</v>
      </c>
      <c r="O846">
        <f t="shared" ca="1" si="783"/>
        <v>133.95654866650466</v>
      </c>
      <c r="P846">
        <f t="shared" ca="1" si="783"/>
        <v>132.23666088973351</v>
      </c>
      <c r="Q846">
        <f t="shared" ca="1" si="784"/>
        <v>133.95654866650466</v>
      </c>
      <c r="R846">
        <f t="shared" ca="1" si="785"/>
        <v>0</v>
      </c>
      <c r="S846">
        <f t="shared" ca="1" si="786"/>
        <v>0</v>
      </c>
    </row>
    <row r="847" spans="5:19" x14ac:dyDescent="0.75">
      <c r="E847">
        <v>842</v>
      </c>
      <c r="F847">
        <f t="shared" si="782"/>
        <v>100</v>
      </c>
      <c r="G847">
        <f t="shared" ca="1" si="783"/>
        <v>102.31672840133301</v>
      </c>
      <c r="H847">
        <f t="shared" ca="1" si="783"/>
        <v>107.74349858953788</v>
      </c>
      <c r="I847">
        <f t="shared" ca="1" si="783"/>
        <v>106.72194251002624</v>
      </c>
      <c r="J847">
        <f t="shared" ca="1" si="783"/>
        <v>100.66151947785264</v>
      </c>
      <c r="K847">
        <f t="shared" ca="1" si="783"/>
        <v>103.33395072800484</v>
      </c>
      <c r="L847">
        <f t="shared" ca="1" si="783"/>
        <v>116.19583198969522</v>
      </c>
      <c r="M847">
        <f t="shared" ca="1" si="783"/>
        <v>108.28681931747685</v>
      </c>
      <c r="N847">
        <f t="shared" ca="1" si="783"/>
        <v>113.85041203949892</v>
      </c>
      <c r="O847">
        <f t="shared" ca="1" si="783"/>
        <v>114.40029813096882</v>
      </c>
      <c r="P847">
        <f t="shared" ca="1" si="783"/>
        <v>124.37579892953097</v>
      </c>
      <c r="Q847">
        <f t="shared" ca="1" si="784"/>
        <v>124.37579892953097</v>
      </c>
      <c r="R847">
        <f t="shared" ca="1" si="785"/>
        <v>0</v>
      </c>
      <c r="S847">
        <f t="shared" ca="1" si="786"/>
        <v>0</v>
      </c>
    </row>
    <row r="848" spans="5:19" x14ac:dyDescent="0.75">
      <c r="E848">
        <v>843</v>
      </c>
      <c r="F848">
        <f t="shared" si="782"/>
        <v>100</v>
      </c>
      <c r="G848">
        <f t="shared" ca="1" si="783"/>
        <v>104.19661579659709</v>
      </c>
      <c r="H848">
        <f t="shared" ca="1" si="783"/>
        <v>94.202318253737189</v>
      </c>
      <c r="I848">
        <f t="shared" ca="1" si="783"/>
        <v>83.046883373971767</v>
      </c>
      <c r="J848">
        <f t="shared" ref="J848:P848" ca="1" si="787">I848*EXP(($C$6-0.5*$C$7^2)*$C$12+$C$7*SQRT($C$12)*NORMINV(RAND(),0,1))</f>
        <v>83.1229963425656</v>
      </c>
      <c r="K848">
        <f t="shared" ca="1" si="787"/>
        <v>80.266317374522885</v>
      </c>
      <c r="L848">
        <f t="shared" ca="1" si="787"/>
        <v>77.159253161146694</v>
      </c>
      <c r="M848">
        <f t="shared" ca="1" si="787"/>
        <v>69.96807469937194</v>
      </c>
      <c r="N848">
        <f t="shared" ca="1" si="787"/>
        <v>74.151862853285593</v>
      </c>
      <c r="O848">
        <f t="shared" ca="1" si="787"/>
        <v>72.273985071852749</v>
      </c>
      <c r="P848">
        <f t="shared" ca="1" si="787"/>
        <v>82.911959854238503</v>
      </c>
      <c r="Q848">
        <f t="shared" ca="1" si="784"/>
        <v>104.19661579659709</v>
      </c>
      <c r="R848">
        <f t="shared" ca="1" si="785"/>
        <v>0</v>
      </c>
      <c r="S848">
        <f t="shared" ca="1" si="786"/>
        <v>0</v>
      </c>
    </row>
    <row r="849" spans="5:19" x14ac:dyDescent="0.75">
      <c r="E849">
        <v>844</v>
      </c>
      <c r="F849">
        <f t="shared" si="782"/>
        <v>100</v>
      </c>
      <c r="G849">
        <f t="shared" ca="1" si="783"/>
        <v>97.409310923462073</v>
      </c>
      <c r="H849">
        <f t="shared" ca="1" si="783"/>
        <v>96.583219901942186</v>
      </c>
      <c r="I849">
        <f t="shared" ca="1" si="783"/>
        <v>89.568223053957752</v>
      </c>
      <c r="J849">
        <f t="shared" ref="J849:P849" ca="1" si="788">I849*EXP(($C$6-0.5*$C$7^2)*$C$12+$C$7*SQRT($C$12)*NORMINV(RAND(),0,1))</f>
        <v>86.365862065325317</v>
      </c>
      <c r="K849">
        <f t="shared" ca="1" si="788"/>
        <v>86.489767307742511</v>
      </c>
      <c r="L849">
        <f t="shared" ca="1" si="788"/>
        <v>87.091225454846196</v>
      </c>
      <c r="M849">
        <f t="shared" ca="1" si="788"/>
        <v>89.570867723745437</v>
      </c>
      <c r="N849">
        <f t="shared" ca="1" si="788"/>
        <v>88.694704962224705</v>
      </c>
      <c r="O849">
        <f t="shared" ca="1" si="788"/>
        <v>88.864209807036616</v>
      </c>
      <c r="P849">
        <f t="shared" ca="1" si="788"/>
        <v>90.365108194907521</v>
      </c>
      <c r="Q849">
        <f t="shared" ca="1" si="784"/>
        <v>97.409310923462073</v>
      </c>
      <c r="R849">
        <f t="shared" ca="1" si="785"/>
        <v>0</v>
      </c>
      <c r="S849">
        <f t="shared" ca="1" si="786"/>
        <v>0</v>
      </c>
    </row>
    <row r="850" spans="5:19" x14ac:dyDescent="0.75">
      <c r="E850">
        <v>845</v>
      </c>
      <c r="F850">
        <f t="shared" si="782"/>
        <v>100</v>
      </c>
      <c r="G850">
        <f t="shared" ca="1" si="783"/>
        <v>101.11002402843732</v>
      </c>
      <c r="H850">
        <f t="shared" ca="1" si="783"/>
        <v>93.028693797450188</v>
      </c>
      <c r="I850">
        <f t="shared" ca="1" si="783"/>
        <v>89.860480991205847</v>
      </c>
      <c r="J850">
        <f t="shared" ref="J850:P850" ca="1" si="789">I850*EXP(($C$6-0.5*$C$7^2)*$C$12+$C$7*SQRT($C$12)*NORMINV(RAND(),0,1))</f>
        <v>91.17408232042493</v>
      </c>
      <c r="K850">
        <f t="shared" ca="1" si="789"/>
        <v>88.336774916391093</v>
      </c>
      <c r="L850">
        <f t="shared" ca="1" si="789"/>
        <v>98.193735451758101</v>
      </c>
      <c r="M850">
        <f t="shared" ca="1" si="789"/>
        <v>94.518557668798962</v>
      </c>
      <c r="N850">
        <f t="shared" ca="1" si="789"/>
        <v>95.161577306435007</v>
      </c>
      <c r="O850">
        <f t="shared" ca="1" si="789"/>
        <v>90.025867708237158</v>
      </c>
      <c r="P850">
        <f t="shared" ca="1" si="789"/>
        <v>89.735406409284636</v>
      </c>
      <c r="Q850">
        <f t="shared" ca="1" si="784"/>
        <v>101.11002402843732</v>
      </c>
      <c r="R850">
        <f t="shared" ca="1" si="785"/>
        <v>0</v>
      </c>
      <c r="S850">
        <f t="shared" ca="1" si="786"/>
        <v>0</v>
      </c>
    </row>
    <row r="851" spans="5:19" x14ac:dyDescent="0.75">
      <c r="E851">
        <v>846</v>
      </c>
      <c r="F851">
        <f t="shared" si="782"/>
        <v>100</v>
      </c>
      <c r="G851">
        <f t="shared" ca="1" si="783"/>
        <v>88.1572458777447</v>
      </c>
      <c r="H851">
        <f t="shared" ca="1" si="783"/>
        <v>87.872552590453623</v>
      </c>
      <c r="I851">
        <f t="shared" ca="1" si="783"/>
        <v>87.327409144032671</v>
      </c>
      <c r="J851">
        <f t="shared" ref="J851:P851" ca="1" si="790">I851*EXP(($C$6-0.5*$C$7^2)*$C$12+$C$7*SQRT($C$12)*NORMINV(RAND(),0,1))</f>
        <v>86.333187341564596</v>
      </c>
      <c r="K851">
        <f t="shared" ca="1" si="790"/>
        <v>85.345165666432706</v>
      </c>
      <c r="L851">
        <f t="shared" ca="1" si="790"/>
        <v>86.578989133837482</v>
      </c>
      <c r="M851">
        <f t="shared" ca="1" si="790"/>
        <v>90.445798332773592</v>
      </c>
      <c r="N851">
        <f t="shared" ca="1" si="790"/>
        <v>90.7737330270391</v>
      </c>
      <c r="O851">
        <f t="shared" ca="1" si="790"/>
        <v>96.434361120589458</v>
      </c>
      <c r="P851">
        <f t="shared" ca="1" si="790"/>
        <v>90.057105752233284</v>
      </c>
      <c r="Q851">
        <f t="shared" ca="1" si="784"/>
        <v>96.434361120589458</v>
      </c>
      <c r="R851">
        <f t="shared" ca="1" si="785"/>
        <v>0</v>
      </c>
      <c r="S851">
        <f t="shared" ca="1" si="786"/>
        <v>0</v>
      </c>
    </row>
    <row r="852" spans="5:19" x14ac:dyDescent="0.75">
      <c r="E852">
        <v>847</v>
      </c>
      <c r="F852">
        <f t="shared" si="782"/>
        <v>100</v>
      </c>
      <c r="G852">
        <f t="shared" ca="1" si="783"/>
        <v>101.65986936336265</v>
      </c>
      <c r="H852">
        <f t="shared" ca="1" si="783"/>
        <v>104.00816631046294</v>
      </c>
      <c r="I852">
        <f t="shared" ca="1" si="783"/>
        <v>101.45225106181941</v>
      </c>
      <c r="J852">
        <f t="shared" ref="J852:P852" ca="1" si="791">I852*EXP(($C$6-0.5*$C$7^2)*$C$12+$C$7*SQRT($C$12)*NORMINV(RAND(),0,1))</f>
        <v>102.59317198507641</v>
      </c>
      <c r="K852">
        <f t="shared" ca="1" si="791"/>
        <v>110.47327301216993</v>
      </c>
      <c r="L852">
        <f t="shared" ca="1" si="791"/>
        <v>109.78389153345408</v>
      </c>
      <c r="M852">
        <f t="shared" ca="1" si="791"/>
        <v>108.34207311940064</v>
      </c>
      <c r="N852">
        <f t="shared" ca="1" si="791"/>
        <v>106.7164815207251</v>
      </c>
      <c r="O852">
        <f t="shared" ca="1" si="791"/>
        <v>108.08527679332728</v>
      </c>
      <c r="P852">
        <f t="shared" ca="1" si="791"/>
        <v>106.22742420015781</v>
      </c>
      <c r="Q852">
        <f t="shared" ca="1" si="784"/>
        <v>110.47327301216993</v>
      </c>
      <c r="R852">
        <f t="shared" ca="1" si="785"/>
        <v>0</v>
      </c>
      <c r="S852">
        <f t="shared" ca="1" si="786"/>
        <v>0</v>
      </c>
    </row>
    <row r="853" spans="5:19" x14ac:dyDescent="0.75">
      <c r="E853">
        <v>848</v>
      </c>
      <c r="F853">
        <f t="shared" si="782"/>
        <v>100</v>
      </c>
      <c r="G853">
        <f t="shared" ca="1" si="783"/>
        <v>99.137174919186108</v>
      </c>
      <c r="H853">
        <f t="shared" ca="1" si="783"/>
        <v>94.209147464950462</v>
      </c>
      <c r="I853">
        <f t="shared" ca="1" si="783"/>
        <v>97.975276509953048</v>
      </c>
      <c r="J853">
        <f t="shared" ref="J853:P853" ca="1" si="792">I853*EXP(($C$6-0.5*$C$7^2)*$C$12+$C$7*SQRT($C$12)*NORMINV(RAND(),0,1))</f>
        <v>92.395201470252459</v>
      </c>
      <c r="K853">
        <f t="shared" ca="1" si="792"/>
        <v>99.824347273047294</v>
      </c>
      <c r="L853">
        <f t="shared" ca="1" si="792"/>
        <v>95.888406446063115</v>
      </c>
      <c r="M853">
        <f t="shared" ca="1" si="792"/>
        <v>91.931573504861333</v>
      </c>
      <c r="N853">
        <f t="shared" ca="1" si="792"/>
        <v>90.262124045689163</v>
      </c>
      <c r="O853">
        <f t="shared" ca="1" si="792"/>
        <v>85.078080189542987</v>
      </c>
      <c r="P853">
        <f t="shared" ca="1" si="792"/>
        <v>85.56691460229186</v>
      </c>
      <c r="Q853">
        <f t="shared" ca="1" si="784"/>
        <v>99.824347273047294</v>
      </c>
      <c r="R853">
        <f t="shared" ca="1" si="785"/>
        <v>0</v>
      </c>
      <c r="S853">
        <f t="shared" ca="1" si="786"/>
        <v>0</v>
      </c>
    </row>
    <row r="854" spans="5:19" x14ac:dyDescent="0.75">
      <c r="E854">
        <v>849</v>
      </c>
      <c r="F854">
        <f t="shared" si="782"/>
        <v>100</v>
      </c>
      <c r="G854">
        <f t="shared" ca="1" si="783"/>
        <v>107.55558646987625</v>
      </c>
      <c r="H854">
        <f t="shared" ca="1" si="783"/>
        <v>112.04480125451545</v>
      </c>
      <c r="I854">
        <f t="shared" ca="1" si="783"/>
        <v>122.14218291580687</v>
      </c>
      <c r="J854">
        <f t="shared" ref="J854:P854" ca="1" si="793">I854*EXP(($C$6-0.5*$C$7^2)*$C$12+$C$7*SQRT($C$12)*NORMINV(RAND(),0,1))</f>
        <v>127.65574489579906</v>
      </c>
      <c r="K854">
        <f t="shared" ca="1" si="793"/>
        <v>137.11176594669652</v>
      </c>
      <c r="L854">
        <f t="shared" ca="1" si="793"/>
        <v>133.54572704959926</v>
      </c>
      <c r="M854">
        <f t="shared" ca="1" si="793"/>
        <v>130.08247748918302</v>
      </c>
      <c r="N854">
        <f t="shared" ca="1" si="793"/>
        <v>137.82482052267548</v>
      </c>
      <c r="O854">
        <f t="shared" ca="1" si="793"/>
        <v>139.76903942991197</v>
      </c>
      <c r="P854">
        <f t="shared" ca="1" si="793"/>
        <v>161.60112473659979</v>
      </c>
      <c r="Q854">
        <f t="shared" ca="1" si="784"/>
        <v>161.60112473659979</v>
      </c>
      <c r="R854">
        <f t="shared" ca="1" si="785"/>
        <v>0</v>
      </c>
      <c r="S854">
        <f t="shared" ca="1" si="786"/>
        <v>0</v>
      </c>
    </row>
    <row r="855" spans="5:19" x14ac:dyDescent="0.75">
      <c r="E855">
        <v>850</v>
      </c>
      <c r="F855">
        <f t="shared" si="782"/>
        <v>100</v>
      </c>
      <c r="G855">
        <f t="shared" ca="1" si="783"/>
        <v>107.97813720341057</v>
      </c>
      <c r="H855">
        <f t="shared" ca="1" si="783"/>
        <v>105.89134761703329</v>
      </c>
      <c r="I855">
        <f t="shared" ca="1" si="783"/>
        <v>112.06009845210173</v>
      </c>
      <c r="J855">
        <f t="shared" ref="J855:P855" ca="1" si="794">I855*EXP(($C$6-0.5*$C$7^2)*$C$12+$C$7*SQRT($C$12)*NORMINV(RAND(),0,1))</f>
        <v>108.36552798095053</v>
      </c>
      <c r="K855">
        <f t="shared" ca="1" si="794"/>
        <v>101.98416001314213</v>
      </c>
      <c r="L855">
        <f t="shared" ca="1" si="794"/>
        <v>99.699496861585757</v>
      </c>
      <c r="M855">
        <f t="shared" ca="1" si="794"/>
        <v>102.22878286982028</v>
      </c>
      <c r="N855">
        <f t="shared" ca="1" si="794"/>
        <v>104.46555018341856</v>
      </c>
      <c r="O855">
        <f t="shared" ca="1" si="794"/>
        <v>110.69557878117692</v>
      </c>
      <c r="P855">
        <f t="shared" ca="1" si="794"/>
        <v>106.18161186818298</v>
      </c>
      <c r="Q855">
        <f t="shared" ca="1" si="784"/>
        <v>112.06009845210173</v>
      </c>
      <c r="R855">
        <f t="shared" ca="1" si="785"/>
        <v>0</v>
      </c>
      <c r="S855">
        <f t="shared" ca="1" si="786"/>
        <v>0</v>
      </c>
    </row>
    <row r="856" spans="5:19" x14ac:dyDescent="0.75">
      <c r="E856">
        <v>851</v>
      </c>
      <c r="F856">
        <f t="shared" si="782"/>
        <v>100</v>
      </c>
      <c r="G856">
        <f t="shared" ca="1" si="783"/>
        <v>102.71210288704846</v>
      </c>
      <c r="H856">
        <f t="shared" ca="1" si="783"/>
        <v>100.17585567322347</v>
      </c>
      <c r="I856">
        <f t="shared" ca="1" si="783"/>
        <v>101.13492413386179</v>
      </c>
      <c r="J856">
        <f t="shared" ref="J856:P856" ca="1" si="795">I856*EXP(($C$6-0.5*$C$7^2)*$C$12+$C$7*SQRT($C$12)*NORMINV(RAND(),0,1))</f>
        <v>95.672192242251867</v>
      </c>
      <c r="K856">
        <f t="shared" ca="1" si="795"/>
        <v>89.066178545993907</v>
      </c>
      <c r="L856">
        <f t="shared" ca="1" si="795"/>
        <v>81.431947941518246</v>
      </c>
      <c r="M856">
        <f t="shared" ca="1" si="795"/>
        <v>75.404965030564497</v>
      </c>
      <c r="N856">
        <f t="shared" ca="1" si="795"/>
        <v>77.318364054350511</v>
      </c>
      <c r="O856">
        <f t="shared" ca="1" si="795"/>
        <v>83.682718404056217</v>
      </c>
      <c r="P856">
        <f t="shared" ca="1" si="795"/>
        <v>81.5856627004286</v>
      </c>
      <c r="Q856">
        <f t="shared" ca="1" si="784"/>
        <v>102.71210288704846</v>
      </c>
      <c r="R856">
        <f t="shared" ca="1" si="785"/>
        <v>0</v>
      </c>
      <c r="S856">
        <f t="shared" ca="1" si="786"/>
        <v>0</v>
      </c>
    </row>
    <row r="857" spans="5:19" x14ac:dyDescent="0.75">
      <c r="E857">
        <v>852</v>
      </c>
      <c r="F857">
        <f t="shared" si="782"/>
        <v>100</v>
      </c>
      <c r="G857">
        <f t="shared" ca="1" si="783"/>
        <v>104.40184396133729</v>
      </c>
      <c r="H857">
        <f t="shared" ca="1" si="783"/>
        <v>100.34302682943367</v>
      </c>
      <c r="I857">
        <f t="shared" ca="1" si="783"/>
        <v>106.35573175053219</v>
      </c>
      <c r="J857">
        <f t="shared" ref="J857:P857" ca="1" si="796">I857*EXP(($C$6-0.5*$C$7^2)*$C$12+$C$7*SQRT($C$12)*NORMINV(RAND(),0,1))</f>
        <v>99.407368236986514</v>
      </c>
      <c r="K857">
        <f t="shared" ca="1" si="796"/>
        <v>102.0415336343271</v>
      </c>
      <c r="L857">
        <f t="shared" ca="1" si="796"/>
        <v>104.24212629385917</v>
      </c>
      <c r="M857">
        <f t="shared" ca="1" si="796"/>
        <v>109.03976526491692</v>
      </c>
      <c r="N857">
        <f t="shared" ca="1" si="796"/>
        <v>103.81166293722644</v>
      </c>
      <c r="O857">
        <f t="shared" ca="1" si="796"/>
        <v>106.4494489237817</v>
      </c>
      <c r="P857">
        <f t="shared" ca="1" si="796"/>
        <v>101.23221486796966</v>
      </c>
      <c r="Q857">
        <f t="shared" ca="1" si="784"/>
        <v>109.03976526491692</v>
      </c>
      <c r="R857">
        <f t="shared" ca="1" si="785"/>
        <v>0</v>
      </c>
      <c r="S857">
        <f t="shared" ca="1" si="786"/>
        <v>0</v>
      </c>
    </row>
    <row r="858" spans="5:19" x14ac:dyDescent="0.75">
      <c r="E858">
        <v>853</v>
      </c>
      <c r="F858">
        <f t="shared" si="782"/>
        <v>100</v>
      </c>
      <c r="G858">
        <f t="shared" ca="1" si="783"/>
        <v>95.381161472399796</v>
      </c>
      <c r="H858">
        <f t="shared" ca="1" si="783"/>
        <v>96.603514981022002</v>
      </c>
      <c r="I858">
        <f t="shared" ca="1" si="783"/>
        <v>94.008513634744304</v>
      </c>
      <c r="J858">
        <f t="shared" ref="J858:P858" ca="1" si="797">I858*EXP(($C$6-0.5*$C$7^2)*$C$12+$C$7*SQRT($C$12)*NORMINV(RAND(),0,1))</f>
        <v>88.703840071336089</v>
      </c>
      <c r="K858">
        <f t="shared" ca="1" si="797"/>
        <v>83.231676390696023</v>
      </c>
      <c r="L858">
        <f t="shared" ca="1" si="797"/>
        <v>79.681614670855367</v>
      </c>
      <c r="M858">
        <f t="shared" ca="1" si="797"/>
        <v>83.362168811756504</v>
      </c>
      <c r="N858">
        <f t="shared" ca="1" si="797"/>
        <v>89.556819134824693</v>
      </c>
      <c r="O858">
        <f t="shared" ca="1" si="797"/>
        <v>92.202555039907239</v>
      </c>
      <c r="P858">
        <f t="shared" ca="1" si="797"/>
        <v>88.74305147637385</v>
      </c>
      <c r="Q858">
        <f t="shared" ca="1" si="784"/>
        <v>96.603514981022002</v>
      </c>
      <c r="R858">
        <f t="shared" ca="1" si="785"/>
        <v>0</v>
      </c>
      <c r="S858">
        <f t="shared" ca="1" si="786"/>
        <v>0</v>
      </c>
    </row>
    <row r="859" spans="5:19" x14ac:dyDescent="0.75">
      <c r="E859">
        <v>854</v>
      </c>
      <c r="F859">
        <f t="shared" si="782"/>
        <v>100</v>
      </c>
      <c r="G859">
        <f t="shared" ca="1" si="783"/>
        <v>98.015984298316511</v>
      </c>
      <c r="H859">
        <f t="shared" ca="1" si="783"/>
        <v>99.07746474355649</v>
      </c>
      <c r="I859">
        <f t="shared" ca="1" si="783"/>
        <v>100.48720897443441</v>
      </c>
      <c r="J859">
        <f t="shared" ref="J859:P859" ca="1" si="798">I859*EXP(($C$6-0.5*$C$7^2)*$C$12+$C$7*SQRT($C$12)*NORMINV(RAND(),0,1))</f>
        <v>108.82240558055828</v>
      </c>
      <c r="K859">
        <f t="shared" ca="1" si="798"/>
        <v>109.39008302116461</v>
      </c>
      <c r="L859">
        <f t="shared" ca="1" si="798"/>
        <v>102.19328305875783</v>
      </c>
      <c r="M859">
        <f t="shared" ca="1" si="798"/>
        <v>100.42273710425106</v>
      </c>
      <c r="N859">
        <f t="shared" ca="1" si="798"/>
        <v>94.569781131399992</v>
      </c>
      <c r="O859">
        <f t="shared" ca="1" si="798"/>
        <v>91.739405487360841</v>
      </c>
      <c r="P859">
        <f t="shared" ca="1" si="798"/>
        <v>90.880798171828019</v>
      </c>
      <c r="Q859">
        <f t="shared" ca="1" si="784"/>
        <v>109.39008302116461</v>
      </c>
      <c r="R859">
        <f t="shared" ca="1" si="785"/>
        <v>0</v>
      </c>
      <c r="S859">
        <f t="shared" ca="1" si="786"/>
        <v>0</v>
      </c>
    </row>
    <row r="860" spans="5:19" x14ac:dyDescent="0.75">
      <c r="E860">
        <v>855</v>
      </c>
      <c r="F860">
        <f t="shared" si="782"/>
        <v>100</v>
      </c>
      <c r="G860">
        <f t="shared" ca="1" si="783"/>
        <v>101.5520705257666</v>
      </c>
      <c r="H860">
        <f t="shared" ca="1" si="783"/>
        <v>100.71717180495074</v>
      </c>
      <c r="I860">
        <f t="shared" ca="1" si="783"/>
        <v>98.96556970736404</v>
      </c>
      <c r="J860">
        <f t="shared" ref="J860:P860" ca="1" si="799">I860*EXP(($C$6-0.5*$C$7^2)*$C$12+$C$7*SQRT($C$12)*NORMINV(RAND(),0,1))</f>
        <v>93.230022920253518</v>
      </c>
      <c r="K860">
        <f t="shared" ca="1" si="799"/>
        <v>93.275530020630598</v>
      </c>
      <c r="L860">
        <f t="shared" ca="1" si="799"/>
        <v>92.037208266153257</v>
      </c>
      <c r="M860">
        <f t="shared" ca="1" si="799"/>
        <v>88.80884907578772</v>
      </c>
      <c r="N860">
        <f t="shared" ca="1" si="799"/>
        <v>90.241396159121848</v>
      </c>
      <c r="O860">
        <f t="shared" ca="1" si="799"/>
        <v>97.506817120373526</v>
      </c>
      <c r="P860">
        <f t="shared" ca="1" si="799"/>
        <v>97.29031603612556</v>
      </c>
      <c r="Q860">
        <f t="shared" ca="1" si="784"/>
        <v>101.5520705257666</v>
      </c>
      <c r="R860">
        <f t="shared" ca="1" si="785"/>
        <v>0</v>
      </c>
      <c r="S860">
        <f t="shared" ca="1" si="786"/>
        <v>0</v>
      </c>
    </row>
    <row r="861" spans="5:19" x14ac:dyDescent="0.75">
      <c r="E861">
        <v>856</v>
      </c>
      <c r="F861">
        <f t="shared" si="782"/>
        <v>100</v>
      </c>
      <c r="G861">
        <f t="shared" ca="1" si="783"/>
        <v>98.929044892037297</v>
      </c>
      <c r="H861">
        <f t="shared" ca="1" si="783"/>
        <v>97.529876063175024</v>
      </c>
      <c r="I861">
        <f t="shared" ca="1" si="783"/>
        <v>91.611010788176912</v>
      </c>
      <c r="J861">
        <f t="shared" ref="J861:P861" ca="1" si="800">I861*EXP(($C$6-0.5*$C$7^2)*$C$12+$C$7*SQRT($C$12)*NORMINV(RAND(),0,1))</f>
        <v>87.692771862905829</v>
      </c>
      <c r="K861">
        <f t="shared" ca="1" si="800"/>
        <v>86.93852166599649</v>
      </c>
      <c r="L861">
        <f t="shared" ca="1" si="800"/>
        <v>83.862988068464219</v>
      </c>
      <c r="M861">
        <f t="shared" ca="1" si="800"/>
        <v>84.164046673001067</v>
      </c>
      <c r="N861">
        <f t="shared" ca="1" si="800"/>
        <v>88.77075024612553</v>
      </c>
      <c r="O861">
        <f t="shared" ca="1" si="800"/>
        <v>79.764924013646095</v>
      </c>
      <c r="P861">
        <f t="shared" ca="1" si="800"/>
        <v>79.837694844483195</v>
      </c>
      <c r="Q861">
        <f t="shared" ca="1" si="784"/>
        <v>98.929044892037297</v>
      </c>
      <c r="R861">
        <f t="shared" ca="1" si="785"/>
        <v>0</v>
      </c>
      <c r="S861">
        <f t="shared" ca="1" si="786"/>
        <v>0</v>
      </c>
    </row>
    <row r="862" spans="5:19" x14ac:dyDescent="0.75">
      <c r="E862">
        <v>857</v>
      </c>
      <c r="F862">
        <f t="shared" si="782"/>
        <v>100</v>
      </c>
      <c r="G862">
        <f t="shared" ca="1" si="783"/>
        <v>93.92263789168392</v>
      </c>
      <c r="H862">
        <f t="shared" ca="1" si="783"/>
        <v>95.656296158635996</v>
      </c>
      <c r="I862">
        <f t="shared" ca="1" si="783"/>
        <v>100.3809092982886</v>
      </c>
      <c r="J862">
        <f t="shared" ref="J862:P862" ca="1" si="801">I862*EXP(($C$6-0.5*$C$7^2)*$C$12+$C$7*SQRT($C$12)*NORMINV(RAND(),0,1))</f>
        <v>95.912025257710837</v>
      </c>
      <c r="K862">
        <f t="shared" ca="1" si="801"/>
        <v>98.188923818233164</v>
      </c>
      <c r="L862">
        <f t="shared" ca="1" si="801"/>
        <v>108.79398089347055</v>
      </c>
      <c r="M862">
        <f t="shared" ca="1" si="801"/>
        <v>109.30393450301008</v>
      </c>
      <c r="N862">
        <f t="shared" ca="1" si="801"/>
        <v>112.93283268469926</v>
      </c>
      <c r="O862">
        <f t="shared" ca="1" si="801"/>
        <v>117.21167109410737</v>
      </c>
      <c r="P862">
        <f t="shared" ca="1" si="801"/>
        <v>117.68987690780034</v>
      </c>
      <c r="Q862">
        <f t="shared" ca="1" si="784"/>
        <v>117.68987690780034</v>
      </c>
      <c r="R862">
        <f t="shared" ca="1" si="785"/>
        <v>0</v>
      </c>
      <c r="S862">
        <f t="shared" ca="1" si="786"/>
        <v>0</v>
      </c>
    </row>
    <row r="863" spans="5:19" x14ac:dyDescent="0.75">
      <c r="E863">
        <v>858</v>
      </c>
      <c r="F863">
        <f t="shared" si="782"/>
        <v>100</v>
      </c>
      <c r="G863">
        <f t="shared" ca="1" si="783"/>
        <v>98.340018601215206</v>
      </c>
      <c r="H863">
        <f t="shared" ca="1" si="783"/>
        <v>109.26271975877685</v>
      </c>
      <c r="I863">
        <f t="shared" ca="1" si="783"/>
        <v>108.15464380626922</v>
      </c>
      <c r="J863">
        <f t="shared" ref="J863:P863" ca="1" si="802">I863*EXP(($C$6-0.5*$C$7^2)*$C$12+$C$7*SQRT($C$12)*NORMINV(RAND(),0,1))</f>
        <v>101.17748982194828</v>
      </c>
      <c r="K863">
        <f t="shared" ca="1" si="802"/>
        <v>97.972127169304429</v>
      </c>
      <c r="L863">
        <f t="shared" ca="1" si="802"/>
        <v>103.28268810328072</v>
      </c>
      <c r="M863">
        <f t="shared" ca="1" si="802"/>
        <v>111.38566711132822</v>
      </c>
      <c r="N863">
        <f t="shared" ca="1" si="802"/>
        <v>122.50420543389664</v>
      </c>
      <c r="O863">
        <f t="shared" ca="1" si="802"/>
        <v>107.59444419787251</v>
      </c>
      <c r="P863">
        <f t="shared" ca="1" si="802"/>
        <v>104.91655429908121</v>
      </c>
      <c r="Q863">
        <f t="shared" ca="1" si="784"/>
        <v>122.50420543389664</v>
      </c>
      <c r="R863">
        <f t="shared" ca="1" si="785"/>
        <v>0</v>
      </c>
      <c r="S863">
        <f t="shared" ca="1" si="786"/>
        <v>0</v>
      </c>
    </row>
    <row r="864" spans="5:19" x14ac:dyDescent="0.75">
      <c r="E864">
        <v>859</v>
      </c>
      <c r="F864">
        <f t="shared" si="782"/>
        <v>100</v>
      </c>
      <c r="G864">
        <f t="shared" ca="1" si="783"/>
        <v>103.93897564363064</v>
      </c>
      <c r="H864">
        <f t="shared" ca="1" si="783"/>
        <v>102.47497409528195</v>
      </c>
      <c r="I864">
        <f t="shared" ca="1" si="783"/>
        <v>105.76321519131817</v>
      </c>
      <c r="J864">
        <f t="shared" ref="J864:P864" ca="1" si="803">I864*EXP(($C$6-0.5*$C$7^2)*$C$12+$C$7*SQRT($C$12)*NORMINV(RAND(),0,1))</f>
        <v>106.77583003790903</v>
      </c>
      <c r="K864">
        <f t="shared" ca="1" si="803"/>
        <v>103.80112373354258</v>
      </c>
      <c r="L864">
        <f t="shared" ca="1" si="803"/>
        <v>103.71213210746305</v>
      </c>
      <c r="M864">
        <f t="shared" ca="1" si="803"/>
        <v>101.3372967929825</v>
      </c>
      <c r="N864">
        <f t="shared" ca="1" si="803"/>
        <v>98.200141260490241</v>
      </c>
      <c r="O864">
        <f t="shared" ca="1" si="803"/>
        <v>97.936849310552631</v>
      </c>
      <c r="P864">
        <f t="shared" ca="1" si="803"/>
        <v>97.207280825287768</v>
      </c>
      <c r="Q864">
        <f t="shared" ca="1" si="784"/>
        <v>106.77583003790903</v>
      </c>
      <c r="R864">
        <f t="shared" ca="1" si="785"/>
        <v>0</v>
      </c>
      <c r="S864">
        <f t="shared" ca="1" si="786"/>
        <v>0</v>
      </c>
    </row>
    <row r="865" spans="5:19" x14ac:dyDescent="0.75">
      <c r="E865">
        <v>860</v>
      </c>
      <c r="F865">
        <f t="shared" si="782"/>
        <v>100</v>
      </c>
      <c r="G865">
        <f t="shared" ca="1" si="783"/>
        <v>101.0174469622104</v>
      </c>
      <c r="H865">
        <f t="shared" ca="1" si="783"/>
        <v>98.996334641648446</v>
      </c>
      <c r="I865">
        <f t="shared" ca="1" si="783"/>
        <v>99.950770944139975</v>
      </c>
      <c r="J865">
        <f t="shared" ref="J865:P865" ca="1" si="804">I865*EXP(($C$6-0.5*$C$7^2)*$C$12+$C$7*SQRT($C$12)*NORMINV(RAND(),0,1))</f>
        <v>97.365346446280128</v>
      </c>
      <c r="K865">
        <f t="shared" ca="1" si="804"/>
        <v>92.65560275620922</v>
      </c>
      <c r="L865">
        <f t="shared" ca="1" si="804"/>
        <v>94.237525318663472</v>
      </c>
      <c r="M865">
        <f t="shared" ca="1" si="804"/>
        <v>95.130265290441415</v>
      </c>
      <c r="N865">
        <f t="shared" ca="1" si="804"/>
        <v>99.976614050927452</v>
      </c>
      <c r="O865">
        <f t="shared" ca="1" si="804"/>
        <v>106.12344516426626</v>
      </c>
      <c r="P865">
        <f t="shared" ca="1" si="804"/>
        <v>104.8893563808742</v>
      </c>
      <c r="Q865">
        <f t="shared" ca="1" si="784"/>
        <v>106.12344516426626</v>
      </c>
      <c r="R865">
        <f t="shared" ca="1" si="785"/>
        <v>2.8893563808742044</v>
      </c>
      <c r="S865">
        <f t="shared" ca="1" si="786"/>
        <v>2.818017917648922</v>
      </c>
    </row>
    <row r="866" spans="5:19" x14ac:dyDescent="0.75">
      <c r="E866">
        <v>861</v>
      </c>
      <c r="F866">
        <f t="shared" si="782"/>
        <v>100</v>
      </c>
      <c r="G866">
        <f t="shared" ca="1" si="783"/>
        <v>94.808195309921672</v>
      </c>
      <c r="H866">
        <f t="shared" ca="1" si="783"/>
        <v>92.35864792046543</v>
      </c>
      <c r="I866">
        <f t="shared" ca="1" si="783"/>
        <v>98.02726691959856</v>
      </c>
      <c r="J866">
        <f t="shared" ref="J866:P866" ca="1" si="805">I866*EXP(($C$6-0.5*$C$7^2)*$C$12+$C$7*SQRT($C$12)*NORMINV(RAND(),0,1))</f>
        <v>99.934077426715476</v>
      </c>
      <c r="K866">
        <f t="shared" ca="1" si="805"/>
        <v>105.59139148602229</v>
      </c>
      <c r="L866">
        <f t="shared" ca="1" si="805"/>
        <v>111.15749934691898</v>
      </c>
      <c r="M866">
        <f t="shared" ca="1" si="805"/>
        <v>99.799400729407452</v>
      </c>
      <c r="N866">
        <f t="shared" ca="1" si="805"/>
        <v>98.066774389717665</v>
      </c>
      <c r="O866">
        <f t="shared" ca="1" si="805"/>
        <v>101.70354327289179</v>
      </c>
      <c r="P866">
        <f t="shared" ca="1" si="805"/>
        <v>103.23874757113826</v>
      </c>
      <c r="Q866">
        <f t="shared" ca="1" si="784"/>
        <v>111.15749934691898</v>
      </c>
      <c r="R866">
        <f t="shared" ca="1" si="785"/>
        <v>0</v>
      </c>
      <c r="S866">
        <f t="shared" ca="1" si="786"/>
        <v>0</v>
      </c>
    </row>
    <row r="867" spans="5:19" x14ac:dyDescent="0.75">
      <c r="E867">
        <v>862</v>
      </c>
      <c r="F867">
        <f t="shared" si="782"/>
        <v>100</v>
      </c>
      <c r="G867">
        <f t="shared" ca="1" si="783"/>
        <v>102.51593505192078</v>
      </c>
      <c r="H867">
        <f t="shared" ca="1" si="783"/>
        <v>103.27258852205526</v>
      </c>
      <c r="I867">
        <f t="shared" ca="1" si="783"/>
        <v>104.54818708323475</v>
      </c>
      <c r="J867">
        <f t="shared" ref="J867:P867" ca="1" si="806">I867*EXP(($C$6-0.5*$C$7^2)*$C$12+$C$7*SQRT($C$12)*NORMINV(RAND(),0,1))</f>
        <v>105.61253649284345</v>
      </c>
      <c r="K867">
        <f t="shared" ca="1" si="806"/>
        <v>103.33623972660041</v>
      </c>
      <c r="L867">
        <f t="shared" ca="1" si="806"/>
        <v>104.43397467700797</v>
      </c>
      <c r="M867">
        <f t="shared" ca="1" si="806"/>
        <v>112.10660264477141</v>
      </c>
      <c r="N867">
        <f t="shared" ca="1" si="806"/>
        <v>111.84068191788154</v>
      </c>
      <c r="O867">
        <f t="shared" ca="1" si="806"/>
        <v>114.55043353759056</v>
      </c>
      <c r="P867">
        <f t="shared" ca="1" si="806"/>
        <v>109.00067472597605</v>
      </c>
      <c r="Q867">
        <f t="shared" ca="1" si="784"/>
        <v>114.55043353759056</v>
      </c>
      <c r="R867">
        <f t="shared" ca="1" si="785"/>
        <v>0</v>
      </c>
      <c r="S867">
        <f t="shared" ca="1" si="786"/>
        <v>0</v>
      </c>
    </row>
    <row r="868" spans="5:19" x14ac:dyDescent="0.75">
      <c r="E868">
        <v>863</v>
      </c>
      <c r="F868">
        <f t="shared" si="782"/>
        <v>100</v>
      </c>
      <c r="G868">
        <f t="shared" ca="1" si="783"/>
        <v>101.7129903043358</v>
      </c>
      <c r="H868">
        <f t="shared" ca="1" si="783"/>
        <v>100.4398445533016</v>
      </c>
      <c r="I868">
        <f t="shared" ca="1" si="783"/>
        <v>98.238830262050371</v>
      </c>
      <c r="J868">
        <f t="shared" ref="J868:P868" ca="1" si="807">I868*EXP(($C$6-0.5*$C$7^2)*$C$12+$C$7*SQRT($C$12)*NORMINV(RAND(),0,1))</f>
        <v>100.11704088573673</v>
      </c>
      <c r="K868">
        <f t="shared" ca="1" si="807"/>
        <v>104.72970143591688</v>
      </c>
      <c r="L868">
        <f t="shared" ca="1" si="807"/>
        <v>106.79761838844045</v>
      </c>
      <c r="M868">
        <f t="shared" ca="1" si="807"/>
        <v>108.34251474582369</v>
      </c>
      <c r="N868">
        <f t="shared" ca="1" si="807"/>
        <v>114.10175264181792</v>
      </c>
      <c r="O868">
        <f t="shared" ca="1" si="807"/>
        <v>112.13333595838564</v>
      </c>
      <c r="P868">
        <f t="shared" ca="1" si="807"/>
        <v>107.85048608930117</v>
      </c>
      <c r="Q868">
        <f t="shared" ca="1" si="784"/>
        <v>114.10175264181792</v>
      </c>
      <c r="R868">
        <f t="shared" ca="1" si="785"/>
        <v>0</v>
      </c>
      <c r="S868">
        <f t="shared" ca="1" si="786"/>
        <v>0</v>
      </c>
    </row>
    <row r="869" spans="5:19" x14ac:dyDescent="0.75">
      <c r="E869">
        <v>864</v>
      </c>
      <c r="F869">
        <f t="shared" si="782"/>
        <v>100</v>
      </c>
      <c r="G869">
        <f t="shared" ca="1" si="783"/>
        <v>109.1201219227446</v>
      </c>
      <c r="H869">
        <f t="shared" ca="1" si="783"/>
        <v>117.28428366094234</v>
      </c>
      <c r="I869">
        <f t="shared" ca="1" si="783"/>
        <v>126.02127852028295</v>
      </c>
      <c r="J869">
        <f t="shared" ref="J869:P869" ca="1" si="808">I869*EXP(($C$6-0.5*$C$7^2)*$C$12+$C$7*SQRT($C$12)*NORMINV(RAND(),0,1))</f>
        <v>115.62963275837281</v>
      </c>
      <c r="K869">
        <f t="shared" ca="1" si="808"/>
        <v>116.66294003921642</v>
      </c>
      <c r="L869">
        <f t="shared" ca="1" si="808"/>
        <v>126.93920445570832</v>
      </c>
      <c r="M869">
        <f t="shared" ca="1" si="808"/>
        <v>121.49078046701527</v>
      </c>
      <c r="N869">
        <f t="shared" ca="1" si="808"/>
        <v>128.61920808018098</v>
      </c>
      <c r="O869">
        <f t="shared" ca="1" si="808"/>
        <v>132.17152230153351</v>
      </c>
      <c r="P869">
        <f t="shared" ca="1" si="808"/>
        <v>133.3039511306292</v>
      </c>
      <c r="Q869">
        <f t="shared" ca="1" si="784"/>
        <v>133.3039511306292</v>
      </c>
      <c r="R869">
        <f t="shared" ca="1" si="785"/>
        <v>0</v>
      </c>
      <c r="S869">
        <f t="shared" ca="1" si="786"/>
        <v>0</v>
      </c>
    </row>
    <row r="870" spans="5:19" x14ac:dyDescent="0.75">
      <c r="E870">
        <v>865</v>
      </c>
      <c r="F870">
        <f t="shared" si="782"/>
        <v>100</v>
      </c>
      <c r="G870">
        <f t="shared" ca="1" si="783"/>
        <v>102.77344606350047</v>
      </c>
      <c r="H870">
        <f t="shared" ca="1" si="783"/>
        <v>98.363013181157328</v>
      </c>
      <c r="I870">
        <f t="shared" ca="1" si="783"/>
        <v>97.865035368675848</v>
      </c>
      <c r="J870">
        <f t="shared" ref="J870:P870" ca="1" si="809">I870*EXP(($C$6-0.5*$C$7^2)*$C$12+$C$7*SQRT($C$12)*NORMINV(RAND(),0,1))</f>
        <v>103.08534573460848</v>
      </c>
      <c r="K870">
        <f t="shared" ca="1" si="809"/>
        <v>113.0693581647994</v>
      </c>
      <c r="L870">
        <f t="shared" ca="1" si="809"/>
        <v>114.93074241188886</v>
      </c>
      <c r="M870">
        <f t="shared" ca="1" si="809"/>
        <v>112.1137888201979</v>
      </c>
      <c r="N870">
        <f t="shared" ca="1" si="809"/>
        <v>109.04025833319722</v>
      </c>
      <c r="O870">
        <f t="shared" ca="1" si="809"/>
        <v>115.12476824403926</v>
      </c>
      <c r="P870">
        <f t="shared" ca="1" si="809"/>
        <v>109.33104775256635</v>
      </c>
      <c r="Q870">
        <f t="shared" ca="1" si="784"/>
        <v>115.12476824403926</v>
      </c>
      <c r="R870">
        <f t="shared" ca="1" si="785"/>
        <v>0</v>
      </c>
      <c r="S870">
        <f t="shared" ca="1" si="786"/>
        <v>0</v>
      </c>
    </row>
    <row r="871" spans="5:19" x14ac:dyDescent="0.75">
      <c r="E871">
        <v>866</v>
      </c>
      <c r="F871">
        <f t="shared" si="782"/>
        <v>100</v>
      </c>
      <c r="G871">
        <f t="shared" ca="1" si="783"/>
        <v>92.117448472786208</v>
      </c>
      <c r="H871">
        <f t="shared" ca="1" si="783"/>
        <v>93.674227383891747</v>
      </c>
      <c r="I871">
        <f t="shared" ca="1" si="783"/>
        <v>89.801673099067457</v>
      </c>
      <c r="J871">
        <f t="shared" ref="J871:P871" ca="1" si="810">I871*EXP(($C$6-0.5*$C$7^2)*$C$12+$C$7*SQRT($C$12)*NORMINV(RAND(),0,1))</f>
        <v>95.161463953592417</v>
      </c>
      <c r="K871">
        <f t="shared" ca="1" si="810"/>
        <v>99.568030803896548</v>
      </c>
      <c r="L871">
        <f t="shared" ca="1" si="810"/>
        <v>102.60919074131789</v>
      </c>
      <c r="M871">
        <f t="shared" ca="1" si="810"/>
        <v>96.023104516618403</v>
      </c>
      <c r="N871">
        <f t="shared" ca="1" si="810"/>
        <v>89.182638631778332</v>
      </c>
      <c r="O871">
        <f t="shared" ca="1" si="810"/>
        <v>85.697693160357048</v>
      </c>
      <c r="P871">
        <f t="shared" ca="1" si="810"/>
        <v>85.729355804918058</v>
      </c>
      <c r="Q871">
        <f t="shared" ca="1" si="784"/>
        <v>102.60919074131789</v>
      </c>
      <c r="R871">
        <f t="shared" ca="1" si="785"/>
        <v>0</v>
      </c>
      <c r="S871">
        <f t="shared" ca="1" si="786"/>
        <v>0</v>
      </c>
    </row>
    <row r="872" spans="5:19" x14ac:dyDescent="0.75">
      <c r="E872">
        <v>867</v>
      </c>
      <c r="F872">
        <f t="shared" si="782"/>
        <v>100</v>
      </c>
      <c r="G872">
        <f t="shared" ca="1" si="783"/>
        <v>104.31048544147615</v>
      </c>
      <c r="H872">
        <f t="shared" ca="1" si="783"/>
        <v>112.25798603553359</v>
      </c>
      <c r="I872">
        <f t="shared" ca="1" si="783"/>
        <v>114.93554607222067</v>
      </c>
      <c r="J872">
        <f t="shared" ref="J872:P872" ca="1" si="811">I872*EXP(($C$6-0.5*$C$7^2)*$C$12+$C$7*SQRT($C$12)*NORMINV(RAND(),0,1))</f>
        <v>119.59943423473661</v>
      </c>
      <c r="K872">
        <f t="shared" ca="1" si="811"/>
        <v>127.4185637454743</v>
      </c>
      <c r="L872">
        <f t="shared" ca="1" si="811"/>
        <v>132.32294013030858</v>
      </c>
      <c r="M872">
        <f t="shared" ca="1" si="811"/>
        <v>137.68314372091766</v>
      </c>
      <c r="N872">
        <f t="shared" ca="1" si="811"/>
        <v>139.97534716674673</v>
      </c>
      <c r="O872">
        <f t="shared" ca="1" si="811"/>
        <v>145.29045401786888</v>
      </c>
      <c r="P872">
        <f t="shared" ca="1" si="811"/>
        <v>141.46137454722103</v>
      </c>
      <c r="Q872">
        <f t="shared" ca="1" si="784"/>
        <v>145.29045401786888</v>
      </c>
      <c r="R872">
        <f t="shared" ca="1" si="785"/>
        <v>0</v>
      </c>
      <c r="S872">
        <f t="shared" ca="1" si="786"/>
        <v>0</v>
      </c>
    </row>
    <row r="873" spans="5:19" x14ac:dyDescent="0.75">
      <c r="E873">
        <v>868</v>
      </c>
      <c r="F873">
        <f t="shared" si="782"/>
        <v>100</v>
      </c>
      <c r="G873">
        <f t="shared" ca="1" si="783"/>
        <v>101.19411416879198</v>
      </c>
      <c r="H873">
        <f t="shared" ca="1" si="783"/>
        <v>105.18993318456469</v>
      </c>
      <c r="I873">
        <f t="shared" ca="1" si="783"/>
        <v>113.51428201128812</v>
      </c>
      <c r="J873">
        <f t="shared" ref="J873:P873" ca="1" si="812">I873*EXP(($C$6-0.5*$C$7^2)*$C$12+$C$7*SQRT($C$12)*NORMINV(RAND(),0,1))</f>
        <v>121.12219448158234</v>
      </c>
      <c r="K873">
        <f t="shared" ca="1" si="812"/>
        <v>130.64652246765246</v>
      </c>
      <c r="L873">
        <f t="shared" ca="1" si="812"/>
        <v>129.31252649242242</v>
      </c>
      <c r="M873">
        <f t="shared" ca="1" si="812"/>
        <v>122.70491011542455</v>
      </c>
      <c r="N873">
        <f t="shared" ca="1" si="812"/>
        <v>114.45179508932254</v>
      </c>
      <c r="O873">
        <f t="shared" ca="1" si="812"/>
        <v>105.03854049865038</v>
      </c>
      <c r="P873">
        <f t="shared" ca="1" si="812"/>
        <v>99.177331502433248</v>
      </c>
      <c r="Q873">
        <f t="shared" ca="1" si="784"/>
        <v>130.64652246765246</v>
      </c>
      <c r="R873">
        <f t="shared" ca="1" si="785"/>
        <v>0</v>
      </c>
      <c r="S873">
        <f t="shared" ca="1" si="786"/>
        <v>0</v>
      </c>
    </row>
    <row r="874" spans="5:19" x14ac:dyDescent="0.75">
      <c r="E874">
        <v>869</v>
      </c>
      <c r="F874">
        <f t="shared" si="782"/>
        <v>100</v>
      </c>
      <c r="G874">
        <f t="shared" ca="1" si="783"/>
        <v>98.339930960409717</v>
      </c>
      <c r="H874">
        <f t="shared" ca="1" si="783"/>
        <v>101.62480390507308</v>
      </c>
      <c r="I874">
        <f t="shared" ca="1" si="783"/>
        <v>98.911629728062721</v>
      </c>
      <c r="J874">
        <f t="shared" ref="J874:P874" ca="1" si="813">I874*EXP(($C$6-0.5*$C$7^2)*$C$12+$C$7*SQRT($C$12)*NORMINV(RAND(),0,1))</f>
        <v>98.57700537904185</v>
      </c>
      <c r="K874">
        <f t="shared" ca="1" si="813"/>
        <v>98.58767133758947</v>
      </c>
      <c r="L874">
        <f t="shared" ca="1" si="813"/>
        <v>92.468969951826708</v>
      </c>
      <c r="M874">
        <f t="shared" ca="1" si="813"/>
        <v>97.058028453410685</v>
      </c>
      <c r="N874">
        <f t="shared" ca="1" si="813"/>
        <v>95.595390383426519</v>
      </c>
      <c r="O874">
        <f t="shared" ca="1" si="813"/>
        <v>92.629576806144286</v>
      </c>
      <c r="P874">
        <f t="shared" ca="1" si="813"/>
        <v>91.271624099568911</v>
      </c>
      <c r="Q874">
        <f t="shared" ca="1" si="784"/>
        <v>101.62480390507308</v>
      </c>
      <c r="R874">
        <f t="shared" ca="1" si="785"/>
        <v>0</v>
      </c>
      <c r="S874">
        <f t="shared" ca="1" si="786"/>
        <v>0</v>
      </c>
    </row>
    <row r="875" spans="5:19" x14ac:dyDescent="0.75">
      <c r="E875">
        <v>870</v>
      </c>
      <c r="F875">
        <f t="shared" si="782"/>
        <v>100</v>
      </c>
      <c r="G875">
        <f t="shared" ca="1" si="783"/>
        <v>99.438499913512203</v>
      </c>
      <c r="H875">
        <f t="shared" ca="1" si="783"/>
        <v>101.36948961765702</v>
      </c>
      <c r="I875">
        <f t="shared" ca="1" si="783"/>
        <v>97.948449528694553</v>
      </c>
      <c r="J875">
        <f t="shared" ref="J875:P875" ca="1" si="814">I875*EXP(($C$6-0.5*$C$7^2)*$C$12+$C$7*SQRT($C$12)*NORMINV(RAND(),0,1))</f>
        <v>88.63578796216531</v>
      </c>
      <c r="K875">
        <f t="shared" ca="1" si="814"/>
        <v>84.769130184708658</v>
      </c>
      <c r="L875">
        <f t="shared" ca="1" si="814"/>
        <v>90.406155767833283</v>
      </c>
      <c r="M875">
        <f t="shared" ca="1" si="814"/>
        <v>96.170860343388043</v>
      </c>
      <c r="N875">
        <f t="shared" ca="1" si="814"/>
        <v>95.352344321582834</v>
      </c>
      <c r="O875">
        <f t="shared" ca="1" si="814"/>
        <v>86.912507114235623</v>
      </c>
      <c r="P875">
        <f t="shared" ca="1" si="814"/>
        <v>87.303225571282141</v>
      </c>
      <c r="Q875">
        <f t="shared" ca="1" si="784"/>
        <v>101.36948961765702</v>
      </c>
      <c r="R875">
        <f t="shared" ca="1" si="785"/>
        <v>0</v>
      </c>
      <c r="S875">
        <f t="shared" ca="1" si="786"/>
        <v>0</v>
      </c>
    </row>
    <row r="876" spans="5:19" x14ac:dyDescent="0.75">
      <c r="E876">
        <v>871</v>
      </c>
      <c r="F876">
        <f t="shared" si="782"/>
        <v>100</v>
      </c>
      <c r="G876">
        <f t="shared" ca="1" si="783"/>
        <v>101.37205629684331</v>
      </c>
      <c r="H876">
        <f t="shared" ca="1" si="783"/>
        <v>107.97048398944131</v>
      </c>
      <c r="I876">
        <f t="shared" ca="1" si="783"/>
        <v>109.31751102096305</v>
      </c>
      <c r="J876">
        <f t="shared" ref="J876:P876" ca="1" si="815">I876*EXP(($C$6-0.5*$C$7^2)*$C$12+$C$7*SQRT($C$12)*NORMINV(RAND(),0,1))</f>
        <v>112.0826680018383</v>
      </c>
      <c r="K876">
        <f t="shared" ca="1" si="815"/>
        <v>111.40803005959397</v>
      </c>
      <c r="L876">
        <f t="shared" ca="1" si="815"/>
        <v>119.44114329374162</v>
      </c>
      <c r="M876">
        <f t="shared" ca="1" si="815"/>
        <v>124.44610241327554</v>
      </c>
      <c r="N876">
        <f t="shared" ca="1" si="815"/>
        <v>131.23775972032709</v>
      </c>
      <c r="O876">
        <f t="shared" ca="1" si="815"/>
        <v>129.4237420542234</v>
      </c>
      <c r="P876">
        <f t="shared" ca="1" si="815"/>
        <v>130.68624882271089</v>
      </c>
      <c r="Q876">
        <f t="shared" ca="1" si="784"/>
        <v>131.23775972032709</v>
      </c>
      <c r="R876">
        <f t="shared" ca="1" si="785"/>
        <v>0</v>
      </c>
      <c r="S876">
        <f t="shared" ca="1" si="786"/>
        <v>0</v>
      </c>
    </row>
    <row r="877" spans="5:19" x14ac:dyDescent="0.75">
      <c r="E877">
        <v>872</v>
      </c>
      <c r="F877">
        <f t="shared" si="782"/>
        <v>100</v>
      </c>
      <c r="G877">
        <f t="shared" ca="1" si="783"/>
        <v>94.175340740415862</v>
      </c>
      <c r="H877">
        <f t="shared" ca="1" si="783"/>
        <v>91.300522090387531</v>
      </c>
      <c r="I877">
        <f t="shared" ca="1" si="783"/>
        <v>92.184015525231729</v>
      </c>
      <c r="J877">
        <f t="shared" ref="J877:P877" ca="1" si="816">I877*EXP(($C$6-0.5*$C$7^2)*$C$12+$C$7*SQRT($C$12)*NORMINV(RAND(),0,1))</f>
        <v>92.23472733961205</v>
      </c>
      <c r="K877">
        <f t="shared" ca="1" si="816"/>
        <v>93.958331488893876</v>
      </c>
      <c r="L877">
        <f t="shared" ca="1" si="816"/>
        <v>95.822081198518049</v>
      </c>
      <c r="M877">
        <f t="shared" ca="1" si="816"/>
        <v>102.33739258000635</v>
      </c>
      <c r="N877">
        <f t="shared" ca="1" si="816"/>
        <v>109.13393242994019</v>
      </c>
      <c r="O877">
        <f t="shared" ca="1" si="816"/>
        <v>100.80161296404036</v>
      </c>
      <c r="P877">
        <f t="shared" ca="1" si="816"/>
        <v>110.36337081873189</v>
      </c>
      <c r="Q877">
        <f t="shared" ca="1" si="784"/>
        <v>110.36337081873189</v>
      </c>
      <c r="R877">
        <f t="shared" ca="1" si="785"/>
        <v>0</v>
      </c>
      <c r="S877">
        <f t="shared" ca="1" si="786"/>
        <v>0</v>
      </c>
    </row>
    <row r="878" spans="5:19" x14ac:dyDescent="0.75">
      <c r="E878">
        <v>873</v>
      </c>
      <c r="F878">
        <f t="shared" si="782"/>
        <v>100</v>
      </c>
      <c r="G878">
        <f t="shared" ca="1" si="783"/>
        <v>102.29049073339058</v>
      </c>
      <c r="H878">
        <f t="shared" ca="1" si="783"/>
        <v>105.9330629063639</v>
      </c>
      <c r="I878">
        <f t="shared" ca="1" si="783"/>
        <v>105.83859794291386</v>
      </c>
      <c r="J878">
        <f t="shared" ref="J878:P878" ca="1" si="817">I878*EXP(($C$6-0.5*$C$7^2)*$C$12+$C$7*SQRT($C$12)*NORMINV(RAND(),0,1))</f>
        <v>109.53983532684487</v>
      </c>
      <c r="K878">
        <f t="shared" ca="1" si="817"/>
        <v>106.41002868806342</v>
      </c>
      <c r="L878">
        <f t="shared" ca="1" si="817"/>
        <v>106.9883300017683</v>
      </c>
      <c r="M878">
        <f t="shared" ca="1" si="817"/>
        <v>113.1448032151883</v>
      </c>
      <c r="N878">
        <f t="shared" ca="1" si="817"/>
        <v>112.66165233460399</v>
      </c>
      <c r="O878">
        <f t="shared" ca="1" si="817"/>
        <v>119.32381691344253</v>
      </c>
      <c r="P878">
        <f t="shared" ca="1" si="817"/>
        <v>113.94695533296048</v>
      </c>
      <c r="Q878">
        <f t="shared" ca="1" si="784"/>
        <v>119.32381691344253</v>
      </c>
      <c r="R878">
        <f t="shared" ca="1" si="785"/>
        <v>0</v>
      </c>
      <c r="S878">
        <f t="shared" ca="1" si="786"/>
        <v>0</v>
      </c>
    </row>
    <row r="879" spans="5:19" x14ac:dyDescent="0.75">
      <c r="E879">
        <v>874</v>
      </c>
      <c r="F879">
        <f t="shared" si="782"/>
        <v>100</v>
      </c>
      <c r="G879">
        <f t="shared" ca="1" si="783"/>
        <v>96.4079730480141</v>
      </c>
      <c r="H879">
        <f t="shared" ca="1" si="783"/>
        <v>89.989425691619189</v>
      </c>
      <c r="I879">
        <f t="shared" ca="1" si="783"/>
        <v>86.806971791194343</v>
      </c>
      <c r="J879">
        <f t="shared" ref="J879:P879" ca="1" si="818">I879*EXP(($C$6-0.5*$C$7^2)*$C$12+$C$7*SQRT($C$12)*NORMINV(RAND(),0,1))</f>
        <v>89.700458942854823</v>
      </c>
      <c r="K879">
        <f t="shared" ca="1" si="818"/>
        <v>86.768967531871013</v>
      </c>
      <c r="L879">
        <f t="shared" ca="1" si="818"/>
        <v>87.922845700880487</v>
      </c>
      <c r="M879">
        <f t="shared" ca="1" si="818"/>
        <v>88.70911405637186</v>
      </c>
      <c r="N879">
        <f t="shared" ca="1" si="818"/>
        <v>83.149731188565141</v>
      </c>
      <c r="O879">
        <f t="shared" ca="1" si="818"/>
        <v>81.741129954110008</v>
      </c>
      <c r="P879">
        <f t="shared" ca="1" si="818"/>
        <v>84.47133911298161</v>
      </c>
      <c r="Q879">
        <f t="shared" ca="1" si="784"/>
        <v>96.4079730480141</v>
      </c>
      <c r="R879">
        <f t="shared" ca="1" si="785"/>
        <v>0</v>
      </c>
      <c r="S879">
        <f t="shared" ca="1" si="786"/>
        <v>0</v>
      </c>
    </row>
    <row r="880" spans="5:19" x14ac:dyDescent="0.75">
      <c r="E880">
        <v>875</v>
      </c>
      <c r="F880">
        <f t="shared" si="782"/>
        <v>100</v>
      </c>
      <c r="G880">
        <f t="shared" ca="1" si="783"/>
        <v>104.82926206401358</v>
      </c>
      <c r="H880">
        <f t="shared" ca="1" si="783"/>
        <v>101.40247439226847</v>
      </c>
      <c r="I880">
        <f t="shared" ca="1" si="783"/>
        <v>103.72526983649554</v>
      </c>
      <c r="J880">
        <f t="shared" ref="J880:P880" ca="1" si="819">I880*EXP(($C$6-0.5*$C$7^2)*$C$12+$C$7*SQRT($C$12)*NORMINV(RAND(),0,1))</f>
        <v>103.18367837215257</v>
      </c>
      <c r="K880">
        <f t="shared" ca="1" si="819"/>
        <v>104.93424002534479</v>
      </c>
      <c r="L880">
        <f t="shared" ca="1" si="819"/>
        <v>111.66742004893661</v>
      </c>
      <c r="M880">
        <f t="shared" ca="1" si="819"/>
        <v>107.61251795779508</v>
      </c>
      <c r="N880">
        <f t="shared" ca="1" si="819"/>
        <v>98.845271653532677</v>
      </c>
      <c r="O880">
        <f t="shared" ca="1" si="819"/>
        <v>109.43571506418752</v>
      </c>
      <c r="P880">
        <f t="shared" ca="1" si="819"/>
        <v>114.90213804015995</v>
      </c>
      <c r="Q880">
        <f t="shared" ca="1" si="784"/>
        <v>114.90213804015995</v>
      </c>
      <c r="R880">
        <f t="shared" ca="1" si="785"/>
        <v>0</v>
      </c>
      <c r="S880">
        <f t="shared" ca="1" si="786"/>
        <v>0</v>
      </c>
    </row>
    <row r="881" spans="5:19" x14ac:dyDescent="0.75">
      <c r="E881">
        <v>876</v>
      </c>
      <c r="F881">
        <f t="shared" si="782"/>
        <v>100</v>
      </c>
      <c r="G881">
        <f t="shared" ca="1" si="783"/>
        <v>96.705770620408387</v>
      </c>
      <c r="H881">
        <f t="shared" ca="1" si="783"/>
        <v>92.100107334708667</v>
      </c>
      <c r="I881">
        <f t="shared" ca="1" si="783"/>
        <v>92.359919108779053</v>
      </c>
      <c r="J881">
        <f t="shared" ref="J881:P881" ca="1" si="820">I881*EXP(($C$6-0.5*$C$7^2)*$C$12+$C$7*SQRT($C$12)*NORMINV(RAND(),0,1))</f>
        <v>91.797393221923286</v>
      </c>
      <c r="K881">
        <f t="shared" ca="1" si="820"/>
        <v>90.940614775033652</v>
      </c>
      <c r="L881">
        <f t="shared" ca="1" si="820"/>
        <v>95.72797305230479</v>
      </c>
      <c r="M881">
        <f t="shared" ca="1" si="820"/>
        <v>97.794656289799107</v>
      </c>
      <c r="N881">
        <f t="shared" ca="1" si="820"/>
        <v>98.608325764922469</v>
      </c>
      <c r="O881">
        <f t="shared" ca="1" si="820"/>
        <v>109.7066100293809</v>
      </c>
      <c r="P881">
        <f t="shared" ca="1" si="820"/>
        <v>106.54727223096043</v>
      </c>
      <c r="Q881">
        <f t="shared" ca="1" si="784"/>
        <v>109.7066100293809</v>
      </c>
      <c r="R881">
        <f t="shared" ca="1" si="785"/>
        <v>4.5472722309604308</v>
      </c>
      <c r="S881">
        <f t="shared" ca="1" si="786"/>
        <v>4.4349996795468973</v>
      </c>
    </row>
    <row r="882" spans="5:19" x14ac:dyDescent="0.75">
      <c r="E882">
        <v>877</v>
      </c>
      <c r="F882">
        <f t="shared" si="782"/>
        <v>100</v>
      </c>
      <c r="G882">
        <f t="shared" ca="1" si="783"/>
        <v>99.711565652178379</v>
      </c>
      <c r="H882">
        <f t="shared" ca="1" si="783"/>
        <v>100.61017404284397</v>
      </c>
      <c r="I882">
        <f t="shared" ca="1" si="783"/>
        <v>95.213996330272209</v>
      </c>
      <c r="J882">
        <f t="shared" ref="J882:P882" ca="1" si="821">I882*EXP(($C$6-0.5*$C$7^2)*$C$12+$C$7*SQRT($C$12)*NORMINV(RAND(),0,1))</f>
        <v>91.458711201432905</v>
      </c>
      <c r="K882">
        <f t="shared" ca="1" si="821"/>
        <v>96.644854146998767</v>
      </c>
      <c r="L882">
        <f t="shared" ca="1" si="821"/>
        <v>99.203715320695707</v>
      </c>
      <c r="M882">
        <f t="shared" ca="1" si="821"/>
        <v>108.24761900024011</v>
      </c>
      <c r="N882">
        <f t="shared" ca="1" si="821"/>
        <v>104.29391962441862</v>
      </c>
      <c r="O882">
        <f t="shared" ca="1" si="821"/>
        <v>101.76033362303691</v>
      </c>
      <c r="P882">
        <f t="shared" ca="1" si="821"/>
        <v>98.84706014781159</v>
      </c>
      <c r="Q882">
        <f t="shared" ca="1" si="784"/>
        <v>108.24761900024011</v>
      </c>
      <c r="R882">
        <f t="shared" ca="1" si="785"/>
        <v>0</v>
      </c>
      <c r="S882">
        <f t="shared" ca="1" si="786"/>
        <v>0</v>
      </c>
    </row>
    <row r="883" spans="5:19" x14ac:dyDescent="0.75">
      <c r="E883">
        <v>878</v>
      </c>
      <c r="F883">
        <f t="shared" si="782"/>
        <v>100</v>
      </c>
      <c r="G883">
        <f t="shared" ca="1" si="783"/>
        <v>102.26840890758425</v>
      </c>
      <c r="H883">
        <f t="shared" ca="1" si="783"/>
        <v>109.66684218490289</v>
      </c>
      <c r="I883">
        <f t="shared" ca="1" si="783"/>
        <v>104.95262990130158</v>
      </c>
      <c r="J883">
        <f t="shared" ref="J883:P883" ca="1" si="822">I883*EXP(($C$6-0.5*$C$7^2)*$C$12+$C$7*SQRT($C$12)*NORMINV(RAND(),0,1))</f>
        <v>115.95466639565574</v>
      </c>
      <c r="K883">
        <f t="shared" ca="1" si="822"/>
        <v>113.26338664575623</v>
      </c>
      <c r="L883">
        <f t="shared" ca="1" si="822"/>
        <v>116.9671556718784</v>
      </c>
      <c r="M883">
        <f t="shared" ca="1" si="822"/>
        <v>117.21648463700544</v>
      </c>
      <c r="N883">
        <f t="shared" ca="1" si="822"/>
        <v>121.45379074272078</v>
      </c>
      <c r="O883">
        <f t="shared" ca="1" si="822"/>
        <v>127.03433363138504</v>
      </c>
      <c r="P883">
        <f t="shared" ca="1" si="822"/>
        <v>127.93524820062812</v>
      </c>
      <c r="Q883">
        <f t="shared" ca="1" si="784"/>
        <v>127.93524820062812</v>
      </c>
      <c r="R883">
        <f t="shared" ca="1" si="785"/>
        <v>0</v>
      </c>
      <c r="S883">
        <f t="shared" ca="1" si="786"/>
        <v>0</v>
      </c>
    </row>
    <row r="884" spans="5:19" x14ac:dyDescent="0.75">
      <c r="E884">
        <v>879</v>
      </c>
      <c r="F884">
        <f t="shared" si="782"/>
        <v>100</v>
      </c>
      <c r="G884">
        <f t="shared" ca="1" si="783"/>
        <v>97.575834939978662</v>
      </c>
      <c r="H884">
        <f t="shared" ca="1" si="783"/>
        <v>94.011997091725149</v>
      </c>
      <c r="I884">
        <f t="shared" ca="1" si="783"/>
        <v>95.244761839492895</v>
      </c>
      <c r="J884">
        <f t="shared" ref="J884:P884" ca="1" si="823">I884*EXP(($C$6-0.5*$C$7^2)*$C$12+$C$7*SQRT($C$12)*NORMINV(RAND(),0,1))</f>
        <v>85.744367580246816</v>
      </c>
      <c r="K884">
        <f t="shared" ca="1" si="823"/>
        <v>91.691438080556296</v>
      </c>
      <c r="L884">
        <f t="shared" ca="1" si="823"/>
        <v>93.880770372451991</v>
      </c>
      <c r="M884">
        <f t="shared" ca="1" si="823"/>
        <v>83.730237551691857</v>
      </c>
      <c r="N884">
        <f t="shared" ca="1" si="823"/>
        <v>78.905163217890689</v>
      </c>
      <c r="O884">
        <f t="shared" ca="1" si="823"/>
        <v>75.32193302118489</v>
      </c>
      <c r="P884">
        <f t="shared" ca="1" si="823"/>
        <v>74.004957771318075</v>
      </c>
      <c r="Q884">
        <f t="shared" ca="1" si="784"/>
        <v>97.575834939978662</v>
      </c>
      <c r="R884">
        <f t="shared" ca="1" si="785"/>
        <v>0</v>
      </c>
      <c r="S884">
        <f t="shared" ca="1" si="786"/>
        <v>0</v>
      </c>
    </row>
    <row r="885" spans="5:19" x14ac:dyDescent="0.75">
      <c r="E885">
        <v>880</v>
      </c>
      <c r="F885">
        <f t="shared" si="782"/>
        <v>100</v>
      </c>
      <c r="G885">
        <f t="shared" ca="1" si="783"/>
        <v>96.656543800141066</v>
      </c>
      <c r="H885">
        <f t="shared" ca="1" si="783"/>
        <v>96.498755707410609</v>
      </c>
      <c r="I885">
        <f t="shared" ca="1" si="783"/>
        <v>97.641784883241613</v>
      </c>
      <c r="J885">
        <f t="shared" ref="J885:P885" ca="1" si="824">I885*EXP(($C$6-0.5*$C$7^2)*$C$12+$C$7*SQRT($C$12)*NORMINV(RAND(),0,1))</f>
        <v>93.275351828864459</v>
      </c>
      <c r="K885">
        <f t="shared" ca="1" si="824"/>
        <v>93.194348970380886</v>
      </c>
      <c r="L885">
        <f t="shared" ca="1" si="824"/>
        <v>91.773774471883343</v>
      </c>
      <c r="M885">
        <f t="shared" ca="1" si="824"/>
        <v>86.413770522046178</v>
      </c>
      <c r="N885">
        <f t="shared" ca="1" si="824"/>
        <v>91.126397298037674</v>
      </c>
      <c r="O885">
        <f t="shared" ca="1" si="824"/>
        <v>92.451215184539564</v>
      </c>
      <c r="P885">
        <f t="shared" ca="1" si="824"/>
        <v>92.180367521930492</v>
      </c>
      <c r="Q885">
        <f t="shared" ca="1" si="784"/>
        <v>97.641784883241613</v>
      </c>
      <c r="R885">
        <f t="shared" ca="1" si="785"/>
        <v>0</v>
      </c>
      <c r="S885">
        <f t="shared" ca="1" si="786"/>
        <v>0</v>
      </c>
    </row>
    <row r="886" spans="5:19" x14ac:dyDescent="0.75">
      <c r="E886">
        <v>881</v>
      </c>
      <c r="F886">
        <f t="shared" si="782"/>
        <v>100</v>
      </c>
      <c r="G886">
        <f t="shared" ca="1" si="783"/>
        <v>93.691198411884599</v>
      </c>
      <c r="H886">
        <f t="shared" ca="1" si="783"/>
        <v>91.403140127964917</v>
      </c>
      <c r="I886">
        <f t="shared" ca="1" si="783"/>
        <v>97.843195928786926</v>
      </c>
      <c r="J886">
        <f t="shared" ref="J886:P886" ca="1" si="825">I886*EXP(($C$6-0.5*$C$7^2)*$C$12+$C$7*SQRT($C$12)*NORMINV(RAND(),0,1))</f>
        <v>96.174008059640698</v>
      </c>
      <c r="K886">
        <f t="shared" ca="1" si="825"/>
        <v>99.626979758594672</v>
      </c>
      <c r="L886">
        <f t="shared" ca="1" si="825"/>
        <v>97.089224440534181</v>
      </c>
      <c r="M886">
        <f t="shared" ca="1" si="825"/>
        <v>96.788410153995926</v>
      </c>
      <c r="N886">
        <f t="shared" ca="1" si="825"/>
        <v>95.097051824336447</v>
      </c>
      <c r="O886">
        <f t="shared" ca="1" si="825"/>
        <v>89.465839190506486</v>
      </c>
      <c r="P886">
        <f t="shared" ca="1" si="825"/>
        <v>88.865466545138389</v>
      </c>
      <c r="Q886">
        <f t="shared" ca="1" si="784"/>
        <v>99.626979758594672</v>
      </c>
      <c r="R886">
        <f t="shared" ca="1" si="785"/>
        <v>0</v>
      </c>
      <c r="S886">
        <f t="shared" ca="1" si="786"/>
        <v>0</v>
      </c>
    </row>
    <row r="887" spans="5:19" x14ac:dyDescent="0.75">
      <c r="E887">
        <v>882</v>
      </c>
      <c r="F887">
        <f t="shared" si="782"/>
        <v>100</v>
      </c>
      <c r="G887">
        <f t="shared" ca="1" si="783"/>
        <v>94.084084502268723</v>
      </c>
      <c r="H887">
        <f t="shared" ca="1" si="783"/>
        <v>97.403243563746429</v>
      </c>
      <c r="I887">
        <f t="shared" ca="1" si="783"/>
        <v>98.567568672723766</v>
      </c>
      <c r="J887">
        <f t="shared" ref="J887:P887" ca="1" si="826">I887*EXP(($C$6-0.5*$C$7^2)*$C$12+$C$7*SQRT($C$12)*NORMINV(RAND(),0,1))</f>
        <v>94.446410644409198</v>
      </c>
      <c r="K887">
        <f t="shared" ca="1" si="826"/>
        <v>92.680025964768717</v>
      </c>
      <c r="L887">
        <f t="shared" ca="1" si="826"/>
        <v>96.456369892442481</v>
      </c>
      <c r="M887">
        <f t="shared" ca="1" si="826"/>
        <v>98.933750022807942</v>
      </c>
      <c r="N887">
        <f t="shared" ca="1" si="826"/>
        <v>97.805476193813917</v>
      </c>
      <c r="O887">
        <f t="shared" ca="1" si="826"/>
        <v>86.992635152336661</v>
      </c>
      <c r="P887">
        <f t="shared" ca="1" si="826"/>
        <v>77.266129453083479</v>
      </c>
      <c r="Q887">
        <f t="shared" ca="1" si="784"/>
        <v>98.933750022807942</v>
      </c>
      <c r="R887">
        <f t="shared" ca="1" si="785"/>
        <v>0</v>
      </c>
      <c r="S887">
        <f t="shared" ca="1" si="786"/>
        <v>0</v>
      </c>
    </row>
    <row r="888" spans="5:19" x14ac:dyDescent="0.75">
      <c r="E888">
        <v>883</v>
      </c>
      <c r="F888">
        <f t="shared" si="782"/>
        <v>100</v>
      </c>
      <c r="G888">
        <f t="shared" ca="1" si="783"/>
        <v>96.504754261243363</v>
      </c>
      <c r="H888">
        <f t="shared" ca="1" si="783"/>
        <v>94.139247176752036</v>
      </c>
      <c r="I888">
        <f t="shared" ca="1" si="783"/>
        <v>94.778104045912329</v>
      </c>
      <c r="J888">
        <f t="shared" ref="J888:P888" ca="1" si="827">I888*EXP(($C$6-0.5*$C$7^2)*$C$12+$C$7*SQRT($C$12)*NORMINV(RAND(),0,1))</f>
        <v>94.441028571196412</v>
      </c>
      <c r="K888">
        <f t="shared" ca="1" si="827"/>
        <v>98.748496423984136</v>
      </c>
      <c r="L888">
        <f t="shared" ca="1" si="827"/>
        <v>100.19768749993888</v>
      </c>
      <c r="M888">
        <f t="shared" ca="1" si="827"/>
        <v>102.90073549071541</v>
      </c>
      <c r="N888">
        <f t="shared" ca="1" si="827"/>
        <v>102.27916857583742</v>
      </c>
      <c r="O888">
        <f t="shared" ca="1" si="827"/>
        <v>98.805090169566853</v>
      </c>
      <c r="P888">
        <f t="shared" ca="1" si="827"/>
        <v>99.136859210133309</v>
      </c>
      <c r="Q888">
        <f t="shared" ca="1" si="784"/>
        <v>102.90073549071541</v>
      </c>
      <c r="R888">
        <f t="shared" ca="1" si="785"/>
        <v>0</v>
      </c>
      <c r="S888">
        <f t="shared" ca="1" si="786"/>
        <v>0</v>
      </c>
    </row>
    <row r="889" spans="5:19" x14ac:dyDescent="0.75">
      <c r="E889">
        <v>884</v>
      </c>
      <c r="F889">
        <f t="shared" si="782"/>
        <v>100</v>
      </c>
      <c r="G889">
        <f t="shared" ca="1" si="783"/>
        <v>100.64409487549572</v>
      </c>
      <c r="H889">
        <f t="shared" ca="1" si="783"/>
        <v>103.30543995725739</v>
      </c>
      <c r="I889">
        <f t="shared" ca="1" si="783"/>
        <v>108.49161392732206</v>
      </c>
      <c r="J889">
        <f t="shared" ref="J889:P889" ca="1" si="828">I889*EXP(($C$6-0.5*$C$7^2)*$C$12+$C$7*SQRT($C$12)*NORMINV(RAND(),0,1))</f>
        <v>103.54867709032263</v>
      </c>
      <c r="K889">
        <f t="shared" ca="1" si="828"/>
        <v>102.34713339708676</v>
      </c>
      <c r="L889">
        <f t="shared" ca="1" si="828"/>
        <v>96.094117208804647</v>
      </c>
      <c r="M889">
        <f t="shared" ca="1" si="828"/>
        <v>94.177841250742517</v>
      </c>
      <c r="N889">
        <f t="shared" ca="1" si="828"/>
        <v>92.924057187385273</v>
      </c>
      <c r="O889">
        <f t="shared" ca="1" si="828"/>
        <v>89.366259454205846</v>
      </c>
      <c r="P889">
        <f t="shared" ca="1" si="828"/>
        <v>85.656229358156565</v>
      </c>
      <c r="Q889">
        <f t="shared" ca="1" si="784"/>
        <v>108.49161392732206</v>
      </c>
      <c r="R889">
        <f t="shared" ca="1" si="785"/>
        <v>0</v>
      </c>
      <c r="S889">
        <f t="shared" ca="1" si="786"/>
        <v>0</v>
      </c>
    </row>
    <row r="890" spans="5:19" x14ac:dyDescent="0.75">
      <c r="E890">
        <v>885</v>
      </c>
      <c r="F890">
        <f t="shared" si="782"/>
        <v>100</v>
      </c>
      <c r="G890">
        <f t="shared" ca="1" si="783"/>
        <v>94.287654857190688</v>
      </c>
      <c r="H890">
        <f t="shared" ca="1" si="783"/>
        <v>88.57336606664397</v>
      </c>
      <c r="I890">
        <f t="shared" ca="1" si="783"/>
        <v>82.932343318541839</v>
      </c>
      <c r="J890">
        <f t="shared" ref="J890:P890" ca="1" si="829">I890*EXP(($C$6-0.5*$C$7^2)*$C$12+$C$7*SQRT($C$12)*NORMINV(RAND(),0,1))</f>
        <v>82.472049393037778</v>
      </c>
      <c r="K890">
        <f t="shared" ca="1" si="829"/>
        <v>85.052969021302033</v>
      </c>
      <c r="L890">
        <f t="shared" ca="1" si="829"/>
        <v>83.028798027961429</v>
      </c>
      <c r="M890">
        <f t="shared" ca="1" si="829"/>
        <v>88.010938721498576</v>
      </c>
      <c r="N890">
        <f t="shared" ca="1" si="829"/>
        <v>92.497368642665407</v>
      </c>
      <c r="O890">
        <f t="shared" ca="1" si="829"/>
        <v>82.388733817874055</v>
      </c>
      <c r="P890">
        <f t="shared" ca="1" si="829"/>
        <v>82.245557147869633</v>
      </c>
      <c r="Q890">
        <f t="shared" ca="1" si="784"/>
        <v>94.287654857190688</v>
      </c>
      <c r="R890">
        <f t="shared" ca="1" si="785"/>
        <v>0</v>
      </c>
      <c r="S890">
        <f t="shared" ca="1" si="786"/>
        <v>0</v>
      </c>
    </row>
    <row r="891" spans="5:19" x14ac:dyDescent="0.75">
      <c r="E891">
        <v>886</v>
      </c>
      <c r="F891">
        <f t="shared" si="782"/>
        <v>100</v>
      </c>
      <c r="G891">
        <f t="shared" ca="1" si="783"/>
        <v>104.39641980381693</v>
      </c>
      <c r="H891">
        <f t="shared" ca="1" si="783"/>
        <v>103.20444727210199</v>
      </c>
      <c r="I891">
        <f t="shared" ca="1" si="783"/>
        <v>98.912269495116647</v>
      </c>
      <c r="J891">
        <f t="shared" ref="J891:P891" ca="1" si="830">I891*EXP(($C$6-0.5*$C$7^2)*$C$12+$C$7*SQRT($C$12)*NORMINV(RAND(),0,1))</f>
        <v>100.12994353315531</v>
      </c>
      <c r="K891">
        <f t="shared" ca="1" si="830"/>
        <v>96.948419606454124</v>
      </c>
      <c r="L891">
        <f t="shared" ca="1" si="830"/>
        <v>98.491229149020768</v>
      </c>
      <c r="M891">
        <f t="shared" ca="1" si="830"/>
        <v>101.85661412423391</v>
      </c>
      <c r="N891">
        <f t="shared" ca="1" si="830"/>
        <v>103.46617545377774</v>
      </c>
      <c r="O891">
        <f t="shared" ca="1" si="830"/>
        <v>109.27578946273059</v>
      </c>
      <c r="P891">
        <f t="shared" ca="1" si="830"/>
        <v>111.976998367836</v>
      </c>
      <c r="Q891">
        <f t="shared" ca="1" si="784"/>
        <v>111.976998367836</v>
      </c>
      <c r="R891">
        <f t="shared" ca="1" si="785"/>
        <v>0</v>
      </c>
      <c r="S891">
        <f t="shared" ca="1" si="786"/>
        <v>0</v>
      </c>
    </row>
    <row r="892" spans="5:19" x14ac:dyDescent="0.75">
      <c r="E892">
        <v>887</v>
      </c>
      <c r="F892">
        <f t="shared" si="782"/>
        <v>100</v>
      </c>
      <c r="G892">
        <f t="shared" ca="1" si="783"/>
        <v>94.483769775213261</v>
      </c>
      <c r="H892">
        <f t="shared" ca="1" si="783"/>
        <v>96.524122999803637</v>
      </c>
      <c r="I892">
        <f t="shared" ca="1" si="783"/>
        <v>97.831268140135563</v>
      </c>
      <c r="J892">
        <f t="shared" ref="J892:P892" ca="1" si="831">I892*EXP(($C$6-0.5*$C$7^2)*$C$12+$C$7*SQRT($C$12)*NORMINV(RAND(),0,1))</f>
        <v>101.02236916067336</v>
      </c>
      <c r="K892">
        <f t="shared" ca="1" si="831"/>
        <v>95.416341078768099</v>
      </c>
      <c r="L892">
        <f t="shared" ca="1" si="831"/>
        <v>108.95200834599609</v>
      </c>
      <c r="M892">
        <f t="shared" ca="1" si="831"/>
        <v>105.57865606340715</v>
      </c>
      <c r="N892">
        <f t="shared" ca="1" si="831"/>
        <v>100.52111788883614</v>
      </c>
      <c r="O892">
        <f t="shared" ca="1" si="831"/>
        <v>105.99933697662625</v>
      </c>
      <c r="P892">
        <f t="shared" ca="1" si="831"/>
        <v>106.14722474438163</v>
      </c>
      <c r="Q892">
        <f t="shared" ca="1" si="784"/>
        <v>108.95200834599609</v>
      </c>
      <c r="R892">
        <f t="shared" ca="1" si="785"/>
        <v>4.1472247443816315</v>
      </c>
      <c r="S892">
        <f t="shared" ca="1" si="786"/>
        <v>4.0448294006045735</v>
      </c>
    </row>
    <row r="893" spans="5:19" x14ac:dyDescent="0.75">
      <c r="E893">
        <v>888</v>
      </c>
      <c r="F893">
        <f t="shared" si="782"/>
        <v>100</v>
      </c>
      <c r="G893">
        <f t="shared" ca="1" si="783"/>
        <v>101.60993849674233</v>
      </c>
      <c r="H893">
        <f t="shared" ca="1" si="783"/>
        <v>103.49009816016756</v>
      </c>
      <c r="I893">
        <f t="shared" ca="1" si="783"/>
        <v>104.76536789019322</v>
      </c>
      <c r="J893">
        <f t="shared" ref="J893:P893" ca="1" si="832">I893*EXP(($C$6-0.5*$C$7^2)*$C$12+$C$7*SQRT($C$12)*NORMINV(RAND(),0,1))</f>
        <v>107.91532547565831</v>
      </c>
      <c r="K893">
        <f t="shared" ca="1" si="832"/>
        <v>108.45739144584873</v>
      </c>
      <c r="L893">
        <f t="shared" ca="1" si="832"/>
        <v>102.54900697693796</v>
      </c>
      <c r="M893">
        <f t="shared" ca="1" si="832"/>
        <v>101.93661942120485</v>
      </c>
      <c r="N893">
        <f t="shared" ca="1" si="832"/>
        <v>98.773782270875458</v>
      </c>
      <c r="O893">
        <f t="shared" ca="1" si="832"/>
        <v>106.3379050331521</v>
      </c>
      <c r="P893">
        <f t="shared" ca="1" si="832"/>
        <v>103.7115983506885</v>
      </c>
      <c r="Q893">
        <f t="shared" ca="1" si="784"/>
        <v>108.45739144584873</v>
      </c>
      <c r="R893">
        <f t="shared" ca="1" si="785"/>
        <v>1.7115983506885044</v>
      </c>
      <c r="S893">
        <f t="shared" ca="1" si="786"/>
        <v>1.6693388368378443</v>
      </c>
    </row>
    <row r="894" spans="5:19" x14ac:dyDescent="0.75">
      <c r="E894">
        <v>889</v>
      </c>
      <c r="F894">
        <f t="shared" si="782"/>
        <v>100</v>
      </c>
      <c r="G894">
        <f t="shared" ca="1" si="783"/>
        <v>98.017583915467327</v>
      </c>
      <c r="H894">
        <f t="shared" ca="1" si="783"/>
        <v>99.248167703270923</v>
      </c>
      <c r="I894">
        <f t="shared" ca="1" si="783"/>
        <v>100.56011969173136</v>
      </c>
      <c r="J894">
        <f t="shared" ref="J894:P894" ca="1" si="833">I894*EXP(($C$6-0.5*$C$7^2)*$C$12+$C$7*SQRT($C$12)*NORMINV(RAND(),0,1))</f>
        <v>93.237061249153086</v>
      </c>
      <c r="K894">
        <f t="shared" ca="1" si="833"/>
        <v>95.641694096413843</v>
      </c>
      <c r="L894">
        <f t="shared" ca="1" si="833"/>
        <v>94.346631248711688</v>
      </c>
      <c r="M894">
        <f t="shared" ca="1" si="833"/>
        <v>94.856802220879331</v>
      </c>
      <c r="N894">
        <f t="shared" ca="1" si="833"/>
        <v>87.439506137225692</v>
      </c>
      <c r="O894">
        <f t="shared" ca="1" si="833"/>
        <v>90.789942368452515</v>
      </c>
      <c r="P894">
        <f t="shared" ca="1" si="833"/>
        <v>96.135951459191702</v>
      </c>
      <c r="Q894">
        <f t="shared" ca="1" si="784"/>
        <v>100.56011969173136</v>
      </c>
      <c r="R894">
        <f t="shared" ca="1" si="785"/>
        <v>0</v>
      </c>
      <c r="S894">
        <f t="shared" ca="1" si="786"/>
        <v>0</v>
      </c>
    </row>
    <row r="895" spans="5:19" x14ac:dyDescent="0.75">
      <c r="E895">
        <v>890</v>
      </c>
      <c r="F895">
        <f t="shared" si="782"/>
        <v>100</v>
      </c>
      <c r="G895">
        <f t="shared" ca="1" si="783"/>
        <v>94.491848871686912</v>
      </c>
      <c r="H895">
        <f t="shared" ca="1" si="783"/>
        <v>93.606370951388925</v>
      </c>
      <c r="I895">
        <f t="shared" ca="1" si="783"/>
        <v>99.719637322552359</v>
      </c>
      <c r="J895">
        <f t="shared" ref="J895:P895" ca="1" si="834">I895*EXP(($C$6-0.5*$C$7^2)*$C$12+$C$7*SQRT($C$12)*NORMINV(RAND(),0,1))</f>
        <v>92.889824091947588</v>
      </c>
      <c r="K895">
        <f t="shared" ca="1" si="834"/>
        <v>94.54281189299725</v>
      </c>
      <c r="L895">
        <f t="shared" ca="1" si="834"/>
        <v>96.98327554165509</v>
      </c>
      <c r="M895">
        <f t="shared" ca="1" si="834"/>
        <v>99.66032525640658</v>
      </c>
      <c r="N895">
        <f t="shared" ca="1" si="834"/>
        <v>101.76400889158492</v>
      </c>
      <c r="O895">
        <f t="shared" ca="1" si="834"/>
        <v>100.96931464426709</v>
      </c>
      <c r="P895">
        <f t="shared" ca="1" si="834"/>
        <v>103.58049748316485</v>
      </c>
      <c r="Q895">
        <f t="shared" ca="1" si="784"/>
        <v>103.58049748316485</v>
      </c>
      <c r="R895">
        <f t="shared" ca="1" si="785"/>
        <v>1.5804974831648479</v>
      </c>
      <c r="S895">
        <f t="shared" ca="1" si="786"/>
        <v>1.541474861266509</v>
      </c>
    </row>
    <row r="896" spans="5:19" x14ac:dyDescent="0.75">
      <c r="E896">
        <v>891</v>
      </c>
      <c r="F896">
        <f t="shared" si="782"/>
        <v>100</v>
      </c>
      <c r="G896">
        <f t="shared" ca="1" si="783"/>
        <v>98.732156754210266</v>
      </c>
      <c r="H896">
        <f t="shared" ca="1" si="783"/>
        <v>105.05803207287168</v>
      </c>
      <c r="I896">
        <f t="shared" ca="1" si="783"/>
        <v>105.07918291911852</v>
      </c>
      <c r="J896">
        <f t="shared" ref="J896:P896" ca="1" si="835">I896*EXP(($C$6-0.5*$C$7^2)*$C$12+$C$7*SQRT($C$12)*NORMINV(RAND(),0,1))</f>
        <v>103.15528688324491</v>
      </c>
      <c r="K896">
        <f t="shared" ca="1" si="835"/>
        <v>114.09960232933837</v>
      </c>
      <c r="L896">
        <f t="shared" ca="1" si="835"/>
        <v>117.84289499640253</v>
      </c>
      <c r="M896">
        <f t="shared" ca="1" si="835"/>
        <v>121.85634757028211</v>
      </c>
      <c r="N896">
        <f t="shared" ca="1" si="835"/>
        <v>115.34160853768186</v>
      </c>
      <c r="O896">
        <f t="shared" ca="1" si="835"/>
        <v>114.32970802691486</v>
      </c>
      <c r="P896">
        <f t="shared" ca="1" si="835"/>
        <v>111.54269718079829</v>
      </c>
      <c r="Q896">
        <f t="shared" ca="1" si="784"/>
        <v>121.85634757028211</v>
      </c>
      <c r="R896">
        <f t="shared" ca="1" si="785"/>
        <v>0</v>
      </c>
      <c r="S896">
        <f t="shared" ca="1" si="786"/>
        <v>0</v>
      </c>
    </row>
    <row r="897" spans="5:19" x14ac:dyDescent="0.75">
      <c r="E897">
        <v>892</v>
      </c>
      <c r="F897">
        <f t="shared" si="782"/>
        <v>100</v>
      </c>
      <c r="G897">
        <f t="shared" ca="1" si="783"/>
        <v>104.43464053346226</v>
      </c>
      <c r="H897">
        <f t="shared" ca="1" si="783"/>
        <v>103.64038506639147</v>
      </c>
      <c r="I897">
        <f t="shared" ca="1" si="783"/>
        <v>103.6997611665969</v>
      </c>
      <c r="J897">
        <f t="shared" ref="J897:P897" ca="1" si="836">I897*EXP(($C$6-0.5*$C$7^2)*$C$12+$C$7*SQRT($C$12)*NORMINV(RAND(),0,1))</f>
        <v>102.23519619952631</v>
      </c>
      <c r="K897">
        <f t="shared" ca="1" si="836"/>
        <v>100.86303413032223</v>
      </c>
      <c r="L897">
        <f t="shared" ca="1" si="836"/>
        <v>101.71526348464209</v>
      </c>
      <c r="M897">
        <f t="shared" ca="1" si="836"/>
        <v>102.01466954929866</v>
      </c>
      <c r="N897">
        <f t="shared" ca="1" si="836"/>
        <v>95.411768131916986</v>
      </c>
      <c r="O897">
        <f t="shared" ca="1" si="836"/>
        <v>88.370716213779588</v>
      </c>
      <c r="P897">
        <f t="shared" ca="1" si="836"/>
        <v>88.761420294395208</v>
      </c>
      <c r="Q897">
        <f t="shared" ca="1" si="784"/>
        <v>104.43464053346226</v>
      </c>
      <c r="R897">
        <f t="shared" ca="1" si="785"/>
        <v>0</v>
      </c>
      <c r="S897">
        <f t="shared" ca="1" si="786"/>
        <v>0</v>
      </c>
    </row>
    <row r="898" spans="5:19" x14ac:dyDescent="0.75">
      <c r="E898">
        <v>893</v>
      </c>
      <c r="F898">
        <f t="shared" si="782"/>
        <v>100</v>
      </c>
      <c r="G898">
        <f t="shared" ca="1" si="783"/>
        <v>101.1168614313676</v>
      </c>
      <c r="H898">
        <f t="shared" ca="1" si="783"/>
        <v>107.28875287154068</v>
      </c>
      <c r="I898">
        <f t="shared" ca="1" si="783"/>
        <v>113.69569275047597</v>
      </c>
      <c r="J898">
        <f t="shared" ref="J898:P898" ca="1" si="837">I898*EXP(($C$6-0.5*$C$7^2)*$C$12+$C$7*SQRT($C$12)*NORMINV(RAND(),0,1))</f>
        <v>117.84452328380119</v>
      </c>
      <c r="K898">
        <f t="shared" ca="1" si="837"/>
        <v>125.55431766434907</v>
      </c>
      <c r="L898">
        <f t="shared" ca="1" si="837"/>
        <v>122.90179137606748</v>
      </c>
      <c r="M898">
        <f t="shared" ca="1" si="837"/>
        <v>116.87957754777835</v>
      </c>
      <c r="N898">
        <f t="shared" ca="1" si="837"/>
        <v>121.84827487974533</v>
      </c>
      <c r="O898">
        <f t="shared" ca="1" si="837"/>
        <v>122.46822928191771</v>
      </c>
      <c r="P898">
        <f t="shared" ca="1" si="837"/>
        <v>127.8852424258113</v>
      </c>
      <c r="Q898">
        <f t="shared" ca="1" si="784"/>
        <v>127.8852424258113</v>
      </c>
      <c r="R898">
        <f t="shared" ca="1" si="785"/>
        <v>0</v>
      </c>
      <c r="S898">
        <f t="shared" ca="1" si="786"/>
        <v>0</v>
      </c>
    </row>
    <row r="899" spans="5:19" x14ac:dyDescent="0.75">
      <c r="E899">
        <v>894</v>
      </c>
      <c r="F899">
        <f t="shared" si="782"/>
        <v>100</v>
      </c>
      <c r="G899">
        <f t="shared" ca="1" si="783"/>
        <v>103.53610273943717</v>
      </c>
      <c r="H899">
        <f t="shared" ca="1" si="783"/>
        <v>96.914133023996399</v>
      </c>
      <c r="I899">
        <f t="shared" ca="1" si="783"/>
        <v>89.609856718570043</v>
      </c>
      <c r="J899">
        <f t="shared" ref="J899:P899" ca="1" si="838">I899*EXP(($C$6-0.5*$C$7^2)*$C$12+$C$7*SQRT($C$12)*NORMINV(RAND(),0,1))</f>
        <v>91.92530599943008</v>
      </c>
      <c r="K899">
        <f t="shared" ca="1" si="838"/>
        <v>98.100084972165092</v>
      </c>
      <c r="L899">
        <f t="shared" ca="1" si="838"/>
        <v>105.36069098070486</v>
      </c>
      <c r="M899">
        <f t="shared" ca="1" si="838"/>
        <v>101.83325214199796</v>
      </c>
      <c r="N899">
        <f t="shared" ca="1" si="838"/>
        <v>100.58296564935048</v>
      </c>
      <c r="O899">
        <f t="shared" ca="1" si="838"/>
        <v>100.33020075704118</v>
      </c>
      <c r="P899">
        <f t="shared" ca="1" si="838"/>
        <v>97.958955578489721</v>
      </c>
      <c r="Q899">
        <f t="shared" ca="1" si="784"/>
        <v>105.36069098070486</v>
      </c>
      <c r="R899">
        <f t="shared" ca="1" si="785"/>
        <v>0</v>
      </c>
      <c r="S899">
        <f t="shared" ca="1" si="786"/>
        <v>0</v>
      </c>
    </row>
    <row r="900" spans="5:19" x14ac:dyDescent="0.75">
      <c r="E900">
        <v>895</v>
      </c>
      <c r="F900">
        <f t="shared" si="782"/>
        <v>100</v>
      </c>
      <c r="G900">
        <f t="shared" ca="1" si="783"/>
        <v>99.893209155412094</v>
      </c>
      <c r="H900">
        <f t="shared" ca="1" si="783"/>
        <v>110.10713251866537</v>
      </c>
      <c r="I900">
        <f t="shared" ca="1" si="783"/>
        <v>116.13788665478863</v>
      </c>
      <c r="J900">
        <f t="shared" ref="J900:P900" ca="1" si="839">I900*EXP(($C$6-0.5*$C$7^2)*$C$12+$C$7*SQRT($C$12)*NORMINV(RAND(),0,1))</f>
        <v>117.65620555271485</v>
      </c>
      <c r="K900">
        <f t="shared" ca="1" si="839"/>
        <v>120.32095455634227</v>
      </c>
      <c r="L900">
        <f t="shared" ca="1" si="839"/>
        <v>116.69964734780928</v>
      </c>
      <c r="M900">
        <f t="shared" ca="1" si="839"/>
        <v>123.76490142417339</v>
      </c>
      <c r="N900">
        <f t="shared" ca="1" si="839"/>
        <v>119.75278288232766</v>
      </c>
      <c r="O900">
        <f t="shared" ca="1" si="839"/>
        <v>124.52978078008765</v>
      </c>
      <c r="P900">
        <f t="shared" ca="1" si="839"/>
        <v>122.64260216984511</v>
      </c>
      <c r="Q900">
        <f t="shared" ca="1" si="784"/>
        <v>124.52978078008765</v>
      </c>
      <c r="R900">
        <f t="shared" ca="1" si="785"/>
        <v>0</v>
      </c>
      <c r="S900">
        <f t="shared" ca="1" si="786"/>
        <v>0</v>
      </c>
    </row>
    <row r="901" spans="5:19" x14ac:dyDescent="0.75">
      <c r="E901">
        <v>896</v>
      </c>
      <c r="F901">
        <f t="shared" si="782"/>
        <v>100</v>
      </c>
      <c r="G901">
        <f t="shared" ca="1" si="783"/>
        <v>105.21903688252512</v>
      </c>
      <c r="H901">
        <f t="shared" ca="1" si="783"/>
        <v>98.183577201534007</v>
      </c>
      <c r="I901">
        <f t="shared" ca="1" si="783"/>
        <v>92.692719934443673</v>
      </c>
      <c r="J901">
        <f t="shared" ref="J901:P901" ca="1" si="840">I901*EXP(($C$6-0.5*$C$7^2)*$C$12+$C$7*SQRT($C$12)*NORMINV(RAND(),0,1))</f>
        <v>88.259021326862495</v>
      </c>
      <c r="K901">
        <f t="shared" ca="1" si="840"/>
        <v>86.248352940940734</v>
      </c>
      <c r="L901">
        <f t="shared" ca="1" si="840"/>
        <v>90.365675567027878</v>
      </c>
      <c r="M901">
        <f t="shared" ca="1" si="840"/>
        <v>91.443054778952117</v>
      </c>
      <c r="N901">
        <f t="shared" ca="1" si="840"/>
        <v>91.124173693471036</v>
      </c>
      <c r="O901">
        <f t="shared" ca="1" si="840"/>
        <v>89.611264692925317</v>
      </c>
      <c r="P901">
        <f t="shared" ca="1" si="840"/>
        <v>88.673034688018021</v>
      </c>
      <c r="Q901">
        <f t="shared" ca="1" si="784"/>
        <v>105.21903688252512</v>
      </c>
      <c r="R901">
        <f t="shared" ca="1" si="785"/>
        <v>0</v>
      </c>
      <c r="S901">
        <f t="shared" ca="1" si="786"/>
        <v>0</v>
      </c>
    </row>
    <row r="902" spans="5:19" x14ac:dyDescent="0.75">
      <c r="E902">
        <v>897</v>
      </c>
      <c r="F902">
        <f t="shared" si="782"/>
        <v>100</v>
      </c>
      <c r="G902">
        <f t="shared" ca="1" si="783"/>
        <v>100.58686524084206</v>
      </c>
      <c r="H902">
        <f t="shared" ca="1" si="783"/>
        <v>106.93645281308983</v>
      </c>
      <c r="I902">
        <f t="shared" ca="1" si="783"/>
        <v>96.234836907279714</v>
      </c>
      <c r="J902">
        <f t="shared" ref="J902:P902" ca="1" si="841">I902*EXP(($C$6-0.5*$C$7^2)*$C$12+$C$7*SQRT($C$12)*NORMINV(RAND(),0,1))</f>
        <v>96.163792615955813</v>
      </c>
      <c r="K902">
        <f t="shared" ca="1" si="841"/>
        <v>93.965099773332312</v>
      </c>
      <c r="L902">
        <f t="shared" ca="1" si="841"/>
        <v>92.653214453813376</v>
      </c>
      <c r="M902">
        <f t="shared" ca="1" si="841"/>
        <v>93.864190727277872</v>
      </c>
      <c r="N902">
        <f t="shared" ca="1" si="841"/>
        <v>91.434267444485101</v>
      </c>
      <c r="O902">
        <f t="shared" ca="1" si="841"/>
        <v>91.37194311338348</v>
      </c>
      <c r="P902">
        <f t="shared" ca="1" si="841"/>
        <v>91.211716599640681</v>
      </c>
      <c r="Q902">
        <f t="shared" ca="1" si="784"/>
        <v>106.93645281308983</v>
      </c>
      <c r="R902">
        <f t="shared" ca="1" si="785"/>
        <v>0</v>
      </c>
      <c r="S902">
        <f t="shared" ca="1" si="786"/>
        <v>0</v>
      </c>
    </row>
    <row r="903" spans="5:19" x14ac:dyDescent="0.75">
      <c r="E903">
        <v>898</v>
      </c>
      <c r="F903">
        <f t="shared" ref="F903:F966" si="842">$C$5</f>
        <v>100</v>
      </c>
      <c r="G903">
        <f t="shared" ref="G903:P966" ca="1" si="843">F903*EXP(($C$6-0.5*$C$7^2)*$C$12+$C$7*SQRT($C$12)*NORMINV(RAND(),0,1))</f>
        <v>91.946965525082391</v>
      </c>
      <c r="H903">
        <f t="shared" ca="1" si="843"/>
        <v>91.600769052133117</v>
      </c>
      <c r="I903">
        <f t="shared" ca="1" si="843"/>
        <v>92.368724647116153</v>
      </c>
      <c r="J903">
        <f t="shared" ca="1" si="843"/>
        <v>81.341676108640556</v>
      </c>
      <c r="K903">
        <f t="shared" ca="1" si="843"/>
        <v>78.486307071295769</v>
      </c>
      <c r="L903">
        <f t="shared" ca="1" si="843"/>
        <v>80.22692556772212</v>
      </c>
      <c r="M903">
        <f t="shared" ca="1" si="843"/>
        <v>81.778642558828182</v>
      </c>
      <c r="N903">
        <f t="shared" ca="1" si="843"/>
        <v>81.298667499905335</v>
      </c>
      <c r="O903">
        <f t="shared" ca="1" si="843"/>
        <v>79.625104339009908</v>
      </c>
      <c r="P903">
        <f t="shared" ca="1" si="843"/>
        <v>78.73791278185162</v>
      </c>
      <c r="Q903">
        <f t="shared" ref="Q903:Q966" ca="1" si="844">MAX(G903:P903)</f>
        <v>92.368724647116153</v>
      </c>
      <c r="R903">
        <f t="shared" ref="R903:R966" ca="1" si="845">IF(Q903&gt;=$C$13,0, MAX(P903-$C$9,0))</f>
        <v>0</v>
      </c>
      <c r="S903">
        <f t="shared" ref="S903:S966" ca="1" si="846">EXP(-$C$6*$C$8)*R903</f>
        <v>0</v>
      </c>
    </row>
    <row r="904" spans="5:19" x14ac:dyDescent="0.75">
      <c r="E904">
        <v>899</v>
      </c>
      <c r="F904">
        <f t="shared" si="842"/>
        <v>100</v>
      </c>
      <c r="G904">
        <f t="shared" ca="1" si="843"/>
        <v>104.4192429822991</v>
      </c>
      <c r="H904">
        <f t="shared" ca="1" si="843"/>
        <v>101.9674230120431</v>
      </c>
      <c r="I904">
        <f t="shared" ca="1" si="843"/>
        <v>118.11496868755226</v>
      </c>
      <c r="J904">
        <f t="shared" ca="1" si="843"/>
        <v>119.91113499459078</v>
      </c>
      <c r="K904">
        <f t="shared" ca="1" si="843"/>
        <v>123.07398050844238</v>
      </c>
      <c r="L904">
        <f t="shared" ca="1" si="843"/>
        <v>123.19716516476487</v>
      </c>
      <c r="M904">
        <f t="shared" ca="1" si="843"/>
        <v>120.45938219198884</v>
      </c>
      <c r="N904">
        <f t="shared" ca="1" si="843"/>
        <v>129.06870858138444</v>
      </c>
      <c r="O904">
        <f t="shared" ca="1" si="843"/>
        <v>131.19825419649354</v>
      </c>
      <c r="P904">
        <f t="shared" ca="1" si="843"/>
        <v>131.9103507668371</v>
      </c>
      <c r="Q904">
        <f t="shared" ca="1" si="844"/>
        <v>131.9103507668371</v>
      </c>
      <c r="R904">
        <f t="shared" ca="1" si="845"/>
        <v>0</v>
      </c>
      <c r="S904">
        <f t="shared" ca="1" si="846"/>
        <v>0</v>
      </c>
    </row>
    <row r="905" spans="5:19" x14ac:dyDescent="0.75">
      <c r="E905">
        <v>900</v>
      </c>
      <c r="F905">
        <f t="shared" si="842"/>
        <v>100</v>
      </c>
      <c r="G905">
        <f t="shared" ca="1" si="843"/>
        <v>100.61809289898622</v>
      </c>
      <c r="H905">
        <f t="shared" ca="1" si="843"/>
        <v>102.57205994119849</v>
      </c>
      <c r="I905">
        <f t="shared" ca="1" si="843"/>
        <v>100.09892185873534</v>
      </c>
      <c r="J905">
        <f t="shared" ca="1" si="843"/>
        <v>103.32728177291979</v>
      </c>
      <c r="K905">
        <f t="shared" ca="1" si="843"/>
        <v>104.21875245118686</v>
      </c>
      <c r="L905">
        <f t="shared" ca="1" si="843"/>
        <v>98.781777743114702</v>
      </c>
      <c r="M905">
        <f t="shared" ca="1" si="843"/>
        <v>102.7507989886812</v>
      </c>
      <c r="N905">
        <f t="shared" ca="1" si="843"/>
        <v>108.98779574339136</v>
      </c>
      <c r="O905">
        <f t="shared" ca="1" si="843"/>
        <v>117.48519630262287</v>
      </c>
      <c r="P905">
        <f t="shared" ca="1" si="843"/>
        <v>124.28931003688531</v>
      </c>
      <c r="Q905">
        <f t="shared" ca="1" si="844"/>
        <v>124.28931003688531</v>
      </c>
      <c r="R905">
        <f t="shared" ca="1" si="845"/>
        <v>0</v>
      </c>
      <c r="S905">
        <f t="shared" ca="1" si="846"/>
        <v>0</v>
      </c>
    </row>
    <row r="906" spans="5:19" x14ac:dyDescent="0.75">
      <c r="E906">
        <v>901</v>
      </c>
      <c r="F906">
        <f t="shared" si="842"/>
        <v>100</v>
      </c>
      <c r="G906">
        <f t="shared" ca="1" si="843"/>
        <v>100.16759674853162</v>
      </c>
      <c r="H906">
        <f t="shared" ca="1" si="843"/>
        <v>96.904587100028806</v>
      </c>
      <c r="I906">
        <f t="shared" ca="1" si="843"/>
        <v>93.142762546846939</v>
      </c>
      <c r="J906">
        <f t="shared" ca="1" si="843"/>
        <v>91.710804301966547</v>
      </c>
      <c r="K906">
        <f t="shared" ca="1" si="843"/>
        <v>85.417979584484627</v>
      </c>
      <c r="L906">
        <f t="shared" ca="1" si="843"/>
        <v>82.879559328269508</v>
      </c>
      <c r="M906">
        <f t="shared" ca="1" si="843"/>
        <v>86.817567396685376</v>
      </c>
      <c r="N906">
        <f t="shared" ca="1" si="843"/>
        <v>90.558933633501908</v>
      </c>
      <c r="O906">
        <f t="shared" ca="1" si="843"/>
        <v>89.690830287163621</v>
      </c>
      <c r="P906">
        <f t="shared" ca="1" si="843"/>
        <v>99.843761117711551</v>
      </c>
      <c r="Q906">
        <f t="shared" ca="1" si="844"/>
        <v>100.16759674853162</v>
      </c>
      <c r="R906">
        <f t="shared" ca="1" si="845"/>
        <v>0</v>
      </c>
      <c r="S906">
        <f t="shared" ca="1" si="846"/>
        <v>0</v>
      </c>
    </row>
    <row r="907" spans="5:19" x14ac:dyDescent="0.75">
      <c r="E907">
        <v>902</v>
      </c>
      <c r="F907">
        <f t="shared" si="842"/>
        <v>100</v>
      </c>
      <c r="G907">
        <f t="shared" ca="1" si="843"/>
        <v>107.64135882035369</v>
      </c>
      <c r="H907">
        <f t="shared" ca="1" si="843"/>
        <v>107.20372700033288</v>
      </c>
      <c r="I907">
        <f t="shared" ca="1" si="843"/>
        <v>109.86307594632444</v>
      </c>
      <c r="J907">
        <f t="shared" ca="1" si="843"/>
        <v>112.60279243854517</v>
      </c>
      <c r="K907">
        <f t="shared" ca="1" si="843"/>
        <v>118.51296013954642</v>
      </c>
      <c r="L907">
        <f t="shared" ca="1" si="843"/>
        <v>110.62359260886315</v>
      </c>
      <c r="M907">
        <f t="shared" ca="1" si="843"/>
        <v>110.08600983735161</v>
      </c>
      <c r="N907">
        <f t="shared" ca="1" si="843"/>
        <v>117.0013611772104</v>
      </c>
      <c r="O907">
        <f t="shared" ca="1" si="843"/>
        <v>116.34020968949319</v>
      </c>
      <c r="P907">
        <f t="shared" ca="1" si="843"/>
        <v>117.43153574848762</v>
      </c>
      <c r="Q907">
        <f t="shared" ca="1" si="844"/>
        <v>118.51296013954642</v>
      </c>
      <c r="R907">
        <f t="shared" ca="1" si="845"/>
        <v>0</v>
      </c>
      <c r="S907">
        <f t="shared" ca="1" si="846"/>
        <v>0</v>
      </c>
    </row>
    <row r="908" spans="5:19" x14ac:dyDescent="0.75">
      <c r="E908">
        <v>903</v>
      </c>
      <c r="F908">
        <f t="shared" si="842"/>
        <v>100</v>
      </c>
      <c r="G908">
        <f t="shared" ca="1" si="843"/>
        <v>109.17470442620586</v>
      </c>
      <c r="H908">
        <f t="shared" ca="1" si="843"/>
        <v>110.57783022985038</v>
      </c>
      <c r="I908">
        <f t="shared" ca="1" si="843"/>
        <v>110.85362408113718</v>
      </c>
      <c r="J908">
        <f t="shared" ca="1" si="843"/>
        <v>113.70715481170362</v>
      </c>
      <c r="K908">
        <f t="shared" ca="1" si="843"/>
        <v>120.53881263083291</v>
      </c>
      <c r="L908">
        <f t="shared" ca="1" si="843"/>
        <v>112.2792615231087</v>
      </c>
      <c r="M908">
        <f t="shared" ca="1" si="843"/>
        <v>109.9182269299486</v>
      </c>
      <c r="N908">
        <f t="shared" ca="1" si="843"/>
        <v>116.11942149364926</v>
      </c>
      <c r="O908">
        <f t="shared" ca="1" si="843"/>
        <v>115.02229978781106</v>
      </c>
      <c r="P908">
        <f t="shared" ca="1" si="843"/>
        <v>116.23643126430052</v>
      </c>
      <c r="Q908">
        <f t="shared" ca="1" si="844"/>
        <v>120.53881263083291</v>
      </c>
      <c r="R908">
        <f t="shared" ca="1" si="845"/>
        <v>0</v>
      </c>
      <c r="S908">
        <f t="shared" ca="1" si="846"/>
        <v>0</v>
      </c>
    </row>
    <row r="909" spans="5:19" x14ac:dyDescent="0.75">
      <c r="E909">
        <v>904</v>
      </c>
      <c r="F909">
        <f t="shared" si="842"/>
        <v>100</v>
      </c>
      <c r="G909">
        <f t="shared" ca="1" si="843"/>
        <v>111.48720702017098</v>
      </c>
      <c r="H909">
        <f t="shared" ca="1" si="843"/>
        <v>103.71869426143209</v>
      </c>
      <c r="I909">
        <f t="shared" ca="1" si="843"/>
        <v>103.86477470322956</v>
      </c>
      <c r="J909">
        <f t="shared" ca="1" si="843"/>
        <v>104.68221751152099</v>
      </c>
      <c r="K909">
        <f t="shared" ca="1" si="843"/>
        <v>112.73307200419329</v>
      </c>
      <c r="L909">
        <f t="shared" ca="1" si="843"/>
        <v>118.96140586028871</v>
      </c>
      <c r="M909">
        <f t="shared" ca="1" si="843"/>
        <v>116.05927328680653</v>
      </c>
      <c r="N909">
        <f t="shared" ca="1" si="843"/>
        <v>118.17407609389321</v>
      </c>
      <c r="O909">
        <f t="shared" ca="1" si="843"/>
        <v>113.98532740315513</v>
      </c>
      <c r="P909">
        <f t="shared" ca="1" si="843"/>
        <v>116.09564236476683</v>
      </c>
      <c r="Q909">
        <f t="shared" ca="1" si="844"/>
        <v>118.96140586028871</v>
      </c>
      <c r="R909">
        <f t="shared" ca="1" si="845"/>
        <v>0</v>
      </c>
      <c r="S909">
        <f t="shared" ca="1" si="846"/>
        <v>0</v>
      </c>
    </row>
    <row r="910" spans="5:19" x14ac:dyDescent="0.75">
      <c r="E910">
        <v>905</v>
      </c>
      <c r="F910">
        <f t="shared" si="842"/>
        <v>100</v>
      </c>
      <c r="G910">
        <f t="shared" ca="1" si="843"/>
        <v>101.80443256120715</v>
      </c>
      <c r="H910">
        <f t="shared" ca="1" si="843"/>
        <v>91.51322050508719</v>
      </c>
      <c r="I910">
        <f t="shared" ca="1" si="843"/>
        <v>94.418919606381777</v>
      </c>
      <c r="J910">
        <f t="shared" ca="1" si="843"/>
        <v>95.929358832813364</v>
      </c>
      <c r="K910">
        <f t="shared" ca="1" si="843"/>
        <v>89.178427306628336</v>
      </c>
      <c r="L910">
        <f t="shared" ca="1" si="843"/>
        <v>79.821295297536139</v>
      </c>
      <c r="M910">
        <f t="shared" ca="1" si="843"/>
        <v>81.851154023073491</v>
      </c>
      <c r="N910">
        <f t="shared" ca="1" si="843"/>
        <v>80.983282647642312</v>
      </c>
      <c r="O910">
        <f t="shared" ca="1" si="843"/>
        <v>74.125798927663908</v>
      </c>
      <c r="P910">
        <f t="shared" ca="1" si="843"/>
        <v>70.693305674597141</v>
      </c>
      <c r="Q910">
        <f t="shared" ca="1" si="844"/>
        <v>101.80443256120715</v>
      </c>
      <c r="R910">
        <f t="shared" ca="1" si="845"/>
        <v>0</v>
      </c>
      <c r="S910">
        <f t="shared" ca="1" si="846"/>
        <v>0</v>
      </c>
    </row>
    <row r="911" spans="5:19" x14ac:dyDescent="0.75">
      <c r="E911">
        <v>906</v>
      </c>
      <c r="F911">
        <f t="shared" si="842"/>
        <v>100</v>
      </c>
      <c r="G911">
        <f t="shared" ca="1" si="843"/>
        <v>100.24530548159791</v>
      </c>
      <c r="H911">
        <f t="shared" ca="1" si="843"/>
        <v>98.601600453455262</v>
      </c>
      <c r="I911">
        <f t="shared" ca="1" si="843"/>
        <v>97.553043341122233</v>
      </c>
      <c r="J911">
        <f t="shared" ca="1" si="843"/>
        <v>94.527299782415426</v>
      </c>
      <c r="K911">
        <f t="shared" ca="1" si="843"/>
        <v>96.54880234850981</v>
      </c>
      <c r="L911">
        <f t="shared" ca="1" si="843"/>
        <v>96.421601709865371</v>
      </c>
      <c r="M911">
        <f t="shared" ca="1" si="843"/>
        <v>97.035746105005572</v>
      </c>
      <c r="N911">
        <f t="shared" ca="1" si="843"/>
        <v>102.40189412630917</v>
      </c>
      <c r="O911">
        <f t="shared" ca="1" si="843"/>
        <v>103.47296695705067</v>
      </c>
      <c r="P911">
        <f t="shared" ca="1" si="843"/>
        <v>108.27781486449209</v>
      </c>
      <c r="Q911">
        <f t="shared" ca="1" si="844"/>
        <v>108.27781486449209</v>
      </c>
      <c r="R911">
        <f t="shared" ca="1" si="845"/>
        <v>6.2778148644920861</v>
      </c>
      <c r="S911">
        <f t="shared" ca="1" si="846"/>
        <v>6.122815063217935</v>
      </c>
    </row>
    <row r="912" spans="5:19" x14ac:dyDescent="0.75">
      <c r="E912">
        <v>907</v>
      </c>
      <c r="F912">
        <f t="shared" si="842"/>
        <v>100</v>
      </c>
      <c r="G912">
        <f t="shared" ca="1" si="843"/>
        <v>98.885286296846061</v>
      </c>
      <c r="H912">
        <f t="shared" ca="1" si="843"/>
        <v>94.803653770408147</v>
      </c>
      <c r="I912">
        <f t="shared" ca="1" si="843"/>
        <v>93.008684689844571</v>
      </c>
      <c r="J912">
        <f t="shared" ref="J912:P912" ca="1" si="847">I912*EXP(($C$6-0.5*$C$7^2)*$C$12+$C$7*SQRT($C$12)*NORMINV(RAND(),0,1))</f>
        <v>87.361873530769358</v>
      </c>
      <c r="K912">
        <f t="shared" ca="1" si="847"/>
        <v>86.48675756720931</v>
      </c>
      <c r="L912">
        <f t="shared" ca="1" si="847"/>
        <v>86.338385328066749</v>
      </c>
      <c r="M912">
        <f t="shared" ca="1" si="847"/>
        <v>86.259861285588926</v>
      </c>
      <c r="N912">
        <f t="shared" ca="1" si="847"/>
        <v>89.990856537452174</v>
      </c>
      <c r="O912">
        <f t="shared" ca="1" si="847"/>
        <v>97.239264774350687</v>
      </c>
      <c r="P912">
        <f t="shared" ca="1" si="847"/>
        <v>92.340320910626303</v>
      </c>
      <c r="Q912">
        <f t="shared" ca="1" si="844"/>
        <v>98.885286296846061</v>
      </c>
      <c r="R912">
        <f t="shared" ca="1" si="845"/>
        <v>0</v>
      </c>
      <c r="S912">
        <f t="shared" ca="1" si="846"/>
        <v>0</v>
      </c>
    </row>
    <row r="913" spans="5:19" x14ac:dyDescent="0.75">
      <c r="E913">
        <v>908</v>
      </c>
      <c r="F913">
        <f t="shared" si="842"/>
        <v>100</v>
      </c>
      <c r="G913">
        <f t="shared" ca="1" si="843"/>
        <v>104.75586749780143</v>
      </c>
      <c r="H913">
        <f t="shared" ca="1" si="843"/>
        <v>101.68523296348181</v>
      </c>
      <c r="I913">
        <f t="shared" ca="1" si="843"/>
        <v>103.99928509463732</v>
      </c>
      <c r="J913">
        <f t="shared" ref="J913:P913" ca="1" si="848">I913*EXP(($C$6-0.5*$C$7^2)*$C$12+$C$7*SQRT($C$12)*NORMINV(RAND(),0,1))</f>
        <v>103.5716886070726</v>
      </c>
      <c r="K913">
        <f t="shared" ca="1" si="848"/>
        <v>98.479788381730259</v>
      </c>
      <c r="L913">
        <f t="shared" ca="1" si="848"/>
        <v>97.990788502445696</v>
      </c>
      <c r="M913">
        <f t="shared" ca="1" si="848"/>
        <v>101.04197089744193</v>
      </c>
      <c r="N913">
        <f t="shared" ca="1" si="848"/>
        <v>98.889663581630202</v>
      </c>
      <c r="O913">
        <f t="shared" ca="1" si="848"/>
        <v>97.759497189349673</v>
      </c>
      <c r="P913">
        <f t="shared" ca="1" si="848"/>
        <v>97.02378362173981</v>
      </c>
      <c r="Q913">
        <f t="shared" ca="1" si="844"/>
        <v>104.75586749780143</v>
      </c>
      <c r="R913">
        <f t="shared" ca="1" si="845"/>
        <v>0</v>
      </c>
      <c r="S913">
        <f t="shared" ca="1" si="846"/>
        <v>0</v>
      </c>
    </row>
    <row r="914" spans="5:19" x14ac:dyDescent="0.75">
      <c r="E914">
        <v>909</v>
      </c>
      <c r="F914">
        <f t="shared" si="842"/>
        <v>100</v>
      </c>
      <c r="G914">
        <f t="shared" ca="1" si="843"/>
        <v>100.59668337791554</v>
      </c>
      <c r="H914">
        <f t="shared" ca="1" si="843"/>
        <v>99.758947129795004</v>
      </c>
      <c r="I914">
        <f t="shared" ca="1" si="843"/>
        <v>101.60575840257812</v>
      </c>
      <c r="J914">
        <f t="shared" ref="J914:P914" ca="1" si="849">I914*EXP(($C$6-0.5*$C$7^2)*$C$12+$C$7*SQRT($C$12)*NORMINV(RAND(),0,1))</f>
        <v>104.66234754377679</v>
      </c>
      <c r="K914">
        <f t="shared" ca="1" si="849"/>
        <v>109.36555888118342</v>
      </c>
      <c r="L914">
        <f t="shared" ca="1" si="849"/>
        <v>106.61862019012996</v>
      </c>
      <c r="M914">
        <f t="shared" ca="1" si="849"/>
        <v>105.89162074925922</v>
      </c>
      <c r="N914">
        <f t="shared" ca="1" si="849"/>
        <v>108.69839534444803</v>
      </c>
      <c r="O914">
        <f t="shared" ca="1" si="849"/>
        <v>102.67239986088217</v>
      </c>
      <c r="P914">
        <f t="shared" ca="1" si="849"/>
        <v>102.60660664286721</v>
      </c>
      <c r="Q914">
        <f t="shared" ca="1" si="844"/>
        <v>109.36555888118342</v>
      </c>
      <c r="R914">
        <f t="shared" ca="1" si="845"/>
        <v>0.60660664286720589</v>
      </c>
      <c r="S914">
        <f t="shared" ca="1" si="846"/>
        <v>0.59162947149061673</v>
      </c>
    </row>
    <row r="915" spans="5:19" x14ac:dyDescent="0.75">
      <c r="E915">
        <v>910</v>
      </c>
      <c r="F915">
        <f t="shared" si="842"/>
        <v>100</v>
      </c>
      <c r="G915">
        <f t="shared" ca="1" si="843"/>
        <v>96.151776864460032</v>
      </c>
      <c r="H915">
        <f t="shared" ca="1" si="843"/>
        <v>96.522721001435144</v>
      </c>
      <c r="I915">
        <f t="shared" ca="1" si="843"/>
        <v>92.352666621711961</v>
      </c>
      <c r="J915">
        <f t="shared" ref="J915:P915" ca="1" si="850">I915*EXP(($C$6-0.5*$C$7^2)*$C$12+$C$7*SQRT($C$12)*NORMINV(RAND(),0,1))</f>
        <v>93.827225643901087</v>
      </c>
      <c r="K915">
        <f t="shared" ca="1" si="850"/>
        <v>90.255525454937001</v>
      </c>
      <c r="L915">
        <f t="shared" ca="1" si="850"/>
        <v>92.812960066317402</v>
      </c>
      <c r="M915">
        <f t="shared" ca="1" si="850"/>
        <v>86.339420113328487</v>
      </c>
      <c r="N915">
        <f t="shared" ca="1" si="850"/>
        <v>85.136271725328754</v>
      </c>
      <c r="O915">
        <f t="shared" ca="1" si="850"/>
        <v>82.887002143927106</v>
      </c>
      <c r="P915">
        <f t="shared" ca="1" si="850"/>
        <v>85.72304585165233</v>
      </c>
      <c r="Q915">
        <f t="shared" ca="1" si="844"/>
        <v>96.522721001435144</v>
      </c>
      <c r="R915">
        <f t="shared" ca="1" si="845"/>
        <v>0</v>
      </c>
      <c r="S915">
        <f t="shared" ca="1" si="846"/>
        <v>0</v>
      </c>
    </row>
    <row r="916" spans="5:19" x14ac:dyDescent="0.75">
      <c r="E916">
        <v>911</v>
      </c>
      <c r="F916">
        <f t="shared" si="842"/>
        <v>100</v>
      </c>
      <c r="G916">
        <f t="shared" ca="1" si="843"/>
        <v>101.86553065731418</v>
      </c>
      <c r="H916">
        <f t="shared" ca="1" si="843"/>
        <v>105.47787505905487</v>
      </c>
      <c r="I916">
        <f t="shared" ca="1" si="843"/>
        <v>102.44507187451316</v>
      </c>
      <c r="J916">
        <f t="shared" ref="J916:P916" ca="1" si="851">I916*EXP(($C$6-0.5*$C$7^2)*$C$12+$C$7*SQRT($C$12)*NORMINV(RAND(),0,1))</f>
        <v>101.77917998516887</v>
      </c>
      <c r="K916">
        <f t="shared" ca="1" si="851"/>
        <v>105.6435449512874</v>
      </c>
      <c r="L916">
        <f t="shared" ca="1" si="851"/>
        <v>101.73202725920859</v>
      </c>
      <c r="M916">
        <f t="shared" ca="1" si="851"/>
        <v>116.06260892190588</v>
      </c>
      <c r="N916">
        <f t="shared" ca="1" si="851"/>
        <v>114.20018785342536</v>
      </c>
      <c r="O916">
        <f t="shared" ca="1" si="851"/>
        <v>114.4042713757248</v>
      </c>
      <c r="P916">
        <f t="shared" ca="1" si="851"/>
        <v>119.9955090446412</v>
      </c>
      <c r="Q916">
        <f t="shared" ca="1" si="844"/>
        <v>119.9955090446412</v>
      </c>
      <c r="R916">
        <f t="shared" ca="1" si="845"/>
        <v>0</v>
      </c>
      <c r="S916">
        <f t="shared" ca="1" si="846"/>
        <v>0</v>
      </c>
    </row>
    <row r="917" spans="5:19" x14ac:dyDescent="0.75">
      <c r="E917">
        <v>912</v>
      </c>
      <c r="F917">
        <f t="shared" si="842"/>
        <v>100</v>
      </c>
      <c r="G917">
        <f t="shared" ca="1" si="843"/>
        <v>92.338332541171781</v>
      </c>
      <c r="H917">
        <f t="shared" ca="1" si="843"/>
        <v>96.715675879842422</v>
      </c>
      <c r="I917">
        <f t="shared" ca="1" si="843"/>
        <v>94.441126141972475</v>
      </c>
      <c r="J917">
        <f t="shared" ref="J917:P917" ca="1" si="852">I917*EXP(($C$6-0.5*$C$7^2)*$C$12+$C$7*SQRT($C$12)*NORMINV(RAND(),0,1))</f>
        <v>88.310154995364385</v>
      </c>
      <c r="K917">
        <f t="shared" ca="1" si="852"/>
        <v>93.140164865496331</v>
      </c>
      <c r="L917">
        <f t="shared" ca="1" si="852"/>
        <v>97.073491716001186</v>
      </c>
      <c r="M917">
        <f t="shared" ca="1" si="852"/>
        <v>95.912908689177542</v>
      </c>
      <c r="N917">
        <f t="shared" ca="1" si="852"/>
        <v>95.623556565180024</v>
      </c>
      <c r="O917">
        <f t="shared" ca="1" si="852"/>
        <v>103.4944549949831</v>
      </c>
      <c r="P917">
        <f t="shared" ca="1" si="852"/>
        <v>95.655328337105104</v>
      </c>
      <c r="Q917">
        <f t="shared" ca="1" si="844"/>
        <v>103.4944549949831</v>
      </c>
      <c r="R917">
        <f t="shared" ca="1" si="845"/>
        <v>0</v>
      </c>
      <c r="S917">
        <f t="shared" ca="1" si="846"/>
        <v>0</v>
      </c>
    </row>
    <row r="918" spans="5:19" x14ac:dyDescent="0.75">
      <c r="E918">
        <v>913</v>
      </c>
      <c r="F918">
        <f t="shared" si="842"/>
        <v>100</v>
      </c>
      <c r="G918">
        <f t="shared" ca="1" si="843"/>
        <v>99.901149574188764</v>
      </c>
      <c r="H918">
        <f t="shared" ca="1" si="843"/>
        <v>96.035610200154821</v>
      </c>
      <c r="I918">
        <f t="shared" ca="1" si="843"/>
        <v>98.256697860882255</v>
      </c>
      <c r="J918">
        <f t="shared" ref="J918:P918" ca="1" si="853">I918*EXP(($C$6-0.5*$C$7^2)*$C$12+$C$7*SQRT($C$12)*NORMINV(RAND(),0,1))</f>
        <v>95.480115760263502</v>
      </c>
      <c r="K918">
        <f t="shared" ca="1" si="853"/>
        <v>90.621115244949067</v>
      </c>
      <c r="L918">
        <f t="shared" ca="1" si="853"/>
        <v>91.610511426083363</v>
      </c>
      <c r="M918">
        <f t="shared" ca="1" si="853"/>
        <v>91.573495232403445</v>
      </c>
      <c r="N918">
        <f t="shared" ca="1" si="853"/>
        <v>93.148948095150743</v>
      </c>
      <c r="O918">
        <f t="shared" ca="1" si="853"/>
        <v>97.102857529456458</v>
      </c>
      <c r="P918">
        <f t="shared" ca="1" si="853"/>
        <v>98.820810144726266</v>
      </c>
      <c r="Q918">
        <f t="shared" ca="1" si="844"/>
        <v>99.901149574188764</v>
      </c>
      <c r="R918">
        <f t="shared" ca="1" si="845"/>
        <v>0</v>
      </c>
      <c r="S918">
        <f t="shared" ca="1" si="846"/>
        <v>0</v>
      </c>
    </row>
    <row r="919" spans="5:19" x14ac:dyDescent="0.75">
      <c r="E919">
        <v>914</v>
      </c>
      <c r="F919">
        <f t="shared" si="842"/>
        <v>100</v>
      </c>
      <c r="G919">
        <f t="shared" ca="1" si="843"/>
        <v>97.720333096387265</v>
      </c>
      <c r="H919">
        <f t="shared" ca="1" si="843"/>
        <v>103.23989711476963</v>
      </c>
      <c r="I919">
        <f t="shared" ca="1" si="843"/>
        <v>108.82433127316926</v>
      </c>
      <c r="J919">
        <f t="shared" ref="J919:P919" ca="1" si="854">I919*EXP(($C$6-0.5*$C$7^2)*$C$12+$C$7*SQRT($C$12)*NORMINV(RAND(),0,1))</f>
        <v>106.50057803423434</v>
      </c>
      <c r="K919">
        <f t="shared" ca="1" si="854"/>
        <v>105.91967589109727</v>
      </c>
      <c r="L919">
        <f t="shared" ca="1" si="854"/>
        <v>108.59261580450399</v>
      </c>
      <c r="M919">
        <f t="shared" ca="1" si="854"/>
        <v>103.08330058824734</v>
      </c>
      <c r="N919">
        <f t="shared" ca="1" si="854"/>
        <v>108.59549887312775</v>
      </c>
      <c r="O919">
        <f t="shared" ca="1" si="854"/>
        <v>113.00790458284928</v>
      </c>
      <c r="P919">
        <f t="shared" ca="1" si="854"/>
        <v>114.21385930634548</v>
      </c>
      <c r="Q919">
        <f t="shared" ca="1" si="844"/>
        <v>114.21385930634548</v>
      </c>
      <c r="R919">
        <f t="shared" ca="1" si="845"/>
        <v>0</v>
      </c>
      <c r="S919">
        <f t="shared" ca="1" si="846"/>
        <v>0</v>
      </c>
    </row>
    <row r="920" spans="5:19" x14ac:dyDescent="0.75">
      <c r="E920">
        <v>915</v>
      </c>
      <c r="F920">
        <f t="shared" si="842"/>
        <v>100</v>
      </c>
      <c r="G920">
        <f t="shared" ca="1" si="843"/>
        <v>97.325465483594513</v>
      </c>
      <c r="H920">
        <f t="shared" ca="1" si="843"/>
        <v>96.86147651041523</v>
      </c>
      <c r="I920">
        <f t="shared" ca="1" si="843"/>
        <v>92.233296281513006</v>
      </c>
      <c r="J920">
        <f t="shared" ref="J920:P920" ca="1" si="855">I920*EXP(($C$6-0.5*$C$7^2)*$C$12+$C$7*SQRT($C$12)*NORMINV(RAND(),0,1))</f>
        <v>88.666103683962007</v>
      </c>
      <c r="K920">
        <f t="shared" ca="1" si="855"/>
        <v>89.573260495825664</v>
      </c>
      <c r="L920">
        <f t="shared" ca="1" si="855"/>
        <v>86.124817439778482</v>
      </c>
      <c r="M920">
        <f t="shared" ca="1" si="855"/>
        <v>89.212774484275101</v>
      </c>
      <c r="N920">
        <f t="shared" ca="1" si="855"/>
        <v>88.20660023893457</v>
      </c>
      <c r="O920">
        <f t="shared" ca="1" si="855"/>
        <v>88.864858915761033</v>
      </c>
      <c r="P920">
        <f t="shared" ca="1" si="855"/>
        <v>87.240028370737363</v>
      </c>
      <c r="Q920">
        <f t="shared" ca="1" si="844"/>
        <v>97.325465483594513</v>
      </c>
      <c r="R920">
        <f t="shared" ca="1" si="845"/>
        <v>0</v>
      </c>
      <c r="S920">
        <f t="shared" ca="1" si="846"/>
        <v>0</v>
      </c>
    </row>
    <row r="921" spans="5:19" x14ac:dyDescent="0.75">
      <c r="E921">
        <v>916</v>
      </c>
      <c r="F921">
        <f t="shared" si="842"/>
        <v>100</v>
      </c>
      <c r="G921">
        <f t="shared" ca="1" si="843"/>
        <v>105.19951225992219</v>
      </c>
      <c r="H921">
        <f t="shared" ca="1" si="843"/>
        <v>102.49410035700399</v>
      </c>
      <c r="I921">
        <f t="shared" ca="1" si="843"/>
        <v>104.56588378917255</v>
      </c>
      <c r="J921">
        <f t="shared" ref="J921:P921" ca="1" si="856">I921*EXP(($C$6-0.5*$C$7^2)*$C$12+$C$7*SQRT($C$12)*NORMINV(RAND(),0,1))</f>
        <v>102.25443184362882</v>
      </c>
      <c r="K921">
        <f t="shared" ca="1" si="856"/>
        <v>101.31655348203176</v>
      </c>
      <c r="L921">
        <f t="shared" ca="1" si="856"/>
        <v>99.761409239094093</v>
      </c>
      <c r="M921">
        <f t="shared" ca="1" si="856"/>
        <v>97.969909816276669</v>
      </c>
      <c r="N921">
        <f t="shared" ca="1" si="856"/>
        <v>100.07919152577034</v>
      </c>
      <c r="O921">
        <f t="shared" ca="1" si="856"/>
        <v>101.84728846520433</v>
      </c>
      <c r="P921">
        <f t="shared" ca="1" si="856"/>
        <v>102.86432524673462</v>
      </c>
      <c r="Q921">
        <f t="shared" ca="1" si="844"/>
        <v>105.19951225992219</v>
      </c>
      <c r="R921">
        <f t="shared" ca="1" si="845"/>
        <v>0.86432524673462297</v>
      </c>
      <c r="S921">
        <f t="shared" ca="1" si="846"/>
        <v>0.84298498035661196</v>
      </c>
    </row>
    <row r="922" spans="5:19" x14ac:dyDescent="0.75">
      <c r="E922">
        <v>917</v>
      </c>
      <c r="F922">
        <f t="shared" si="842"/>
        <v>100</v>
      </c>
      <c r="G922">
        <f t="shared" ca="1" si="843"/>
        <v>96.177958733093533</v>
      </c>
      <c r="H922">
        <f t="shared" ca="1" si="843"/>
        <v>94.942832420086674</v>
      </c>
      <c r="I922">
        <f t="shared" ca="1" si="843"/>
        <v>100.79321347391982</v>
      </c>
      <c r="J922">
        <f t="shared" ref="J922:P922" ca="1" si="857">I922*EXP(($C$6-0.5*$C$7^2)*$C$12+$C$7*SQRT($C$12)*NORMINV(RAND(),0,1))</f>
        <v>92.619017453957937</v>
      </c>
      <c r="K922">
        <f t="shared" ca="1" si="857"/>
        <v>93.749615101940392</v>
      </c>
      <c r="L922">
        <f t="shared" ca="1" si="857"/>
        <v>86.907995833816031</v>
      </c>
      <c r="M922">
        <f t="shared" ca="1" si="857"/>
        <v>92.024264987627703</v>
      </c>
      <c r="N922">
        <f t="shared" ca="1" si="857"/>
        <v>92.843258787027182</v>
      </c>
      <c r="O922">
        <f t="shared" ca="1" si="857"/>
        <v>89.95443585131359</v>
      </c>
      <c r="P922">
        <f t="shared" ca="1" si="857"/>
        <v>86.223836031004012</v>
      </c>
      <c r="Q922">
        <f t="shared" ca="1" si="844"/>
        <v>100.79321347391982</v>
      </c>
      <c r="R922">
        <f t="shared" ca="1" si="845"/>
        <v>0</v>
      </c>
      <c r="S922">
        <f t="shared" ca="1" si="846"/>
        <v>0</v>
      </c>
    </row>
    <row r="923" spans="5:19" x14ac:dyDescent="0.75">
      <c r="E923">
        <v>918</v>
      </c>
      <c r="F923">
        <f t="shared" si="842"/>
        <v>100</v>
      </c>
      <c r="G923">
        <f t="shared" ca="1" si="843"/>
        <v>96.524170153415952</v>
      </c>
      <c r="H923">
        <f t="shared" ca="1" si="843"/>
        <v>97.957798023100835</v>
      </c>
      <c r="I923">
        <f t="shared" ca="1" si="843"/>
        <v>99.254738137933671</v>
      </c>
      <c r="J923">
        <f t="shared" ref="J923:P923" ca="1" si="858">I923*EXP(($C$6-0.5*$C$7^2)*$C$12+$C$7*SQRT($C$12)*NORMINV(RAND(),0,1))</f>
        <v>96.124894577344392</v>
      </c>
      <c r="K923">
        <f t="shared" ca="1" si="858"/>
        <v>93.559971385044321</v>
      </c>
      <c r="L923">
        <f t="shared" ca="1" si="858"/>
        <v>91.74535345568485</v>
      </c>
      <c r="M923">
        <f t="shared" ca="1" si="858"/>
        <v>90.531534528896202</v>
      </c>
      <c r="N923">
        <f t="shared" ca="1" si="858"/>
        <v>91.799759008685612</v>
      </c>
      <c r="O923">
        <f t="shared" ca="1" si="858"/>
        <v>94.90448844751478</v>
      </c>
      <c r="P923">
        <f t="shared" ca="1" si="858"/>
        <v>101.741528577165</v>
      </c>
      <c r="Q923">
        <f t="shared" ca="1" si="844"/>
        <v>101.741528577165</v>
      </c>
      <c r="R923">
        <f t="shared" ca="1" si="845"/>
        <v>0</v>
      </c>
      <c r="S923">
        <f t="shared" ca="1" si="846"/>
        <v>0</v>
      </c>
    </row>
    <row r="924" spans="5:19" x14ac:dyDescent="0.75">
      <c r="E924">
        <v>919</v>
      </c>
      <c r="F924">
        <f t="shared" si="842"/>
        <v>100</v>
      </c>
      <c r="G924">
        <f t="shared" ca="1" si="843"/>
        <v>100.8962796577045</v>
      </c>
      <c r="H924">
        <f t="shared" ca="1" si="843"/>
        <v>100.01104081721714</v>
      </c>
      <c r="I924">
        <f t="shared" ca="1" si="843"/>
        <v>99.393172673307944</v>
      </c>
      <c r="J924">
        <f t="shared" ref="J924:P924" ca="1" si="859">I924*EXP(($C$6-0.5*$C$7^2)*$C$12+$C$7*SQRT($C$12)*NORMINV(RAND(),0,1))</f>
        <v>101.41122269968903</v>
      </c>
      <c r="K924">
        <f t="shared" ca="1" si="859"/>
        <v>102.39198294346085</v>
      </c>
      <c r="L924">
        <f t="shared" ca="1" si="859"/>
        <v>104.03368465401427</v>
      </c>
      <c r="M924">
        <f t="shared" ca="1" si="859"/>
        <v>111.82525795798702</v>
      </c>
      <c r="N924">
        <f t="shared" ca="1" si="859"/>
        <v>114.94461628853962</v>
      </c>
      <c r="O924">
        <f t="shared" ca="1" si="859"/>
        <v>100.14535299015672</v>
      </c>
      <c r="P924">
        <f t="shared" ca="1" si="859"/>
        <v>98.35465984933758</v>
      </c>
      <c r="Q924">
        <f t="shared" ca="1" si="844"/>
        <v>114.94461628853962</v>
      </c>
      <c r="R924">
        <f t="shared" ca="1" si="845"/>
        <v>0</v>
      </c>
      <c r="S924">
        <f t="shared" ca="1" si="846"/>
        <v>0</v>
      </c>
    </row>
    <row r="925" spans="5:19" x14ac:dyDescent="0.75">
      <c r="E925">
        <v>920</v>
      </c>
      <c r="F925">
        <f t="shared" si="842"/>
        <v>100</v>
      </c>
      <c r="G925">
        <f t="shared" ca="1" si="843"/>
        <v>100.56963147106461</v>
      </c>
      <c r="H925">
        <f t="shared" ca="1" si="843"/>
        <v>106.32054334644114</v>
      </c>
      <c r="I925">
        <f t="shared" ca="1" si="843"/>
        <v>103.67762772210789</v>
      </c>
      <c r="J925">
        <f t="shared" ref="J925:P925" ca="1" si="860">I925*EXP(($C$6-0.5*$C$7^2)*$C$12+$C$7*SQRT($C$12)*NORMINV(RAND(),0,1))</f>
        <v>108.63737882052708</v>
      </c>
      <c r="K925">
        <f t="shared" ca="1" si="860"/>
        <v>106.07915390928878</v>
      </c>
      <c r="L925">
        <f t="shared" ca="1" si="860"/>
        <v>109.09201636137887</v>
      </c>
      <c r="M925">
        <f t="shared" ca="1" si="860"/>
        <v>106.37504786179045</v>
      </c>
      <c r="N925">
        <f t="shared" ca="1" si="860"/>
        <v>111.3294757465648</v>
      </c>
      <c r="O925">
        <f t="shared" ca="1" si="860"/>
        <v>113.15401896389088</v>
      </c>
      <c r="P925">
        <f t="shared" ca="1" si="860"/>
        <v>110.99704813129337</v>
      </c>
      <c r="Q925">
        <f t="shared" ca="1" si="844"/>
        <v>113.15401896389088</v>
      </c>
      <c r="R925">
        <f t="shared" ca="1" si="845"/>
        <v>0</v>
      </c>
      <c r="S925">
        <f t="shared" ca="1" si="846"/>
        <v>0</v>
      </c>
    </row>
    <row r="926" spans="5:19" x14ac:dyDescent="0.75">
      <c r="E926">
        <v>921</v>
      </c>
      <c r="F926">
        <f t="shared" si="842"/>
        <v>100</v>
      </c>
      <c r="G926">
        <f t="shared" ca="1" si="843"/>
        <v>94.312385725426608</v>
      </c>
      <c r="H926">
        <f t="shared" ca="1" si="843"/>
        <v>92.63359187185965</v>
      </c>
      <c r="I926">
        <f t="shared" ca="1" si="843"/>
        <v>94.562964011366205</v>
      </c>
      <c r="J926">
        <f t="shared" ref="J926:P926" ca="1" si="861">I926*EXP(($C$6-0.5*$C$7^2)*$C$12+$C$7*SQRT($C$12)*NORMINV(RAND(),0,1))</f>
        <v>90.629425068633509</v>
      </c>
      <c r="K926">
        <f t="shared" ca="1" si="861"/>
        <v>91.31995153423685</v>
      </c>
      <c r="L926">
        <f t="shared" ca="1" si="861"/>
        <v>91.000087771932158</v>
      </c>
      <c r="M926">
        <f t="shared" ca="1" si="861"/>
        <v>97.454135394130219</v>
      </c>
      <c r="N926">
        <f t="shared" ca="1" si="861"/>
        <v>97.606542965361413</v>
      </c>
      <c r="O926">
        <f t="shared" ca="1" si="861"/>
        <v>96.589586425575163</v>
      </c>
      <c r="P926">
        <f t="shared" ca="1" si="861"/>
        <v>100.17765013487022</v>
      </c>
      <c r="Q926">
        <f t="shared" ca="1" si="844"/>
        <v>100.17765013487022</v>
      </c>
      <c r="R926">
        <f t="shared" ca="1" si="845"/>
        <v>0</v>
      </c>
      <c r="S926">
        <f t="shared" ca="1" si="846"/>
        <v>0</v>
      </c>
    </row>
    <row r="927" spans="5:19" x14ac:dyDescent="0.75">
      <c r="E927">
        <v>922</v>
      </c>
      <c r="F927">
        <f t="shared" si="842"/>
        <v>100</v>
      </c>
      <c r="G927">
        <f t="shared" ca="1" si="843"/>
        <v>97.515909264738582</v>
      </c>
      <c r="H927">
        <f t="shared" ca="1" si="843"/>
        <v>97.81914289366992</v>
      </c>
      <c r="I927">
        <f t="shared" ca="1" si="843"/>
        <v>96.055534987686428</v>
      </c>
      <c r="J927">
        <f t="shared" ref="J927:P927" ca="1" si="862">I927*EXP(($C$6-0.5*$C$7^2)*$C$12+$C$7*SQRT($C$12)*NORMINV(RAND(),0,1))</f>
        <v>101.24847487797271</v>
      </c>
      <c r="K927">
        <f t="shared" ca="1" si="862"/>
        <v>97.988413480794719</v>
      </c>
      <c r="L927">
        <f t="shared" ca="1" si="862"/>
        <v>96.935666144862438</v>
      </c>
      <c r="M927">
        <f t="shared" ca="1" si="862"/>
        <v>101.75973200676991</v>
      </c>
      <c r="N927">
        <f t="shared" ca="1" si="862"/>
        <v>103.14130025639362</v>
      </c>
      <c r="O927">
        <f t="shared" ca="1" si="862"/>
        <v>103.91768346187808</v>
      </c>
      <c r="P927">
        <f t="shared" ca="1" si="862"/>
        <v>99.926031284665967</v>
      </c>
      <c r="Q927">
        <f t="shared" ca="1" si="844"/>
        <v>103.91768346187808</v>
      </c>
      <c r="R927">
        <f t="shared" ca="1" si="845"/>
        <v>0</v>
      </c>
      <c r="S927">
        <f t="shared" ca="1" si="846"/>
        <v>0</v>
      </c>
    </row>
    <row r="928" spans="5:19" x14ac:dyDescent="0.75">
      <c r="E928">
        <v>923</v>
      </c>
      <c r="F928">
        <f t="shared" si="842"/>
        <v>100</v>
      </c>
      <c r="G928">
        <f t="shared" ca="1" si="843"/>
        <v>96.687919576235586</v>
      </c>
      <c r="H928">
        <f t="shared" ca="1" si="843"/>
        <v>101.43082342776739</v>
      </c>
      <c r="I928">
        <f t="shared" ca="1" si="843"/>
        <v>96.06131019517305</v>
      </c>
      <c r="J928">
        <f t="shared" ref="J928:P928" ca="1" si="863">I928*EXP(($C$6-0.5*$C$7^2)*$C$12+$C$7*SQRT($C$12)*NORMINV(RAND(),0,1))</f>
        <v>92.087199966898865</v>
      </c>
      <c r="K928">
        <f t="shared" ca="1" si="863"/>
        <v>95.11431000534732</v>
      </c>
      <c r="L928">
        <f t="shared" ca="1" si="863"/>
        <v>96.403636670727863</v>
      </c>
      <c r="M928">
        <f t="shared" ca="1" si="863"/>
        <v>100.28568887260464</v>
      </c>
      <c r="N928">
        <f t="shared" ca="1" si="863"/>
        <v>92.578308313545847</v>
      </c>
      <c r="O928">
        <f t="shared" ca="1" si="863"/>
        <v>90.153140362666662</v>
      </c>
      <c r="P928">
        <f t="shared" ca="1" si="863"/>
        <v>97.04900908411966</v>
      </c>
      <c r="Q928">
        <f t="shared" ca="1" si="844"/>
        <v>101.43082342776739</v>
      </c>
      <c r="R928">
        <f t="shared" ca="1" si="845"/>
        <v>0</v>
      </c>
      <c r="S928">
        <f t="shared" ca="1" si="846"/>
        <v>0</v>
      </c>
    </row>
    <row r="929" spans="5:19" x14ac:dyDescent="0.75">
      <c r="E929">
        <v>924</v>
      </c>
      <c r="F929">
        <f t="shared" si="842"/>
        <v>100</v>
      </c>
      <c r="G929">
        <f t="shared" ca="1" si="843"/>
        <v>96.598578783930549</v>
      </c>
      <c r="H929">
        <f t="shared" ca="1" si="843"/>
        <v>99.321725471378542</v>
      </c>
      <c r="I929">
        <f t="shared" ca="1" si="843"/>
        <v>107.64884851654881</v>
      </c>
      <c r="J929">
        <f t="shared" ref="J929:P929" ca="1" si="864">I929*EXP(($C$6-0.5*$C$7^2)*$C$12+$C$7*SQRT($C$12)*NORMINV(RAND(),0,1))</f>
        <v>103.28958680740972</v>
      </c>
      <c r="K929">
        <f t="shared" ca="1" si="864"/>
        <v>108.44938668488007</v>
      </c>
      <c r="L929">
        <f t="shared" ca="1" si="864"/>
        <v>104.8047543970785</v>
      </c>
      <c r="M929">
        <f t="shared" ca="1" si="864"/>
        <v>105.30289861184913</v>
      </c>
      <c r="N929">
        <f t="shared" ca="1" si="864"/>
        <v>106.04998962217424</v>
      </c>
      <c r="O929">
        <f t="shared" ca="1" si="864"/>
        <v>104.59428556714951</v>
      </c>
      <c r="P929">
        <f t="shared" ca="1" si="864"/>
        <v>106.40156598310426</v>
      </c>
      <c r="Q929">
        <f t="shared" ca="1" si="844"/>
        <v>108.44938668488007</v>
      </c>
      <c r="R929">
        <f t="shared" ca="1" si="845"/>
        <v>4.4015659831042626</v>
      </c>
      <c r="S929">
        <f t="shared" ca="1" si="846"/>
        <v>4.2928909317683202</v>
      </c>
    </row>
    <row r="930" spans="5:19" x14ac:dyDescent="0.75">
      <c r="E930">
        <v>925</v>
      </c>
      <c r="F930">
        <f t="shared" si="842"/>
        <v>100</v>
      </c>
      <c r="G930">
        <f t="shared" ca="1" si="843"/>
        <v>104.8215711290172</v>
      </c>
      <c r="H930">
        <f t="shared" ca="1" si="843"/>
        <v>110.41942753328257</v>
      </c>
      <c r="I930">
        <f t="shared" ca="1" si="843"/>
        <v>108.76674030324679</v>
      </c>
      <c r="J930">
        <f t="shared" ref="J930:P930" ca="1" si="865">I930*EXP(($C$6-0.5*$C$7^2)*$C$12+$C$7*SQRT($C$12)*NORMINV(RAND(),0,1))</f>
        <v>115.24160424528657</v>
      </c>
      <c r="K930">
        <f t="shared" ca="1" si="865"/>
        <v>112.83961325251353</v>
      </c>
      <c r="L930">
        <f t="shared" ca="1" si="865"/>
        <v>115.41817847742873</v>
      </c>
      <c r="M930">
        <f t="shared" ca="1" si="865"/>
        <v>122.52441166117642</v>
      </c>
      <c r="N930">
        <f t="shared" ca="1" si="865"/>
        <v>124.67538521519523</v>
      </c>
      <c r="O930">
        <f t="shared" ca="1" si="865"/>
        <v>133.7565994711571</v>
      </c>
      <c r="P930">
        <f t="shared" ca="1" si="865"/>
        <v>126.93189389741482</v>
      </c>
      <c r="Q930">
        <f t="shared" ca="1" si="844"/>
        <v>133.7565994711571</v>
      </c>
      <c r="R930">
        <f t="shared" ca="1" si="845"/>
        <v>0</v>
      </c>
      <c r="S930">
        <f t="shared" ca="1" si="846"/>
        <v>0</v>
      </c>
    </row>
    <row r="931" spans="5:19" x14ac:dyDescent="0.75">
      <c r="E931">
        <v>926</v>
      </c>
      <c r="F931">
        <f t="shared" si="842"/>
        <v>100</v>
      </c>
      <c r="G931">
        <f t="shared" ca="1" si="843"/>
        <v>104.78706329639991</v>
      </c>
      <c r="H931">
        <f t="shared" ca="1" si="843"/>
        <v>102.95567842780234</v>
      </c>
      <c r="I931">
        <f t="shared" ca="1" si="843"/>
        <v>103.26070914840435</v>
      </c>
      <c r="J931">
        <f t="shared" ref="J931:P931" ca="1" si="866">I931*EXP(($C$6-0.5*$C$7^2)*$C$12+$C$7*SQRT($C$12)*NORMINV(RAND(),0,1))</f>
        <v>108.07716795233922</v>
      </c>
      <c r="K931">
        <f t="shared" ca="1" si="866"/>
        <v>109.19831377687305</v>
      </c>
      <c r="L931">
        <f t="shared" ca="1" si="866"/>
        <v>106.5917427469694</v>
      </c>
      <c r="M931">
        <f t="shared" ca="1" si="866"/>
        <v>106.33741825604962</v>
      </c>
      <c r="N931">
        <f t="shared" ca="1" si="866"/>
        <v>112.26584884095602</v>
      </c>
      <c r="O931">
        <f t="shared" ca="1" si="866"/>
        <v>119.71569344700532</v>
      </c>
      <c r="P931">
        <f t="shared" ca="1" si="866"/>
        <v>120.90438263752526</v>
      </c>
      <c r="Q931">
        <f t="shared" ca="1" si="844"/>
        <v>120.90438263752526</v>
      </c>
      <c r="R931">
        <f t="shared" ca="1" si="845"/>
        <v>0</v>
      </c>
      <c r="S931">
        <f t="shared" ca="1" si="846"/>
        <v>0</v>
      </c>
    </row>
    <row r="932" spans="5:19" x14ac:dyDescent="0.75">
      <c r="E932">
        <v>927</v>
      </c>
      <c r="F932">
        <f t="shared" si="842"/>
        <v>100</v>
      </c>
      <c r="G932">
        <f t="shared" ca="1" si="843"/>
        <v>108.67111876574403</v>
      </c>
      <c r="H932">
        <f t="shared" ca="1" si="843"/>
        <v>115.33576065591004</v>
      </c>
      <c r="I932">
        <f t="shared" ca="1" si="843"/>
        <v>115.3655257672213</v>
      </c>
      <c r="J932">
        <f t="shared" ref="J932:P932" ca="1" si="867">I932*EXP(($C$6-0.5*$C$7^2)*$C$12+$C$7*SQRT($C$12)*NORMINV(RAND(),0,1))</f>
        <v>117.37851939703663</v>
      </c>
      <c r="K932">
        <f t="shared" ca="1" si="867"/>
        <v>117.67937217325419</v>
      </c>
      <c r="L932">
        <f t="shared" ca="1" si="867"/>
        <v>120.83517825209785</v>
      </c>
      <c r="M932">
        <f t="shared" ca="1" si="867"/>
        <v>129.05201789022863</v>
      </c>
      <c r="N932">
        <f t="shared" ca="1" si="867"/>
        <v>125.84641507849459</v>
      </c>
      <c r="O932">
        <f t="shared" ca="1" si="867"/>
        <v>121.2315812934053</v>
      </c>
      <c r="P932">
        <f t="shared" ca="1" si="867"/>
        <v>122.46397298587476</v>
      </c>
      <c r="Q932">
        <f t="shared" ca="1" si="844"/>
        <v>129.05201789022863</v>
      </c>
      <c r="R932">
        <f t="shared" ca="1" si="845"/>
        <v>0</v>
      </c>
      <c r="S932">
        <f t="shared" ca="1" si="846"/>
        <v>0</v>
      </c>
    </row>
    <row r="933" spans="5:19" x14ac:dyDescent="0.75">
      <c r="E933">
        <v>928</v>
      </c>
      <c r="F933">
        <f t="shared" si="842"/>
        <v>100</v>
      </c>
      <c r="G933">
        <f t="shared" ca="1" si="843"/>
        <v>101.58362459361192</v>
      </c>
      <c r="H933">
        <f t="shared" ca="1" si="843"/>
        <v>97.930946210366557</v>
      </c>
      <c r="I933">
        <f t="shared" ca="1" si="843"/>
        <v>98.090630926281619</v>
      </c>
      <c r="J933">
        <f t="shared" ref="J933:P933" ca="1" si="868">I933*EXP(($C$6-0.5*$C$7^2)*$C$12+$C$7*SQRT($C$12)*NORMINV(RAND(),0,1))</f>
        <v>96.33027200549779</v>
      </c>
      <c r="K933">
        <f t="shared" ca="1" si="868"/>
        <v>93.731654573458471</v>
      </c>
      <c r="L933">
        <f t="shared" ca="1" si="868"/>
        <v>94.268056981290783</v>
      </c>
      <c r="M933">
        <f t="shared" ca="1" si="868"/>
        <v>90.04778127152106</v>
      </c>
      <c r="N933">
        <f t="shared" ca="1" si="868"/>
        <v>91.484800849198052</v>
      </c>
      <c r="O933">
        <f t="shared" ca="1" si="868"/>
        <v>94.668925466417008</v>
      </c>
      <c r="P933">
        <f t="shared" ca="1" si="868"/>
        <v>104.41179325228981</v>
      </c>
      <c r="Q933">
        <f t="shared" ca="1" si="844"/>
        <v>104.41179325228981</v>
      </c>
      <c r="R933">
        <f t="shared" ca="1" si="845"/>
        <v>2.4117932522898116</v>
      </c>
      <c r="S933">
        <f t="shared" ca="1" si="846"/>
        <v>2.3522458647213025</v>
      </c>
    </row>
    <row r="934" spans="5:19" x14ac:dyDescent="0.75">
      <c r="E934">
        <v>929</v>
      </c>
      <c r="F934">
        <f t="shared" si="842"/>
        <v>100</v>
      </c>
      <c r="G934">
        <f t="shared" ca="1" si="843"/>
        <v>99.350431016220256</v>
      </c>
      <c r="H934">
        <f t="shared" ca="1" si="843"/>
        <v>99.269062566572345</v>
      </c>
      <c r="I934">
        <f t="shared" ca="1" si="843"/>
        <v>97.373540400191544</v>
      </c>
      <c r="J934">
        <f t="shared" ref="J934:P934" ca="1" si="869">I934*EXP(($C$6-0.5*$C$7^2)*$C$12+$C$7*SQRT($C$12)*NORMINV(RAND(),0,1))</f>
        <v>101.1045354464199</v>
      </c>
      <c r="K934">
        <f t="shared" ca="1" si="869"/>
        <v>108.61250825568321</v>
      </c>
      <c r="L934">
        <f t="shared" ca="1" si="869"/>
        <v>104.28389992484703</v>
      </c>
      <c r="M934">
        <f t="shared" ca="1" si="869"/>
        <v>106.01205406689127</v>
      </c>
      <c r="N934">
        <f t="shared" ca="1" si="869"/>
        <v>107.30678862485951</v>
      </c>
      <c r="O934">
        <f t="shared" ca="1" si="869"/>
        <v>104.89495476213521</v>
      </c>
      <c r="P934">
        <f t="shared" ca="1" si="869"/>
        <v>101.22243499707756</v>
      </c>
      <c r="Q934">
        <f t="shared" ca="1" si="844"/>
        <v>108.61250825568321</v>
      </c>
      <c r="R934">
        <f t="shared" ca="1" si="845"/>
        <v>0</v>
      </c>
      <c r="S934">
        <f t="shared" ca="1" si="846"/>
        <v>0</v>
      </c>
    </row>
    <row r="935" spans="5:19" x14ac:dyDescent="0.75">
      <c r="E935">
        <v>930</v>
      </c>
      <c r="F935">
        <f t="shared" si="842"/>
        <v>100</v>
      </c>
      <c r="G935">
        <f t="shared" ca="1" si="843"/>
        <v>95.673859297718849</v>
      </c>
      <c r="H935">
        <f t="shared" ca="1" si="843"/>
        <v>99.949132487697682</v>
      </c>
      <c r="I935">
        <f t="shared" ca="1" si="843"/>
        <v>101.85002064325535</v>
      </c>
      <c r="J935">
        <f t="shared" ref="J935:P935" ca="1" si="870">I935*EXP(($C$6-0.5*$C$7^2)*$C$12+$C$7*SQRT($C$12)*NORMINV(RAND(),0,1))</f>
        <v>99.210933947842491</v>
      </c>
      <c r="K935">
        <f t="shared" ca="1" si="870"/>
        <v>104.03283988246709</v>
      </c>
      <c r="L935">
        <f t="shared" ca="1" si="870"/>
        <v>98.475667449879055</v>
      </c>
      <c r="M935">
        <f t="shared" ca="1" si="870"/>
        <v>93.86561136479709</v>
      </c>
      <c r="N935">
        <f t="shared" ca="1" si="870"/>
        <v>89.374782445975086</v>
      </c>
      <c r="O935">
        <f t="shared" ca="1" si="870"/>
        <v>89.608535226812776</v>
      </c>
      <c r="P935">
        <f t="shared" ca="1" si="870"/>
        <v>90.915616233928404</v>
      </c>
      <c r="Q935">
        <f t="shared" ca="1" si="844"/>
        <v>104.03283988246709</v>
      </c>
      <c r="R935">
        <f t="shared" ca="1" si="845"/>
        <v>0</v>
      </c>
      <c r="S935">
        <f t="shared" ca="1" si="846"/>
        <v>0</v>
      </c>
    </row>
    <row r="936" spans="5:19" x14ac:dyDescent="0.75">
      <c r="E936">
        <v>931</v>
      </c>
      <c r="F936">
        <f t="shared" si="842"/>
        <v>100</v>
      </c>
      <c r="G936">
        <f t="shared" ca="1" si="843"/>
        <v>99.720169301298455</v>
      </c>
      <c r="H936">
        <f t="shared" ca="1" si="843"/>
        <v>98.893716617220832</v>
      </c>
      <c r="I936">
        <f t="shared" ca="1" si="843"/>
        <v>98.275738802014274</v>
      </c>
      <c r="J936">
        <f t="shared" ref="J936:P936" ca="1" si="871">I936*EXP(($C$6-0.5*$C$7^2)*$C$12+$C$7*SQRT($C$12)*NORMINV(RAND(),0,1))</f>
        <v>106.31576905518381</v>
      </c>
      <c r="K936">
        <f t="shared" ca="1" si="871"/>
        <v>110.17396162690706</v>
      </c>
      <c r="L936">
        <f t="shared" ca="1" si="871"/>
        <v>110.00085901165407</v>
      </c>
      <c r="M936">
        <f t="shared" ca="1" si="871"/>
        <v>110.41541591648675</v>
      </c>
      <c r="N936">
        <f t="shared" ca="1" si="871"/>
        <v>114.53664949842234</v>
      </c>
      <c r="O936">
        <f t="shared" ca="1" si="871"/>
        <v>115.35071337465715</v>
      </c>
      <c r="P936">
        <f t="shared" ca="1" si="871"/>
        <v>114.53649904707697</v>
      </c>
      <c r="Q936">
        <f t="shared" ca="1" si="844"/>
        <v>115.35071337465715</v>
      </c>
      <c r="R936">
        <f t="shared" ca="1" si="845"/>
        <v>0</v>
      </c>
      <c r="S936">
        <f t="shared" ca="1" si="846"/>
        <v>0</v>
      </c>
    </row>
    <row r="937" spans="5:19" x14ac:dyDescent="0.75">
      <c r="E937">
        <v>932</v>
      </c>
      <c r="F937">
        <f t="shared" si="842"/>
        <v>100</v>
      </c>
      <c r="G937">
        <f t="shared" ca="1" si="843"/>
        <v>98.84410892442375</v>
      </c>
      <c r="H937">
        <f t="shared" ca="1" si="843"/>
        <v>102.46637289386544</v>
      </c>
      <c r="I937">
        <f t="shared" ca="1" si="843"/>
        <v>104.85412616445178</v>
      </c>
      <c r="J937">
        <f t="shared" ref="J937:P937" ca="1" si="872">I937*EXP(($C$6-0.5*$C$7^2)*$C$12+$C$7*SQRT($C$12)*NORMINV(RAND(),0,1))</f>
        <v>114.99508926894443</v>
      </c>
      <c r="K937">
        <f t="shared" ca="1" si="872"/>
        <v>126.77076522208637</v>
      </c>
      <c r="L937">
        <f t="shared" ca="1" si="872"/>
        <v>117.39038954394097</v>
      </c>
      <c r="M937">
        <f t="shared" ca="1" si="872"/>
        <v>124.92970443939068</v>
      </c>
      <c r="N937">
        <f t="shared" ca="1" si="872"/>
        <v>118.59446989868599</v>
      </c>
      <c r="O937">
        <f t="shared" ca="1" si="872"/>
        <v>121.26272482406556</v>
      </c>
      <c r="P937">
        <f t="shared" ca="1" si="872"/>
        <v>118.69490974618959</v>
      </c>
      <c r="Q937">
        <f t="shared" ca="1" si="844"/>
        <v>126.77076522208637</v>
      </c>
      <c r="R937">
        <f t="shared" ca="1" si="845"/>
        <v>0</v>
      </c>
      <c r="S937">
        <f t="shared" ca="1" si="846"/>
        <v>0</v>
      </c>
    </row>
    <row r="938" spans="5:19" x14ac:dyDescent="0.75">
      <c r="E938">
        <v>933</v>
      </c>
      <c r="F938">
        <f t="shared" si="842"/>
        <v>100</v>
      </c>
      <c r="G938">
        <f t="shared" ca="1" si="843"/>
        <v>106.39376094247727</v>
      </c>
      <c r="H938">
        <f t="shared" ca="1" si="843"/>
        <v>102.49712912929236</v>
      </c>
      <c r="I938">
        <f t="shared" ca="1" si="843"/>
        <v>97.190051904695338</v>
      </c>
      <c r="J938">
        <f t="shared" ref="J938:P938" ca="1" si="873">I938*EXP(($C$6-0.5*$C$7^2)*$C$12+$C$7*SQRT($C$12)*NORMINV(RAND(),0,1))</f>
        <v>95.564927396626544</v>
      </c>
      <c r="K938">
        <f t="shared" ca="1" si="873"/>
        <v>92.207043837302848</v>
      </c>
      <c r="L938">
        <f t="shared" ca="1" si="873"/>
        <v>89.140198914272233</v>
      </c>
      <c r="M938">
        <f t="shared" ca="1" si="873"/>
        <v>82.529810360718827</v>
      </c>
      <c r="N938">
        <f t="shared" ca="1" si="873"/>
        <v>84.717952581592542</v>
      </c>
      <c r="O938">
        <f t="shared" ca="1" si="873"/>
        <v>83.881999262651291</v>
      </c>
      <c r="P938">
        <f t="shared" ca="1" si="873"/>
        <v>82.667900340393373</v>
      </c>
      <c r="Q938">
        <f t="shared" ca="1" si="844"/>
        <v>106.39376094247727</v>
      </c>
      <c r="R938">
        <f t="shared" ca="1" si="845"/>
        <v>0</v>
      </c>
      <c r="S938">
        <f t="shared" ca="1" si="846"/>
        <v>0</v>
      </c>
    </row>
    <row r="939" spans="5:19" x14ac:dyDescent="0.75">
      <c r="E939">
        <v>934</v>
      </c>
      <c r="F939">
        <f t="shared" si="842"/>
        <v>100</v>
      </c>
      <c r="G939">
        <f t="shared" ca="1" si="843"/>
        <v>106.32152374659614</v>
      </c>
      <c r="H939">
        <f t="shared" ca="1" si="843"/>
        <v>113.28687532636076</v>
      </c>
      <c r="I939">
        <f t="shared" ca="1" si="843"/>
        <v>116.84180871922337</v>
      </c>
      <c r="J939">
        <f t="shared" ref="J939:P939" ca="1" si="874">I939*EXP(($C$6-0.5*$C$7^2)*$C$12+$C$7*SQRT($C$12)*NORMINV(RAND(),0,1))</f>
        <v>118.84931733353427</v>
      </c>
      <c r="K939">
        <f t="shared" ca="1" si="874"/>
        <v>115.20356660332904</v>
      </c>
      <c r="L939">
        <f t="shared" ca="1" si="874"/>
        <v>115.86555325715987</v>
      </c>
      <c r="M939">
        <f t="shared" ca="1" si="874"/>
        <v>110.65469804716204</v>
      </c>
      <c r="N939">
        <f t="shared" ca="1" si="874"/>
        <v>108.0057150467334</v>
      </c>
      <c r="O939">
        <f t="shared" ca="1" si="874"/>
        <v>106.47420836050443</v>
      </c>
      <c r="P939">
        <f t="shared" ca="1" si="874"/>
        <v>109.28541686533528</v>
      </c>
      <c r="Q939">
        <f t="shared" ca="1" si="844"/>
        <v>118.84931733353427</v>
      </c>
      <c r="R939">
        <f t="shared" ca="1" si="845"/>
        <v>0</v>
      </c>
      <c r="S939">
        <f t="shared" ca="1" si="846"/>
        <v>0</v>
      </c>
    </row>
    <row r="940" spans="5:19" x14ac:dyDescent="0.75">
      <c r="E940">
        <v>935</v>
      </c>
      <c r="F940">
        <f t="shared" si="842"/>
        <v>100</v>
      </c>
      <c r="G940">
        <f t="shared" ca="1" si="843"/>
        <v>98.313331983502778</v>
      </c>
      <c r="H940">
        <f t="shared" ca="1" si="843"/>
        <v>100.22719607273119</v>
      </c>
      <c r="I940">
        <f t="shared" ca="1" si="843"/>
        <v>97.579043240188767</v>
      </c>
      <c r="J940">
        <f t="shared" ref="J940:P940" ca="1" si="875">I940*EXP(($C$6-0.5*$C$7^2)*$C$12+$C$7*SQRT($C$12)*NORMINV(RAND(),0,1))</f>
        <v>100.93852658110109</v>
      </c>
      <c r="K940">
        <f t="shared" ca="1" si="875"/>
        <v>103.60902532524433</v>
      </c>
      <c r="L940">
        <f t="shared" ca="1" si="875"/>
        <v>99.340600502033425</v>
      </c>
      <c r="M940">
        <f t="shared" ca="1" si="875"/>
        <v>102.47003905284079</v>
      </c>
      <c r="N940">
        <f t="shared" ca="1" si="875"/>
        <v>94.102125295018993</v>
      </c>
      <c r="O940">
        <f t="shared" ca="1" si="875"/>
        <v>97.067208439772102</v>
      </c>
      <c r="P940">
        <f t="shared" ca="1" si="875"/>
        <v>96.312255735359088</v>
      </c>
      <c r="Q940">
        <f t="shared" ca="1" si="844"/>
        <v>103.60902532524433</v>
      </c>
      <c r="R940">
        <f t="shared" ca="1" si="845"/>
        <v>0</v>
      </c>
      <c r="S940">
        <f t="shared" ca="1" si="846"/>
        <v>0</v>
      </c>
    </row>
    <row r="941" spans="5:19" x14ac:dyDescent="0.75">
      <c r="E941">
        <v>936</v>
      </c>
      <c r="F941">
        <f t="shared" si="842"/>
        <v>100</v>
      </c>
      <c r="G941">
        <f t="shared" ca="1" si="843"/>
        <v>100.27242670614037</v>
      </c>
      <c r="H941">
        <f t="shared" ca="1" si="843"/>
        <v>103.38148204493903</v>
      </c>
      <c r="I941">
        <f t="shared" ca="1" si="843"/>
        <v>103.74854602197584</v>
      </c>
      <c r="J941">
        <f t="shared" ref="J941:P941" ca="1" si="876">I941*EXP(($C$6-0.5*$C$7^2)*$C$12+$C$7*SQRT($C$12)*NORMINV(RAND(),0,1))</f>
        <v>108.97953916740072</v>
      </c>
      <c r="K941">
        <f t="shared" ca="1" si="876"/>
        <v>110.54321211444187</v>
      </c>
      <c r="L941">
        <f t="shared" ca="1" si="876"/>
        <v>105.40295001621186</v>
      </c>
      <c r="M941">
        <f t="shared" ca="1" si="876"/>
        <v>103.22022988411977</v>
      </c>
      <c r="N941">
        <f t="shared" ca="1" si="876"/>
        <v>105.80510258604187</v>
      </c>
      <c r="O941">
        <f t="shared" ca="1" si="876"/>
        <v>100.88844456828814</v>
      </c>
      <c r="P941">
        <f t="shared" ca="1" si="876"/>
        <v>95.567276356173323</v>
      </c>
      <c r="Q941">
        <f t="shared" ca="1" si="844"/>
        <v>110.54321211444187</v>
      </c>
      <c r="R941">
        <f t="shared" ca="1" si="845"/>
        <v>0</v>
      </c>
      <c r="S941">
        <f t="shared" ca="1" si="846"/>
        <v>0</v>
      </c>
    </row>
    <row r="942" spans="5:19" x14ac:dyDescent="0.75">
      <c r="E942">
        <v>937</v>
      </c>
      <c r="F942">
        <f t="shared" si="842"/>
        <v>100</v>
      </c>
      <c r="G942">
        <f t="shared" ca="1" si="843"/>
        <v>103.72454426304154</v>
      </c>
      <c r="H942">
        <f t="shared" ca="1" si="843"/>
        <v>96.440495261314794</v>
      </c>
      <c r="I942">
        <f t="shared" ca="1" si="843"/>
        <v>87.877705930967267</v>
      </c>
      <c r="J942">
        <f t="shared" ref="J942:P942" ca="1" si="877">I942*EXP(($C$6-0.5*$C$7^2)*$C$12+$C$7*SQRT($C$12)*NORMINV(RAND(),0,1))</f>
        <v>89.998247974475788</v>
      </c>
      <c r="K942">
        <f t="shared" ca="1" si="877"/>
        <v>86.401752122431631</v>
      </c>
      <c r="L942">
        <f t="shared" ca="1" si="877"/>
        <v>88.874694502836149</v>
      </c>
      <c r="M942">
        <f t="shared" ca="1" si="877"/>
        <v>88.092342038941666</v>
      </c>
      <c r="N942">
        <f t="shared" ca="1" si="877"/>
        <v>84.170966232413789</v>
      </c>
      <c r="O942">
        <f t="shared" ca="1" si="877"/>
        <v>80.439364477830367</v>
      </c>
      <c r="P942">
        <f t="shared" ca="1" si="877"/>
        <v>89.927932130725836</v>
      </c>
      <c r="Q942">
        <f t="shared" ca="1" si="844"/>
        <v>103.72454426304154</v>
      </c>
      <c r="R942">
        <f t="shared" ca="1" si="845"/>
        <v>0</v>
      </c>
      <c r="S942">
        <f t="shared" ca="1" si="846"/>
        <v>0</v>
      </c>
    </row>
    <row r="943" spans="5:19" x14ac:dyDescent="0.75">
      <c r="E943">
        <v>938</v>
      </c>
      <c r="F943">
        <f t="shared" si="842"/>
        <v>100</v>
      </c>
      <c r="G943">
        <f t="shared" ca="1" si="843"/>
        <v>104.12732670607036</v>
      </c>
      <c r="H943">
        <f t="shared" ca="1" si="843"/>
        <v>103.13315802777588</v>
      </c>
      <c r="I943">
        <f t="shared" ca="1" si="843"/>
        <v>101.1801106052594</v>
      </c>
      <c r="J943">
        <f t="shared" ref="J943:P943" ca="1" si="878">I943*EXP(($C$6-0.5*$C$7^2)*$C$12+$C$7*SQRT($C$12)*NORMINV(RAND(),0,1))</f>
        <v>104.73608196045758</v>
      </c>
      <c r="K943">
        <f t="shared" ca="1" si="878"/>
        <v>106.97808340687712</v>
      </c>
      <c r="L943">
        <f t="shared" ca="1" si="878"/>
        <v>103.22666067119341</v>
      </c>
      <c r="M943">
        <f t="shared" ca="1" si="878"/>
        <v>99.841177110640999</v>
      </c>
      <c r="N943">
        <f t="shared" ca="1" si="878"/>
        <v>102.30991973666126</v>
      </c>
      <c r="O943">
        <f t="shared" ca="1" si="878"/>
        <v>103.39301606554872</v>
      </c>
      <c r="P943">
        <f t="shared" ca="1" si="878"/>
        <v>106.49941665011096</v>
      </c>
      <c r="Q943">
        <f t="shared" ca="1" si="844"/>
        <v>106.97808340687712</v>
      </c>
      <c r="R943">
        <f t="shared" ca="1" si="845"/>
        <v>4.4994166501109589</v>
      </c>
      <c r="S943">
        <f t="shared" ca="1" si="846"/>
        <v>4.3883256571985347</v>
      </c>
    </row>
    <row r="944" spans="5:19" x14ac:dyDescent="0.75">
      <c r="E944">
        <v>939</v>
      </c>
      <c r="F944">
        <f t="shared" si="842"/>
        <v>100</v>
      </c>
      <c r="G944">
        <f t="shared" ca="1" si="843"/>
        <v>103.16306486395386</v>
      </c>
      <c r="H944">
        <f t="shared" ca="1" si="843"/>
        <v>108.26179061706273</v>
      </c>
      <c r="I944">
        <f t="shared" ca="1" si="843"/>
        <v>108.59191061269743</v>
      </c>
      <c r="J944">
        <f t="shared" ref="J944:P944" ca="1" si="879">I944*EXP(($C$6-0.5*$C$7^2)*$C$12+$C$7*SQRT($C$12)*NORMINV(RAND(),0,1))</f>
        <v>107.27178962510706</v>
      </c>
      <c r="K944">
        <f t="shared" ca="1" si="879"/>
        <v>100.86258628902083</v>
      </c>
      <c r="L944">
        <f t="shared" ca="1" si="879"/>
        <v>96.088011475608653</v>
      </c>
      <c r="M944">
        <f t="shared" ca="1" si="879"/>
        <v>106.01738033069716</v>
      </c>
      <c r="N944">
        <f t="shared" ca="1" si="879"/>
        <v>111.49589341960906</v>
      </c>
      <c r="O944">
        <f t="shared" ca="1" si="879"/>
        <v>111.07196117067265</v>
      </c>
      <c r="P944">
        <f t="shared" ca="1" si="879"/>
        <v>115.29832982973117</v>
      </c>
      <c r="Q944">
        <f t="shared" ca="1" si="844"/>
        <v>115.29832982973117</v>
      </c>
      <c r="R944">
        <f t="shared" ca="1" si="845"/>
        <v>0</v>
      </c>
      <c r="S944">
        <f t="shared" ca="1" si="846"/>
        <v>0</v>
      </c>
    </row>
    <row r="945" spans="5:19" x14ac:dyDescent="0.75">
      <c r="E945">
        <v>940</v>
      </c>
      <c r="F945">
        <f t="shared" si="842"/>
        <v>100</v>
      </c>
      <c r="G945">
        <f t="shared" ca="1" si="843"/>
        <v>103.09092327692728</v>
      </c>
      <c r="H945">
        <f t="shared" ca="1" si="843"/>
        <v>97.19471206765057</v>
      </c>
      <c r="I945">
        <f t="shared" ca="1" si="843"/>
        <v>101.88406343223045</v>
      </c>
      <c r="J945">
        <f t="shared" ref="J945:P945" ca="1" si="880">I945*EXP(($C$6-0.5*$C$7^2)*$C$12+$C$7*SQRT($C$12)*NORMINV(RAND(),0,1))</f>
        <v>105.12587125191365</v>
      </c>
      <c r="K945">
        <f t="shared" ca="1" si="880"/>
        <v>108.70449180905014</v>
      </c>
      <c r="L945">
        <f t="shared" ca="1" si="880"/>
        <v>102.63772351019806</v>
      </c>
      <c r="M945">
        <f t="shared" ca="1" si="880"/>
        <v>104.92158399426452</v>
      </c>
      <c r="N945">
        <f t="shared" ca="1" si="880"/>
        <v>102.84224003433845</v>
      </c>
      <c r="O945">
        <f t="shared" ca="1" si="880"/>
        <v>104.11113721453701</v>
      </c>
      <c r="P945">
        <f t="shared" ca="1" si="880"/>
        <v>95.573453922480795</v>
      </c>
      <c r="Q945">
        <f t="shared" ca="1" si="844"/>
        <v>108.70449180905014</v>
      </c>
      <c r="R945">
        <f t="shared" ca="1" si="845"/>
        <v>0</v>
      </c>
      <c r="S945">
        <f t="shared" ca="1" si="846"/>
        <v>0</v>
      </c>
    </row>
    <row r="946" spans="5:19" x14ac:dyDescent="0.75">
      <c r="E946">
        <v>941</v>
      </c>
      <c r="F946">
        <f t="shared" si="842"/>
        <v>100</v>
      </c>
      <c r="G946">
        <f t="shared" ca="1" si="843"/>
        <v>101.27847252587769</v>
      </c>
      <c r="H946">
        <f t="shared" ca="1" si="843"/>
        <v>102.42914145149923</v>
      </c>
      <c r="I946">
        <f t="shared" ca="1" si="843"/>
        <v>102.12629831735801</v>
      </c>
      <c r="J946">
        <f t="shared" ref="J946:P946" ca="1" si="881">I946*EXP(($C$6-0.5*$C$7^2)*$C$12+$C$7*SQRT($C$12)*NORMINV(RAND(),0,1))</f>
        <v>106.00172744891816</v>
      </c>
      <c r="K946">
        <f t="shared" ca="1" si="881"/>
        <v>116.3411618501304</v>
      </c>
      <c r="L946">
        <f t="shared" ca="1" si="881"/>
        <v>117.375736065287</v>
      </c>
      <c r="M946">
        <f t="shared" ca="1" si="881"/>
        <v>118.30967846086563</v>
      </c>
      <c r="N946">
        <f t="shared" ca="1" si="881"/>
        <v>119.67347420006521</v>
      </c>
      <c r="O946">
        <f t="shared" ca="1" si="881"/>
        <v>122.94429666181679</v>
      </c>
      <c r="P946">
        <f t="shared" ca="1" si="881"/>
        <v>112.58260196201857</v>
      </c>
      <c r="Q946">
        <f t="shared" ca="1" si="844"/>
        <v>122.94429666181679</v>
      </c>
      <c r="R946">
        <f t="shared" ca="1" si="845"/>
        <v>0</v>
      </c>
      <c r="S946">
        <f t="shared" ca="1" si="846"/>
        <v>0</v>
      </c>
    </row>
    <row r="947" spans="5:19" x14ac:dyDescent="0.75">
      <c r="E947">
        <v>942</v>
      </c>
      <c r="F947">
        <f t="shared" si="842"/>
        <v>100</v>
      </c>
      <c r="G947">
        <f t="shared" ca="1" si="843"/>
        <v>114.03991855223256</v>
      </c>
      <c r="H947">
        <f t="shared" ca="1" si="843"/>
        <v>122.00888442612136</v>
      </c>
      <c r="I947">
        <f t="shared" ca="1" si="843"/>
        <v>115.69643390138792</v>
      </c>
      <c r="J947">
        <f t="shared" ref="J947:P947" ca="1" si="882">I947*EXP(($C$6-0.5*$C$7^2)*$C$12+$C$7*SQRT($C$12)*NORMINV(RAND(),0,1))</f>
        <v>105.30328956289497</v>
      </c>
      <c r="K947">
        <f t="shared" ca="1" si="882"/>
        <v>110.46313047071578</v>
      </c>
      <c r="L947">
        <f t="shared" ca="1" si="882"/>
        <v>104.10233255161901</v>
      </c>
      <c r="M947">
        <f t="shared" ca="1" si="882"/>
        <v>103.65223632840549</v>
      </c>
      <c r="N947">
        <f t="shared" ca="1" si="882"/>
        <v>103.916600439449</v>
      </c>
      <c r="O947">
        <f t="shared" ca="1" si="882"/>
        <v>113.49171233268596</v>
      </c>
      <c r="P947">
        <f t="shared" ca="1" si="882"/>
        <v>118.89728770018425</v>
      </c>
      <c r="Q947">
        <f t="shared" ca="1" si="844"/>
        <v>122.00888442612136</v>
      </c>
      <c r="R947">
        <f t="shared" ca="1" si="845"/>
        <v>0</v>
      </c>
      <c r="S947">
        <f t="shared" ca="1" si="846"/>
        <v>0</v>
      </c>
    </row>
    <row r="948" spans="5:19" x14ac:dyDescent="0.75">
      <c r="E948">
        <v>943</v>
      </c>
      <c r="F948">
        <f t="shared" si="842"/>
        <v>100</v>
      </c>
      <c r="G948">
        <f t="shared" ca="1" si="843"/>
        <v>94.184607420677594</v>
      </c>
      <c r="H948">
        <f t="shared" ca="1" si="843"/>
        <v>84.910645132654523</v>
      </c>
      <c r="I948">
        <f t="shared" ca="1" si="843"/>
        <v>85.440493002352639</v>
      </c>
      <c r="J948">
        <f t="shared" ref="J948:P948" ca="1" si="883">I948*EXP(($C$6-0.5*$C$7^2)*$C$12+$C$7*SQRT($C$12)*NORMINV(RAND(),0,1))</f>
        <v>86.758185544955097</v>
      </c>
      <c r="K948">
        <f t="shared" ca="1" si="883"/>
        <v>87.561515856305931</v>
      </c>
      <c r="L948">
        <f t="shared" ca="1" si="883"/>
        <v>88.186918550699787</v>
      </c>
      <c r="M948">
        <f t="shared" ca="1" si="883"/>
        <v>88.036578404701316</v>
      </c>
      <c r="N948">
        <f t="shared" ca="1" si="883"/>
        <v>86.845504309196755</v>
      </c>
      <c r="O948">
        <f t="shared" ca="1" si="883"/>
        <v>88.177399753856577</v>
      </c>
      <c r="P948">
        <f t="shared" ca="1" si="883"/>
        <v>88.102845204598822</v>
      </c>
      <c r="Q948">
        <f t="shared" ca="1" si="844"/>
        <v>94.184607420677594</v>
      </c>
      <c r="R948">
        <f t="shared" ca="1" si="845"/>
        <v>0</v>
      </c>
      <c r="S948">
        <f t="shared" ca="1" si="846"/>
        <v>0</v>
      </c>
    </row>
    <row r="949" spans="5:19" x14ac:dyDescent="0.75">
      <c r="E949">
        <v>944</v>
      </c>
      <c r="F949">
        <f t="shared" si="842"/>
        <v>100</v>
      </c>
      <c r="G949">
        <f t="shared" ca="1" si="843"/>
        <v>94.779468404313135</v>
      </c>
      <c r="H949">
        <f t="shared" ca="1" si="843"/>
        <v>96.795723691202241</v>
      </c>
      <c r="I949">
        <f t="shared" ca="1" si="843"/>
        <v>95.151493687807729</v>
      </c>
      <c r="J949">
        <f t="shared" ref="J949:P949" ca="1" si="884">I949*EXP(($C$6-0.5*$C$7^2)*$C$12+$C$7*SQRT($C$12)*NORMINV(RAND(),0,1))</f>
        <v>98.127249564531553</v>
      </c>
      <c r="K949">
        <f t="shared" ca="1" si="884"/>
        <v>100.64260192532821</v>
      </c>
      <c r="L949">
        <f t="shared" ca="1" si="884"/>
        <v>103.70383619281785</v>
      </c>
      <c r="M949">
        <f t="shared" ca="1" si="884"/>
        <v>105.70974017404872</v>
      </c>
      <c r="N949">
        <f t="shared" ca="1" si="884"/>
        <v>103.41379109552074</v>
      </c>
      <c r="O949">
        <f t="shared" ca="1" si="884"/>
        <v>100.89149499436718</v>
      </c>
      <c r="P949">
        <f t="shared" ca="1" si="884"/>
        <v>107.64502416487426</v>
      </c>
      <c r="Q949">
        <f t="shared" ca="1" si="844"/>
        <v>107.64502416487426</v>
      </c>
      <c r="R949">
        <f t="shared" ca="1" si="845"/>
        <v>5.6450241648742576</v>
      </c>
      <c r="S949">
        <f t="shared" ca="1" si="846"/>
        <v>5.5056480216413242</v>
      </c>
    </row>
    <row r="950" spans="5:19" x14ac:dyDescent="0.75">
      <c r="E950">
        <v>945</v>
      </c>
      <c r="F950">
        <f t="shared" si="842"/>
        <v>100</v>
      </c>
      <c r="G950">
        <f t="shared" ca="1" si="843"/>
        <v>104.75138067497707</v>
      </c>
      <c r="H950">
        <f t="shared" ca="1" si="843"/>
        <v>98.029283545715302</v>
      </c>
      <c r="I950">
        <f t="shared" ca="1" si="843"/>
        <v>102.97529771850274</v>
      </c>
      <c r="J950">
        <f t="shared" ref="J950:P950" ca="1" si="885">I950*EXP(($C$6-0.5*$C$7^2)*$C$12+$C$7*SQRT($C$12)*NORMINV(RAND(),0,1))</f>
        <v>106.04174059305697</v>
      </c>
      <c r="K950">
        <f t="shared" ca="1" si="885"/>
        <v>105.41714482162489</v>
      </c>
      <c r="L950">
        <f t="shared" ca="1" si="885"/>
        <v>109.2426851343631</v>
      </c>
      <c r="M950">
        <f t="shared" ca="1" si="885"/>
        <v>112.20183601623897</v>
      </c>
      <c r="N950">
        <f t="shared" ca="1" si="885"/>
        <v>113.1695113199038</v>
      </c>
      <c r="O950">
        <f t="shared" ca="1" si="885"/>
        <v>111.90455397258411</v>
      </c>
      <c r="P950">
        <f t="shared" ca="1" si="885"/>
        <v>113.8366290191754</v>
      </c>
      <c r="Q950">
        <f t="shared" ca="1" si="844"/>
        <v>113.8366290191754</v>
      </c>
      <c r="R950">
        <f t="shared" ca="1" si="845"/>
        <v>0</v>
      </c>
      <c r="S950">
        <f t="shared" ca="1" si="846"/>
        <v>0</v>
      </c>
    </row>
    <row r="951" spans="5:19" x14ac:dyDescent="0.75">
      <c r="E951">
        <v>946</v>
      </c>
      <c r="F951">
        <f t="shared" si="842"/>
        <v>100</v>
      </c>
      <c r="G951">
        <f t="shared" ca="1" si="843"/>
        <v>96.199523405445348</v>
      </c>
      <c r="H951">
        <f t="shared" ca="1" si="843"/>
        <v>91.219180589588845</v>
      </c>
      <c r="I951">
        <f t="shared" ca="1" si="843"/>
        <v>87.202884204972548</v>
      </c>
      <c r="J951">
        <f t="shared" ref="J951:P951" ca="1" si="886">I951*EXP(($C$6-0.5*$C$7^2)*$C$12+$C$7*SQRT($C$12)*NORMINV(RAND(),0,1))</f>
        <v>94.547789275475793</v>
      </c>
      <c r="K951">
        <f t="shared" ca="1" si="886"/>
        <v>91.152915553724867</v>
      </c>
      <c r="L951">
        <f t="shared" ca="1" si="886"/>
        <v>84.653756378364434</v>
      </c>
      <c r="M951">
        <f t="shared" ca="1" si="886"/>
        <v>79.485063219336013</v>
      </c>
      <c r="N951">
        <f t="shared" ca="1" si="886"/>
        <v>81.296593036402257</v>
      </c>
      <c r="O951">
        <f t="shared" ca="1" si="886"/>
        <v>83.204683070625038</v>
      </c>
      <c r="P951">
        <f t="shared" ca="1" si="886"/>
        <v>81.620388568562205</v>
      </c>
      <c r="Q951">
        <f t="shared" ca="1" si="844"/>
        <v>96.199523405445348</v>
      </c>
      <c r="R951">
        <f t="shared" ca="1" si="845"/>
        <v>0</v>
      </c>
      <c r="S951">
        <f t="shared" ca="1" si="846"/>
        <v>0</v>
      </c>
    </row>
    <row r="952" spans="5:19" x14ac:dyDescent="0.75">
      <c r="E952">
        <v>947</v>
      </c>
      <c r="F952">
        <f t="shared" si="842"/>
        <v>100</v>
      </c>
      <c r="G952">
        <f t="shared" ca="1" si="843"/>
        <v>100.30698424205696</v>
      </c>
      <c r="H952">
        <f t="shared" ca="1" si="843"/>
        <v>105.78336611885372</v>
      </c>
      <c r="I952">
        <f t="shared" ca="1" si="843"/>
        <v>108.67534474783228</v>
      </c>
      <c r="J952">
        <f t="shared" ref="J952:P952" ca="1" si="887">I952*EXP(($C$6-0.5*$C$7^2)*$C$12+$C$7*SQRT($C$12)*NORMINV(RAND(),0,1))</f>
        <v>104.69105300352668</v>
      </c>
      <c r="K952">
        <f t="shared" ca="1" si="887"/>
        <v>100.97205298501484</v>
      </c>
      <c r="L952">
        <f t="shared" ca="1" si="887"/>
        <v>105.94137162625393</v>
      </c>
      <c r="M952">
        <f t="shared" ca="1" si="887"/>
        <v>105.13471451675552</v>
      </c>
      <c r="N952">
        <f t="shared" ca="1" si="887"/>
        <v>105.75184341111009</v>
      </c>
      <c r="O952">
        <f t="shared" ca="1" si="887"/>
        <v>109.80192243543438</v>
      </c>
      <c r="P952">
        <f t="shared" ca="1" si="887"/>
        <v>109.25168210117096</v>
      </c>
      <c r="Q952">
        <f t="shared" ca="1" si="844"/>
        <v>109.80192243543438</v>
      </c>
      <c r="R952">
        <f t="shared" ca="1" si="845"/>
        <v>7.2516821011709567</v>
      </c>
      <c r="S952">
        <f t="shared" ca="1" si="846"/>
        <v>7.0726374321504801</v>
      </c>
    </row>
    <row r="953" spans="5:19" x14ac:dyDescent="0.75">
      <c r="E953">
        <v>948</v>
      </c>
      <c r="F953">
        <f t="shared" si="842"/>
        <v>100</v>
      </c>
      <c r="G953">
        <f t="shared" ca="1" si="843"/>
        <v>95.098286884906329</v>
      </c>
      <c r="H953">
        <f t="shared" ca="1" si="843"/>
        <v>92.890164718501282</v>
      </c>
      <c r="I953">
        <f t="shared" ca="1" si="843"/>
        <v>91.819643364301314</v>
      </c>
      <c r="J953">
        <f t="shared" ref="J953:P953" ca="1" si="888">I953*EXP(($C$6-0.5*$C$7^2)*$C$12+$C$7*SQRT($C$12)*NORMINV(RAND(),0,1))</f>
        <v>98.615248068754084</v>
      </c>
      <c r="K953">
        <f t="shared" ca="1" si="888"/>
        <v>101.12518747710175</v>
      </c>
      <c r="L953">
        <f t="shared" ca="1" si="888"/>
        <v>93.653033040881695</v>
      </c>
      <c r="M953">
        <f t="shared" ca="1" si="888"/>
        <v>100.54319829394959</v>
      </c>
      <c r="N953">
        <f t="shared" ca="1" si="888"/>
        <v>110.74704485034816</v>
      </c>
      <c r="O953">
        <f t="shared" ca="1" si="888"/>
        <v>119.60176339717196</v>
      </c>
      <c r="P953">
        <f t="shared" ca="1" si="888"/>
        <v>113.18413103967282</v>
      </c>
      <c r="Q953">
        <f t="shared" ca="1" si="844"/>
        <v>119.60176339717196</v>
      </c>
      <c r="R953">
        <f t="shared" ca="1" si="845"/>
        <v>0</v>
      </c>
      <c r="S953">
        <f t="shared" ca="1" si="846"/>
        <v>0</v>
      </c>
    </row>
    <row r="954" spans="5:19" x14ac:dyDescent="0.75">
      <c r="E954">
        <v>949</v>
      </c>
      <c r="F954">
        <f t="shared" si="842"/>
        <v>100</v>
      </c>
      <c r="G954">
        <f t="shared" ca="1" si="843"/>
        <v>102.22800503153142</v>
      </c>
      <c r="H954">
        <f t="shared" ca="1" si="843"/>
        <v>101.5203857129498</v>
      </c>
      <c r="I954">
        <f t="shared" ca="1" si="843"/>
        <v>106.48888991007534</v>
      </c>
      <c r="J954">
        <f t="shared" ref="J954:P954" ca="1" si="889">I954*EXP(($C$6-0.5*$C$7^2)*$C$12+$C$7*SQRT($C$12)*NORMINV(RAND(),0,1))</f>
        <v>113.39968321417018</v>
      </c>
      <c r="K954">
        <f t="shared" ca="1" si="889"/>
        <v>112.06534948430095</v>
      </c>
      <c r="L954">
        <f t="shared" ca="1" si="889"/>
        <v>118.72699327415684</v>
      </c>
      <c r="M954">
        <f t="shared" ca="1" si="889"/>
        <v>110.68908903199188</v>
      </c>
      <c r="N954">
        <f t="shared" ca="1" si="889"/>
        <v>115.71712694795161</v>
      </c>
      <c r="O954">
        <f t="shared" ca="1" si="889"/>
        <v>118.08633420377654</v>
      </c>
      <c r="P954">
        <f t="shared" ca="1" si="889"/>
        <v>113.04369022811224</v>
      </c>
      <c r="Q954">
        <f t="shared" ca="1" si="844"/>
        <v>118.72699327415684</v>
      </c>
      <c r="R954">
        <f t="shared" ca="1" si="845"/>
        <v>0</v>
      </c>
      <c r="S954">
        <f t="shared" ca="1" si="846"/>
        <v>0</v>
      </c>
    </row>
    <row r="955" spans="5:19" x14ac:dyDescent="0.75">
      <c r="E955">
        <v>950</v>
      </c>
      <c r="F955">
        <f t="shared" si="842"/>
        <v>100</v>
      </c>
      <c r="G955">
        <f t="shared" ca="1" si="843"/>
        <v>103.99758428476757</v>
      </c>
      <c r="H955">
        <f t="shared" ca="1" si="843"/>
        <v>104.57726006639628</v>
      </c>
      <c r="I955">
        <f t="shared" ca="1" si="843"/>
        <v>107.02532707144678</v>
      </c>
      <c r="J955">
        <f t="shared" ref="J955:P955" ca="1" si="890">I955*EXP(($C$6-0.5*$C$7^2)*$C$12+$C$7*SQRT($C$12)*NORMINV(RAND(),0,1))</f>
        <v>112.88611967048828</v>
      </c>
      <c r="K955">
        <f t="shared" ca="1" si="890"/>
        <v>112.41914724222026</v>
      </c>
      <c r="L955">
        <f t="shared" ca="1" si="890"/>
        <v>104.73667503413425</v>
      </c>
      <c r="M955">
        <f t="shared" ca="1" si="890"/>
        <v>108.07498346520779</v>
      </c>
      <c r="N955">
        <f t="shared" ca="1" si="890"/>
        <v>106.88690561050565</v>
      </c>
      <c r="O955">
        <f t="shared" ca="1" si="890"/>
        <v>108.07286235821915</v>
      </c>
      <c r="P955">
        <f t="shared" ca="1" si="890"/>
        <v>113.95531494589422</v>
      </c>
      <c r="Q955">
        <f t="shared" ca="1" si="844"/>
        <v>113.95531494589422</v>
      </c>
      <c r="R955">
        <f t="shared" ca="1" si="845"/>
        <v>0</v>
      </c>
      <c r="S955">
        <f t="shared" ca="1" si="846"/>
        <v>0</v>
      </c>
    </row>
    <row r="956" spans="5:19" x14ac:dyDescent="0.75">
      <c r="E956">
        <v>951</v>
      </c>
      <c r="F956">
        <f t="shared" si="842"/>
        <v>100</v>
      </c>
      <c r="G956">
        <f t="shared" ca="1" si="843"/>
        <v>104.54961726013123</v>
      </c>
      <c r="H956">
        <f t="shared" ca="1" si="843"/>
        <v>111.10885077716659</v>
      </c>
      <c r="I956">
        <f t="shared" ca="1" si="843"/>
        <v>113.90270929093673</v>
      </c>
      <c r="J956">
        <f t="shared" ref="J956:P956" ca="1" si="891">I956*EXP(($C$6-0.5*$C$7^2)*$C$12+$C$7*SQRT($C$12)*NORMINV(RAND(),0,1))</f>
        <v>120.65736500950975</v>
      </c>
      <c r="K956">
        <f t="shared" ca="1" si="891"/>
        <v>128.17846257104506</v>
      </c>
      <c r="L956">
        <f t="shared" ca="1" si="891"/>
        <v>122.06754376414506</v>
      </c>
      <c r="M956">
        <f t="shared" ca="1" si="891"/>
        <v>128.39682106740173</v>
      </c>
      <c r="N956">
        <f t="shared" ca="1" si="891"/>
        <v>136.8303970569431</v>
      </c>
      <c r="O956">
        <f t="shared" ca="1" si="891"/>
        <v>128.24467972608306</v>
      </c>
      <c r="P956">
        <f t="shared" ca="1" si="891"/>
        <v>125.35365538890042</v>
      </c>
      <c r="Q956">
        <f t="shared" ca="1" si="844"/>
        <v>136.8303970569431</v>
      </c>
      <c r="R956">
        <f t="shared" ca="1" si="845"/>
        <v>0</v>
      </c>
      <c r="S956">
        <f t="shared" ca="1" si="846"/>
        <v>0</v>
      </c>
    </row>
    <row r="957" spans="5:19" x14ac:dyDescent="0.75">
      <c r="E957">
        <v>952</v>
      </c>
      <c r="F957">
        <f t="shared" si="842"/>
        <v>100</v>
      </c>
      <c r="G957">
        <f t="shared" ca="1" si="843"/>
        <v>101.07272431843639</v>
      </c>
      <c r="H957">
        <f t="shared" ca="1" si="843"/>
        <v>97.403308460776628</v>
      </c>
      <c r="I957">
        <f t="shared" ca="1" si="843"/>
        <v>108.76922950217261</v>
      </c>
      <c r="J957">
        <f t="shared" ref="J957:P957" ca="1" si="892">I957*EXP(($C$6-0.5*$C$7^2)*$C$12+$C$7*SQRT($C$12)*NORMINV(RAND(),0,1))</f>
        <v>112.86849989011532</v>
      </c>
      <c r="K957">
        <f t="shared" ca="1" si="892"/>
        <v>119.77598039873463</v>
      </c>
      <c r="L957">
        <f t="shared" ca="1" si="892"/>
        <v>110.20499660511049</v>
      </c>
      <c r="M957">
        <f t="shared" ca="1" si="892"/>
        <v>108.73279801307494</v>
      </c>
      <c r="N957">
        <f t="shared" ca="1" si="892"/>
        <v>104.41456806695828</v>
      </c>
      <c r="O957">
        <f t="shared" ca="1" si="892"/>
        <v>101.33590788203929</v>
      </c>
      <c r="P957">
        <f t="shared" ca="1" si="892"/>
        <v>101.52331011536678</v>
      </c>
      <c r="Q957">
        <f t="shared" ca="1" si="844"/>
        <v>119.77598039873463</v>
      </c>
      <c r="R957">
        <f t="shared" ca="1" si="845"/>
        <v>0</v>
      </c>
      <c r="S957">
        <f t="shared" ca="1" si="846"/>
        <v>0</v>
      </c>
    </row>
    <row r="958" spans="5:19" x14ac:dyDescent="0.75">
      <c r="E958">
        <v>953</v>
      </c>
      <c r="F958">
        <f t="shared" si="842"/>
        <v>100</v>
      </c>
      <c r="G958">
        <f t="shared" ca="1" si="843"/>
        <v>100.29627342049217</v>
      </c>
      <c r="H958">
        <f t="shared" ca="1" si="843"/>
        <v>97.654882204699973</v>
      </c>
      <c r="I958">
        <f t="shared" ca="1" si="843"/>
        <v>89.757062355853648</v>
      </c>
      <c r="J958">
        <f t="shared" ref="J958:P958" ca="1" si="893">I958*EXP(($C$6-0.5*$C$7^2)*$C$12+$C$7*SQRT($C$12)*NORMINV(RAND(),0,1))</f>
        <v>90.116537922821408</v>
      </c>
      <c r="K958">
        <f t="shared" ca="1" si="893"/>
        <v>96.729898461868672</v>
      </c>
      <c r="L958">
        <f t="shared" ca="1" si="893"/>
        <v>102.40032666384823</v>
      </c>
      <c r="M958">
        <f t="shared" ca="1" si="893"/>
        <v>89.473560758078477</v>
      </c>
      <c r="N958">
        <f t="shared" ca="1" si="893"/>
        <v>90.793565987800918</v>
      </c>
      <c r="O958">
        <f t="shared" ca="1" si="893"/>
        <v>95.458904572715483</v>
      </c>
      <c r="P958">
        <f t="shared" ca="1" si="893"/>
        <v>90.846648543120537</v>
      </c>
      <c r="Q958">
        <f t="shared" ca="1" si="844"/>
        <v>102.40032666384823</v>
      </c>
      <c r="R958">
        <f t="shared" ca="1" si="845"/>
        <v>0</v>
      </c>
      <c r="S958">
        <f t="shared" ca="1" si="846"/>
        <v>0</v>
      </c>
    </row>
    <row r="959" spans="5:19" x14ac:dyDescent="0.75">
      <c r="E959">
        <v>954</v>
      </c>
      <c r="F959">
        <f t="shared" si="842"/>
        <v>100</v>
      </c>
      <c r="G959">
        <f t="shared" ca="1" si="843"/>
        <v>99.901530076662297</v>
      </c>
      <c r="H959">
        <f t="shared" ca="1" si="843"/>
        <v>100.11808584387053</v>
      </c>
      <c r="I959">
        <f t="shared" ca="1" si="843"/>
        <v>95.670327685743104</v>
      </c>
      <c r="J959">
        <f t="shared" ref="J959:P959" ca="1" si="894">I959*EXP(($C$6-0.5*$C$7^2)*$C$12+$C$7*SQRT($C$12)*NORMINV(RAND(),0,1))</f>
        <v>98.367219629072864</v>
      </c>
      <c r="K959">
        <f t="shared" ca="1" si="894"/>
        <v>93.692599416443457</v>
      </c>
      <c r="L959">
        <f t="shared" ca="1" si="894"/>
        <v>91.69469748684844</v>
      </c>
      <c r="M959">
        <f t="shared" ca="1" si="894"/>
        <v>91.255260800181873</v>
      </c>
      <c r="N959">
        <f t="shared" ca="1" si="894"/>
        <v>85.325377269277297</v>
      </c>
      <c r="O959">
        <f t="shared" ca="1" si="894"/>
        <v>86.606994022983955</v>
      </c>
      <c r="P959">
        <f t="shared" ca="1" si="894"/>
        <v>88.227166480070196</v>
      </c>
      <c r="Q959">
        <f t="shared" ca="1" si="844"/>
        <v>100.11808584387053</v>
      </c>
      <c r="R959">
        <f t="shared" ca="1" si="845"/>
        <v>0</v>
      </c>
      <c r="S959">
        <f t="shared" ca="1" si="846"/>
        <v>0</v>
      </c>
    </row>
    <row r="960" spans="5:19" x14ac:dyDescent="0.75">
      <c r="E960">
        <v>955</v>
      </c>
      <c r="F960">
        <f t="shared" si="842"/>
        <v>100</v>
      </c>
      <c r="G960">
        <f t="shared" ca="1" si="843"/>
        <v>101.21836244757041</v>
      </c>
      <c r="H960">
        <f t="shared" ca="1" si="843"/>
        <v>105.0503865230793</v>
      </c>
      <c r="I960">
        <f t="shared" ca="1" si="843"/>
        <v>121.46878889905869</v>
      </c>
      <c r="J960">
        <f t="shared" ref="J960:P960" ca="1" si="895">I960*EXP(($C$6-0.5*$C$7^2)*$C$12+$C$7*SQRT($C$12)*NORMINV(RAND(),0,1))</f>
        <v>110.89539133031309</v>
      </c>
      <c r="K960">
        <f t="shared" ca="1" si="895"/>
        <v>108.75348378494465</v>
      </c>
      <c r="L960">
        <f t="shared" ca="1" si="895"/>
        <v>110.96970281023077</v>
      </c>
      <c r="M960">
        <f t="shared" ca="1" si="895"/>
        <v>125.63408927322777</v>
      </c>
      <c r="N960">
        <f t="shared" ca="1" si="895"/>
        <v>121.18698424155892</v>
      </c>
      <c r="O960">
        <f t="shared" ca="1" si="895"/>
        <v>123.5415249077479</v>
      </c>
      <c r="P960">
        <f t="shared" ca="1" si="895"/>
        <v>121.67479920023472</v>
      </c>
      <c r="Q960">
        <f t="shared" ca="1" si="844"/>
        <v>125.63408927322777</v>
      </c>
      <c r="R960">
        <f t="shared" ca="1" si="845"/>
        <v>0</v>
      </c>
      <c r="S960">
        <f t="shared" ca="1" si="846"/>
        <v>0</v>
      </c>
    </row>
    <row r="961" spans="5:19" x14ac:dyDescent="0.75">
      <c r="E961">
        <v>956</v>
      </c>
      <c r="F961">
        <f t="shared" si="842"/>
        <v>100</v>
      </c>
      <c r="G961">
        <f t="shared" ca="1" si="843"/>
        <v>106.63094316504559</v>
      </c>
      <c r="H961">
        <f t="shared" ca="1" si="843"/>
        <v>108.03925965577824</v>
      </c>
      <c r="I961">
        <f t="shared" ca="1" si="843"/>
        <v>105.15469913510556</v>
      </c>
      <c r="J961">
        <f t="shared" ref="J961:P961" ca="1" si="896">I961*EXP(($C$6-0.5*$C$7^2)*$C$12+$C$7*SQRT($C$12)*NORMINV(RAND(),0,1))</f>
        <v>99.525512634391873</v>
      </c>
      <c r="K961">
        <f t="shared" ca="1" si="896"/>
        <v>102.71422105960048</v>
      </c>
      <c r="L961">
        <f t="shared" ca="1" si="896"/>
        <v>101.80136075356725</v>
      </c>
      <c r="M961">
        <f t="shared" ca="1" si="896"/>
        <v>97.885228485610682</v>
      </c>
      <c r="N961">
        <f t="shared" ca="1" si="896"/>
        <v>96.064602147931922</v>
      </c>
      <c r="O961">
        <f t="shared" ca="1" si="896"/>
        <v>93.300436071245699</v>
      </c>
      <c r="P961">
        <f t="shared" ca="1" si="896"/>
        <v>95.999962002021249</v>
      </c>
      <c r="Q961">
        <f t="shared" ca="1" si="844"/>
        <v>108.03925965577824</v>
      </c>
      <c r="R961">
        <f t="shared" ca="1" si="845"/>
        <v>0</v>
      </c>
      <c r="S961">
        <f t="shared" ca="1" si="846"/>
        <v>0</v>
      </c>
    </row>
    <row r="962" spans="5:19" x14ac:dyDescent="0.75">
      <c r="E962">
        <v>957</v>
      </c>
      <c r="F962">
        <f t="shared" si="842"/>
        <v>100</v>
      </c>
      <c r="G962">
        <f t="shared" ca="1" si="843"/>
        <v>98.452055812754509</v>
      </c>
      <c r="H962">
        <f t="shared" ca="1" si="843"/>
        <v>102.66965663601366</v>
      </c>
      <c r="I962">
        <f t="shared" ca="1" si="843"/>
        <v>101.44839167613343</v>
      </c>
      <c r="J962">
        <f t="shared" ref="J962:P962" ca="1" si="897">I962*EXP(($C$6-0.5*$C$7^2)*$C$12+$C$7*SQRT($C$12)*NORMINV(RAND(),0,1))</f>
        <v>103.56166489713141</v>
      </c>
      <c r="K962">
        <f t="shared" ca="1" si="897"/>
        <v>104.82759182866735</v>
      </c>
      <c r="L962">
        <f t="shared" ca="1" si="897"/>
        <v>104.00988948706801</v>
      </c>
      <c r="M962">
        <f t="shared" ca="1" si="897"/>
        <v>97.922808558694598</v>
      </c>
      <c r="N962">
        <f t="shared" ca="1" si="897"/>
        <v>92.260978145086753</v>
      </c>
      <c r="O962">
        <f t="shared" ca="1" si="897"/>
        <v>83.676498371955688</v>
      </c>
      <c r="P962">
        <f t="shared" ca="1" si="897"/>
        <v>79.386676792853152</v>
      </c>
      <c r="Q962">
        <f t="shared" ca="1" si="844"/>
        <v>104.82759182866735</v>
      </c>
      <c r="R962">
        <f t="shared" ca="1" si="845"/>
        <v>0</v>
      </c>
      <c r="S962">
        <f t="shared" ca="1" si="846"/>
        <v>0</v>
      </c>
    </row>
    <row r="963" spans="5:19" x14ac:dyDescent="0.75">
      <c r="E963">
        <v>958</v>
      </c>
      <c r="F963">
        <f t="shared" si="842"/>
        <v>100</v>
      </c>
      <c r="G963">
        <f t="shared" ca="1" si="843"/>
        <v>97.296495812853422</v>
      </c>
      <c r="H963">
        <f t="shared" ca="1" si="843"/>
        <v>96.110989839304651</v>
      </c>
      <c r="I963">
        <f t="shared" ca="1" si="843"/>
        <v>95.011879170884882</v>
      </c>
      <c r="J963">
        <f t="shared" ref="J963:P963" ca="1" si="898">I963*EXP(($C$6-0.5*$C$7^2)*$C$12+$C$7*SQRT($C$12)*NORMINV(RAND(),0,1))</f>
        <v>91.659527049262422</v>
      </c>
      <c r="K963">
        <f t="shared" ca="1" si="898"/>
        <v>95.269343863300975</v>
      </c>
      <c r="L963">
        <f t="shared" ca="1" si="898"/>
        <v>94.410990532806025</v>
      </c>
      <c r="M963">
        <f t="shared" ca="1" si="898"/>
        <v>99.759365541721181</v>
      </c>
      <c r="N963">
        <f t="shared" ca="1" si="898"/>
        <v>101.9765896705965</v>
      </c>
      <c r="O963">
        <f t="shared" ca="1" si="898"/>
        <v>105.2304074733633</v>
      </c>
      <c r="P963">
        <f t="shared" ca="1" si="898"/>
        <v>106.60500908824552</v>
      </c>
      <c r="Q963">
        <f t="shared" ca="1" si="844"/>
        <v>106.60500908824552</v>
      </c>
      <c r="R963">
        <f t="shared" ca="1" si="845"/>
        <v>4.6050090882455237</v>
      </c>
      <c r="S963">
        <f t="shared" ca="1" si="846"/>
        <v>4.4913110087464139</v>
      </c>
    </row>
    <row r="964" spans="5:19" x14ac:dyDescent="0.75">
      <c r="E964">
        <v>959</v>
      </c>
      <c r="F964">
        <f t="shared" si="842"/>
        <v>100</v>
      </c>
      <c r="G964">
        <f t="shared" ca="1" si="843"/>
        <v>99.245271910891773</v>
      </c>
      <c r="H964">
        <f t="shared" ca="1" si="843"/>
        <v>96.366517091363562</v>
      </c>
      <c r="I964">
        <f t="shared" ca="1" si="843"/>
        <v>98.429688422656596</v>
      </c>
      <c r="J964">
        <f t="shared" ref="J964:P964" ca="1" si="899">I964*EXP(($C$6-0.5*$C$7^2)*$C$12+$C$7*SQRT($C$12)*NORMINV(RAND(),0,1))</f>
        <v>99.254616214098206</v>
      </c>
      <c r="K964">
        <f t="shared" ca="1" si="899"/>
        <v>93.37255718273245</v>
      </c>
      <c r="L964">
        <f t="shared" ca="1" si="899"/>
        <v>93.793365418076633</v>
      </c>
      <c r="M964">
        <f t="shared" ca="1" si="899"/>
        <v>95.176059253937723</v>
      </c>
      <c r="N964">
        <f t="shared" ca="1" si="899"/>
        <v>96.768838469891136</v>
      </c>
      <c r="O964">
        <f t="shared" ca="1" si="899"/>
        <v>97.16011546062272</v>
      </c>
      <c r="P964">
        <f t="shared" ca="1" si="899"/>
        <v>101.80658451597635</v>
      </c>
      <c r="Q964">
        <f t="shared" ca="1" si="844"/>
        <v>101.80658451597635</v>
      </c>
      <c r="R964">
        <f t="shared" ca="1" si="845"/>
        <v>0</v>
      </c>
      <c r="S964">
        <f t="shared" ca="1" si="846"/>
        <v>0</v>
      </c>
    </row>
    <row r="965" spans="5:19" x14ac:dyDescent="0.75">
      <c r="E965">
        <v>960</v>
      </c>
      <c r="F965">
        <f t="shared" si="842"/>
        <v>100</v>
      </c>
      <c r="G965">
        <f t="shared" ca="1" si="843"/>
        <v>99.503628254707664</v>
      </c>
      <c r="H965">
        <f t="shared" ca="1" si="843"/>
        <v>110.2026809638463</v>
      </c>
      <c r="I965">
        <f t="shared" ca="1" si="843"/>
        <v>108.11251576979906</v>
      </c>
      <c r="J965">
        <f t="shared" ref="J965:P965" ca="1" si="900">I965*EXP(($C$6-0.5*$C$7^2)*$C$12+$C$7*SQRT($C$12)*NORMINV(RAND(),0,1))</f>
        <v>110.43014660992284</v>
      </c>
      <c r="K965">
        <f t="shared" ca="1" si="900"/>
        <v>106.97605746358667</v>
      </c>
      <c r="L965">
        <f t="shared" ca="1" si="900"/>
        <v>101.35088598624893</v>
      </c>
      <c r="M965">
        <f t="shared" ca="1" si="900"/>
        <v>107.88636644745419</v>
      </c>
      <c r="N965">
        <f t="shared" ca="1" si="900"/>
        <v>110.41908362915785</v>
      </c>
      <c r="O965">
        <f t="shared" ca="1" si="900"/>
        <v>113.79464156771233</v>
      </c>
      <c r="P965">
        <f t="shared" ca="1" si="900"/>
        <v>112.0710256087892</v>
      </c>
      <c r="Q965">
        <f t="shared" ca="1" si="844"/>
        <v>113.79464156771233</v>
      </c>
      <c r="R965">
        <f t="shared" ca="1" si="845"/>
        <v>0</v>
      </c>
      <c r="S965">
        <f t="shared" ca="1" si="846"/>
        <v>0</v>
      </c>
    </row>
    <row r="966" spans="5:19" x14ac:dyDescent="0.75">
      <c r="E966">
        <v>961</v>
      </c>
      <c r="F966">
        <f t="shared" si="842"/>
        <v>100</v>
      </c>
      <c r="G966">
        <f t="shared" ca="1" si="843"/>
        <v>101.35258964516589</v>
      </c>
      <c r="H966">
        <f t="shared" ca="1" si="843"/>
        <v>101.36744214168473</v>
      </c>
      <c r="I966">
        <f t="shared" ca="1" si="843"/>
        <v>97.165529189761656</v>
      </c>
      <c r="J966">
        <f t="shared" ref="J966:P966" ca="1" si="901">I966*EXP(($C$6-0.5*$C$7^2)*$C$12+$C$7*SQRT($C$12)*NORMINV(RAND(),0,1))</f>
        <v>99.073740841436916</v>
      </c>
      <c r="K966">
        <f t="shared" ca="1" si="901"/>
        <v>102.07872750854661</v>
      </c>
      <c r="L966">
        <f t="shared" ca="1" si="901"/>
        <v>102.38247463075604</v>
      </c>
      <c r="M966">
        <f t="shared" ca="1" si="901"/>
        <v>98.826977647386599</v>
      </c>
      <c r="N966">
        <f t="shared" ca="1" si="901"/>
        <v>94.691896373687015</v>
      </c>
      <c r="O966">
        <f t="shared" ca="1" si="901"/>
        <v>91.8629026136324</v>
      </c>
      <c r="P966">
        <f t="shared" ca="1" si="901"/>
        <v>95.189215318729282</v>
      </c>
      <c r="Q966">
        <f t="shared" ca="1" si="844"/>
        <v>102.38247463075604</v>
      </c>
      <c r="R966">
        <f t="shared" ca="1" si="845"/>
        <v>0</v>
      </c>
      <c r="S966">
        <f t="shared" ca="1" si="846"/>
        <v>0</v>
      </c>
    </row>
    <row r="967" spans="5:19" x14ac:dyDescent="0.75">
      <c r="E967">
        <v>962</v>
      </c>
      <c r="F967">
        <f t="shared" ref="F967:F1005" si="902">$C$5</f>
        <v>100</v>
      </c>
      <c r="G967">
        <f t="shared" ref="G967:P1005" ca="1" si="903">F967*EXP(($C$6-0.5*$C$7^2)*$C$12+$C$7*SQRT($C$12)*NORMINV(RAND(),0,1))</f>
        <v>102.86995801630022</v>
      </c>
      <c r="H967">
        <f t="shared" ca="1" si="903"/>
        <v>100.50765603094291</v>
      </c>
      <c r="I967">
        <f t="shared" ca="1" si="903"/>
        <v>90.645991206379151</v>
      </c>
      <c r="J967">
        <f t="shared" ca="1" si="903"/>
        <v>88.118258648699864</v>
      </c>
      <c r="K967">
        <f t="shared" ca="1" si="903"/>
        <v>78.0924217207141</v>
      </c>
      <c r="L967">
        <f t="shared" ca="1" si="903"/>
        <v>72.298039435044032</v>
      </c>
      <c r="M967">
        <f t="shared" ca="1" si="903"/>
        <v>79.91016206750983</v>
      </c>
      <c r="N967">
        <f t="shared" ca="1" si="903"/>
        <v>78.884113505894561</v>
      </c>
      <c r="O967">
        <f t="shared" ca="1" si="903"/>
        <v>80.827998765067136</v>
      </c>
      <c r="P967">
        <f t="shared" ca="1" si="903"/>
        <v>76.215305728970151</v>
      </c>
      <c r="Q967">
        <f t="shared" ref="Q967:Q1005" ca="1" si="904">MAX(G967:P967)</f>
        <v>102.86995801630022</v>
      </c>
      <c r="R967">
        <f t="shared" ref="R967:R1005" ca="1" si="905">IF(Q967&gt;=$C$13,0, MAX(P967-$C$9,0))</f>
        <v>0</v>
      </c>
      <c r="S967">
        <f t="shared" ref="S967:S1005" ca="1" si="906">EXP(-$C$6*$C$8)*R967</f>
        <v>0</v>
      </c>
    </row>
    <row r="968" spans="5:19" x14ac:dyDescent="0.75">
      <c r="E968">
        <v>963</v>
      </c>
      <c r="F968">
        <f t="shared" si="902"/>
        <v>100</v>
      </c>
      <c r="G968">
        <f t="shared" ca="1" si="903"/>
        <v>104.43496221097458</v>
      </c>
      <c r="H968">
        <f t="shared" ca="1" si="903"/>
        <v>104.30604031774044</v>
      </c>
      <c r="I968">
        <f t="shared" ca="1" si="903"/>
        <v>103.68440396597006</v>
      </c>
      <c r="J968">
        <f t="shared" ca="1" si="903"/>
        <v>105.7735050569201</v>
      </c>
      <c r="K968">
        <f t="shared" ca="1" si="903"/>
        <v>103.02640305784892</v>
      </c>
      <c r="L968">
        <f t="shared" ca="1" si="903"/>
        <v>103.94500879517123</v>
      </c>
      <c r="M968">
        <f t="shared" ca="1" si="903"/>
        <v>107.10437391572118</v>
      </c>
      <c r="N968">
        <f t="shared" ca="1" si="903"/>
        <v>108.41202762896793</v>
      </c>
      <c r="O968">
        <f t="shared" ca="1" si="903"/>
        <v>103.7791937546217</v>
      </c>
      <c r="P968">
        <f t="shared" ca="1" si="903"/>
        <v>109.04029709440697</v>
      </c>
      <c r="Q968">
        <f t="shared" ca="1" si="904"/>
        <v>109.04029709440697</v>
      </c>
      <c r="R968">
        <f t="shared" ca="1" si="905"/>
        <v>7.0402970944069665</v>
      </c>
      <c r="S968">
        <f t="shared" ca="1" si="906"/>
        <v>6.8664715397993845</v>
      </c>
    </row>
    <row r="969" spans="5:19" x14ac:dyDescent="0.75">
      <c r="E969">
        <v>964</v>
      </c>
      <c r="F969">
        <f t="shared" si="902"/>
        <v>100</v>
      </c>
      <c r="G969">
        <f t="shared" ca="1" si="903"/>
        <v>97.843964981108641</v>
      </c>
      <c r="H969">
        <f t="shared" ca="1" si="903"/>
        <v>105.89028672788453</v>
      </c>
      <c r="I969">
        <f t="shared" ca="1" si="903"/>
        <v>108.36948940368416</v>
      </c>
      <c r="J969">
        <f t="shared" ca="1" si="903"/>
        <v>106.96553010548999</v>
      </c>
      <c r="K969">
        <f t="shared" ca="1" si="903"/>
        <v>108.51038793905293</v>
      </c>
      <c r="L969">
        <f t="shared" ca="1" si="903"/>
        <v>97.009917362700477</v>
      </c>
      <c r="M969">
        <f t="shared" ca="1" si="903"/>
        <v>88.553528329987813</v>
      </c>
      <c r="N969">
        <f t="shared" ca="1" si="903"/>
        <v>91.029832674644027</v>
      </c>
      <c r="O969">
        <f t="shared" ca="1" si="903"/>
        <v>91.369469612385643</v>
      </c>
      <c r="P969">
        <f t="shared" ca="1" si="903"/>
        <v>90.939458562595547</v>
      </c>
      <c r="Q969">
        <f t="shared" ca="1" si="904"/>
        <v>108.51038793905293</v>
      </c>
      <c r="R969">
        <f t="shared" ca="1" si="905"/>
        <v>0</v>
      </c>
      <c r="S969">
        <f t="shared" ca="1" si="906"/>
        <v>0</v>
      </c>
    </row>
    <row r="970" spans="5:19" x14ac:dyDescent="0.75">
      <c r="E970">
        <v>965</v>
      </c>
      <c r="F970">
        <f t="shared" si="902"/>
        <v>100</v>
      </c>
      <c r="G970">
        <f t="shared" ca="1" si="903"/>
        <v>108.320061283478</v>
      </c>
      <c r="H970">
        <f t="shared" ca="1" si="903"/>
        <v>115.92415286247605</v>
      </c>
      <c r="I970">
        <f t="shared" ca="1" si="903"/>
        <v>110.52247439956939</v>
      </c>
      <c r="J970">
        <f t="shared" ca="1" si="903"/>
        <v>115.27925751858614</v>
      </c>
      <c r="K970">
        <f t="shared" ca="1" si="903"/>
        <v>114.46784608792636</v>
      </c>
      <c r="L970">
        <f t="shared" ca="1" si="903"/>
        <v>111.6604914740706</v>
      </c>
      <c r="M970">
        <f t="shared" ca="1" si="903"/>
        <v>103.51553370562301</v>
      </c>
      <c r="N970">
        <f t="shared" ca="1" si="903"/>
        <v>105.33961670508005</v>
      </c>
      <c r="O970">
        <f t="shared" ca="1" si="903"/>
        <v>107.78810356920083</v>
      </c>
      <c r="P970">
        <f t="shared" ca="1" si="903"/>
        <v>106.80189148362362</v>
      </c>
      <c r="Q970">
        <f t="shared" ca="1" si="904"/>
        <v>115.92415286247605</v>
      </c>
      <c r="R970">
        <f t="shared" ca="1" si="905"/>
        <v>0</v>
      </c>
      <c r="S970">
        <f t="shared" ca="1" si="906"/>
        <v>0</v>
      </c>
    </row>
    <row r="971" spans="5:19" x14ac:dyDescent="0.75">
      <c r="E971">
        <v>966</v>
      </c>
      <c r="F971">
        <f t="shared" si="902"/>
        <v>100</v>
      </c>
      <c r="G971">
        <f t="shared" ca="1" si="903"/>
        <v>95.224220937876552</v>
      </c>
      <c r="H971">
        <f t="shared" ca="1" si="903"/>
        <v>91.16562603658177</v>
      </c>
      <c r="I971">
        <f t="shared" ca="1" si="903"/>
        <v>86.828034796263864</v>
      </c>
      <c r="J971">
        <f t="shared" ca="1" si="903"/>
        <v>84.026720267308107</v>
      </c>
      <c r="K971">
        <f t="shared" ca="1" si="903"/>
        <v>81.943510836584764</v>
      </c>
      <c r="L971">
        <f t="shared" ca="1" si="903"/>
        <v>81.78776408400654</v>
      </c>
      <c r="M971">
        <f t="shared" ca="1" si="903"/>
        <v>78.132705624106961</v>
      </c>
      <c r="N971">
        <f t="shared" ca="1" si="903"/>
        <v>78.722464943595426</v>
      </c>
      <c r="O971">
        <f t="shared" ca="1" si="903"/>
        <v>87.079848870368252</v>
      </c>
      <c r="P971">
        <f t="shared" ca="1" si="903"/>
        <v>82.523120844915553</v>
      </c>
      <c r="Q971">
        <f t="shared" ca="1" si="904"/>
        <v>95.224220937876552</v>
      </c>
      <c r="R971">
        <f t="shared" ca="1" si="905"/>
        <v>0</v>
      </c>
      <c r="S971">
        <f t="shared" ca="1" si="906"/>
        <v>0</v>
      </c>
    </row>
    <row r="972" spans="5:19" x14ac:dyDescent="0.75">
      <c r="E972">
        <v>967</v>
      </c>
      <c r="F972">
        <f t="shared" si="902"/>
        <v>100</v>
      </c>
      <c r="G972">
        <f t="shared" ca="1" si="903"/>
        <v>105.60803723852246</v>
      </c>
      <c r="H972">
        <f t="shared" ca="1" si="903"/>
        <v>100.87975100096897</v>
      </c>
      <c r="I972">
        <f t="shared" ca="1" si="903"/>
        <v>101.91051674522919</v>
      </c>
      <c r="J972">
        <f t="shared" ca="1" si="903"/>
        <v>104.89262223439606</v>
      </c>
      <c r="K972">
        <f t="shared" ca="1" si="903"/>
        <v>108.85082201128101</v>
      </c>
      <c r="L972">
        <f t="shared" ca="1" si="903"/>
        <v>99.685232115300991</v>
      </c>
      <c r="M972">
        <f t="shared" ca="1" si="903"/>
        <v>97.180010889593476</v>
      </c>
      <c r="N972">
        <f t="shared" ca="1" si="903"/>
        <v>95.802118501839587</v>
      </c>
      <c r="O972">
        <f t="shared" ca="1" si="903"/>
        <v>94.013635316376053</v>
      </c>
      <c r="P972">
        <f t="shared" ca="1" si="903"/>
        <v>93.707163485386289</v>
      </c>
      <c r="Q972">
        <f t="shared" ca="1" si="904"/>
        <v>108.85082201128101</v>
      </c>
      <c r="R972">
        <f t="shared" ca="1" si="905"/>
        <v>0</v>
      </c>
      <c r="S972">
        <f t="shared" ca="1" si="906"/>
        <v>0</v>
      </c>
    </row>
    <row r="973" spans="5:19" x14ac:dyDescent="0.75">
      <c r="E973">
        <v>968</v>
      </c>
      <c r="F973">
        <f t="shared" si="902"/>
        <v>100</v>
      </c>
      <c r="G973">
        <f t="shared" ca="1" si="903"/>
        <v>103.00084478480431</v>
      </c>
      <c r="H973">
        <f t="shared" ca="1" si="903"/>
        <v>107.80775225901293</v>
      </c>
      <c r="I973">
        <f t="shared" ca="1" si="903"/>
        <v>105.38734037099826</v>
      </c>
      <c r="J973">
        <f t="shared" ca="1" si="903"/>
        <v>103.10337803543453</v>
      </c>
      <c r="K973">
        <f t="shared" ca="1" si="903"/>
        <v>107.24896505073053</v>
      </c>
      <c r="L973">
        <f t="shared" ca="1" si="903"/>
        <v>104.81744219105677</v>
      </c>
      <c r="M973">
        <f t="shared" ca="1" si="903"/>
        <v>116.29827897142333</v>
      </c>
      <c r="N973">
        <f t="shared" ca="1" si="903"/>
        <v>123.88963062248477</v>
      </c>
      <c r="O973">
        <f t="shared" ca="1" si="903"/>
        <v>123.61089497817468</v>
      </c>
      <c r="P973">
        <f t="shared" ca="1" si="903"/>
        <v>125.2078887892114</v>
      </c>
      <c r="Q973">
        <f t="shared" ca="1" si="904"/>
        <v>125.2078887892114</v>
      </c>
      <c r="R973">
        <f t="shared" ca="1" si="905"/>
        <v>0</v>
      </c>
      <c r="S973">
        <f t="shared" ca="1" si="906"/>
        <v>0</v>
      </c>
    </row>
    <row r="974" spans="5:19" x14ac:dyDescent="0.75">
      <c r="E974">
        <v>969</v>
      </c>
      <c r="F974">
        <f t="shared" si="902"/>
        <v>100</v>
      </c>
      <c r="G974">
        <f t="shared" ca="1" si="903"/>
        <v>102.45230324648251</v>
      </c>
      <c r="H974">
        <f t="shared" ca="1" si="903"/>
        <v>108.16304317739717</v>
      </c>
      <c r="I974">
        <f t="shared" ca="1" si="903"/>
        <v>108.11142069029512</v>
      </c>
      <c r="J974">
        <f t="shared" ca="1" si="903"/>
        <v>107.52101380890271</v>
      </c>
      <c r="K974">
        <f t="shared" ca="1" si="903"/>
        <v>108.52163424849286</v>
      </c>
      <c r="L974">
        <f t="shared" ca="1" si="903"/>
        <v>109.1379931972193</v>
      </c>
      <c r="M974">
        <f t="shared" ca="1" si="903"/>
        <v>110.234395571467</v>
      </c>
      <c r="N974">
        <f t="shared" ca="1" si="903"/>
        <v>99.89394727231867</v>
      </c>
      <c r="O974">
        <f t="shared" ca="1" si="903"/>
        <v>96.501529915305269</v>
      </c>
      <c r="P974">
        <f t="shared" ca="1" si="903"/>
        <v>100.5391023830073</v>
      </c>
      <c r="Q974">
        <f t="shared" ca="1" si="904"/>
        <v>110.234395571467</v>
      </c>
      <c r="R974">
        <f t="shared" ca="1" si="905"/>
        <v>0</v>
      </c>
      <c r="S974">
        <f t="shared" ca="1" si="906"/>
        <v>0</v>
      </c>
    </row>
    <row r="975" spans="5:19" x14ac:dyDescent="0.75">
      <c r="E975">
        <v>970</v>
      </c>
      <c r="F975">
        <f t="shared" si="902"/>
        <v>100</v>
      </c>
      <c r="G975">
        <f t="shared" ca="1" si="903"/>
        <v>106.12895231009014</v>
      </c>
      <c r="H975">
        <f t="shared" ca="1" si="903"/>
        <v>107.97919851301253</v>
      </c>
      <c r="I975">
        <f t="shared" ca="1" si="903"/>
        <v>108.96052358343587</v>
      </c>
      <c r="J975">
        <f t="shared" ca="1" si="903"/>
        <v>110.4345281520269</v>
      </c>
      <c r="K975">
        <f t="shared" ca="1" si="903"/>
        <v>110.99804477592296</v>
      </c>
      <c r="L975">
        <f t="shared" ca="1" si="903"/>
        <v>111.34843534850376</v>
      </c>
      <c r="M975">
        <f t="shared" ca="1" si="903"/>
        <v>122.73855481542525</v>
      </c>
      <c r="N975">
        <f t="shared" ca="1" si="903"/>
        <v>115.39800382564061</v>
      </c>
      <c r="O975">
        <f t="shared" ca="1" si="903"/>
        <v>111.65460945214916</v>
      </c>
      <c r="P975">
        <f t="shared" ca="1" si="903"/>
        <v>107.0155359017253</v>
      </c>
      <c r="Q975">
        <f t="shared" ca="1" si="904"/>
        <v>122.73855481542525</v>
      </c>
      <c r="R975">
        <f t="shared" ca="1" si="905"/>
        <v>0</v>
      </c>
      <c r="S975">
        <f t="shared" ca="1" si="906"/>
        <v>0</v>
      </c>
    </row>
    <row r="976" spans="5:19" x14ac:dyDescent="0.75">
      <c r="E976">
        <v>971</v>
      </c>
      <c r="F976">
        <f t="shared" si="902"/>
        <v>100</v>
      </c>
      <c r="G976">
        <f t="shared" ca="1" si="903"/>
        <v>99.751616815713277</v>
      </c>
      <c r="H976">
        <f t="shared" ca="1" si="903"/>
        <v>100.51220333401572</v>
      </c>
      <c r="I976">
        <f t="shared" ca="1" si="903"/>
        <v>100.21372152292807</v>
      </c>
      <c r="J976">
        <f t="shared" ca="1" si="903"/>
        <v>101.89744112128987</v>
      </c>
      <c r="K976">
        <f t="shared" ca="1" si="903"/>
        <v>99.467548806167287</v>
      </c>
      <c r="L976">
        <f t="shared" ca="1" si="903"/>
        <v>93.002213478894873</v>
      </c>
      <c r="M976">
        <f t="shared" ca="1" si="903"/>
        <v>95.720800192562635</v>
      </c>
      <c r="N976">
        <f t="shared" ca="1" si="903"/>
        <v>87.47723929519978</v>
      </c>
      <c r="O976">
        <f t="shared" ca="1" si="903"/>
        <v>84.466743600312498</v>
      </c>
      <c r="P976">
        <f t="shared" ca="1" si="903"/>
        <v>84.022953338853242</v>
      </c>
      <c r="Q976">
        <f t="shared" ca="1" si="904"/>
        <v>101.89744112128987</v>
      </c>
      <c r="R976">
        <f t="shared" ca="1" si="905"/>
        <v>0</v>
      </c>
      <c r="S976">
        <f t="shared" ca="1" si="906"/>
        <v>0</v>
      </c>
    </row>
    <row r="977" spans="5:19" x14ac:dyDescent="0.75">
      <c r="E977">
        <v>972</v>
      </c>
      <c r="F977">
        <f t="shared" si="902"/>
        <v>100</v>
      </c>
      <c r="G977">
        <f t="shared" ca="1" si="903"/>
        <v>97.832630296917117</v>
      </c>
      <c r="H977">
        <f t="shared" ca="1" si="903"/>
        <v>104.08885046583733</v>
      </c>
      <c r="I977">
        <f t="shared" ca="1" si="903"/>
        <v>105.23739752890788</v>
      </c>
      <c r="J977">
        <f t="shared" ca="1" si="903"/>
        <v>114.27123755811053</v>
      </c>
      <c r="K977">
        <f t="shared" ca="1" si="903"/>
        <v>106.06484171291656</v>
      </c>
      <c r="L977">
        <f t="shared" ca="1" si="903"/>
        <v>109.13215153769501</v>
      </c>
      <c r="M977">
        <f t="shared" ca="1" si="903"/>
        <v>104.20359452504691</v>
      </c>
      <c r="N977">
        <f t="shared" ca="1" si="903"/>
        <v>104.23622756296625</v>
      </c>
      <c r="O977">
        <f t="shared" ca="1" si="903"/>
        <v>108.331999558281</v>
      </c>
      <c r="P977">
        <f t="shared" ca="1" si="903"/>
        <v>112.76335657105948</v>
      </c>
      <c r="Q977">
        <f t="shared" ca="1" si="904"/>
        <v>114.27123755811053</v>
      </c>
      <c r="R977">
        <f t="shared" ca="1" si="905"/>
        <v>0</v>
      </c>
      <c r="S977">
        <f t="shared" ca="1" si="906"/>
        <v>0</v>
      </c>
    </row>
    <row r="978" spans="5:19" x14ac:dyDescent="0.75">
      <c r="E978">
        <v>973</v>
      </c>
      <c r="F978">
        <f t="shared" si="902"/>
        <v>100</v>
      </c>
      <c r="G978">
        <f t="shared" ca="1" si="903"/>
        <v>101.82668061403307</v>
      </c>
      <c r="H978">
        <f t="shared" ca="1" si="903"/>
        <v>96.414192564694133</v>
      </c>
      <c r="I978">
        <f t="shared" ca="1" si="903"/>
        <v>94.8430856860342</v>
      </c>
      <c r="J978">
        <f t="shared" ca="1" si="903"/>
        <v>96.713809964026282</v>
      </c>
      <c r="K978">
        <f t="shared" ca="1" si="903"/>
        <v>94.696066914119868</v>
      </c>
      <c r="L978">
        <f t="shared" ca="1" si="903"/>
        <v>95.842610647838427</v>
      </c>
      <c r="M978">
        <f t="shared" ca="1" si="903"/>
        <v>96.326875742246798</v>
      </c>
      <c r="N978">
        <f t="shared" ca="1" si="903"/>
        <v>93.647927529437865</v>
      </c>
      <c r="O978">
        <f t="shared" ca="1" si="903"/>
        <v>86.250017110161252</v>
      </c>
      <c r="P978">
        <f t="shared" ca="1" si="903"/>
        <v>89.590624996059134</v>
      </c>
      <c r="Q978">
        <f t="shared" ca="1" si="904"/>
        <v>101.82668061403307</v>
      </c>
      <c r="R978">
        <f t="shared" ca="1" si="905"/>
        <v>0</v>
      </c>
      <c r="S978">
        <f t="shared" ca="1" si="906"/>
        <v>0</v>
      </c>
    </row>
    <row r="979" spans="5:19" x14ac:dyDescent="0.75">
      <c r="E979">
        <v>974</v>
      </c>
      <c r="F979">
        <f t="shared" si="902"/>
        <v>100</v>
      </c>
      <c r="G979">
        <f t="shared" ca="1" si="903"/>
        <v>99.965340866796353</v>
      </c>
      <c r="H979">
        <f t="shared" ca="1" si="903"/>
        <v>97.042759107003846</v>
      </c>
      <c r="I979">
        <f t="shared" ca="1" si="903"/>
        <v>94.719072626976327</v>
      </c>
      <c r="J979">
        <f t="shared" ca="1" si="903"/>
        <v>94.774526366224066</v>
      </c>
      <c r="K979">
        <f t="shared" ca="1" si="903"/>
        <v>93.838665961740745</v>
      </c>
      <c r="L979">
        <f t="shared" ca="1" si="903"/>
        <v>94.242915287741411</v>
      </c>
      <c r="M979">
        <f t="shared" ca="1" si="903"/>
        <v>90.72431150142927</v>
      </c>
      <c r="N979">
        <f t="shared" ca="1" si="903"/>
        <v>84.908474074066135</v>
      </c>
      <c r="O979">
        <f t="shared" ca="1" si="903"/>
        <v>91.915935472918775</v>
      </c>
      <c r="P979">
        <f t="shared" ca="1" si="903"/>
        <v>89.277475476126867</v>
      </c>
      <c r="Q979">
        <f t="shared" ca="1" si="904"/>
        <v>99.965340866796353</v>
      </c>
      <c r="R979">
        <f t="shared" ca="1" si="905"/>
        <v>0</v>
      </c>
      <c r="S979">
        <f t="shared" ca="1" si="906"/>
        <v>0</v>
      </c>
    </row>
    <row r="980" spans="5:19" x14ac:dyDescent="0.75">
      <c r="E980">
        <v>975</v>
      </c>
      <c r="F980">
        <f t="shared" si="902"/>
        <v>100</v>
      </c>
      <c r="G980">
        <f t="shared" ca="1" si="903"/>
        <v>95.287104323809331</v>
      </c>
      <c r="H980">
        <f t="shared" ca="1" si="903"/>
        <v>99.877933505010702</v>
      </c>
      <c r="I980">
        <f t="shared" ca="1" si="903"/>
        <v>106.51802551257549</v>
      </c>
      <c r="J980">
        <f t="shared" ca="1" si="903"/>
        <v>100.29030706700183</v>
      </c>
      <c r="K980">
        <f t="shared" ca="1" si="903"/>
        <v>97.017046986401411</v>
      </c>
      <c r="L980">
        <f t="shared" ca="1" si="903"/>
        <v>100.76026834294146</v>
      </c>
      <c r="M980">
        <f t="shared" ca="1" si="903"/>
        <v>112.09370132677743</v>
      </c>
      <c r="N980">
        <f t="shared" ca="1" si="903"/>
        <v>112.73589064289713</v>
      </c>
      <c r="O980">
        <f t="shared" ca="1" si="903"/>
        <v>107.99914865478051</v>
      </c>
      <c r="P980">
        <f t="shared" ca="1" si="903"/>
        <v>97.605593548153166</v>
      </c>
      <c r="Q980">
        <f t="shared" ca="1" si="904"/>
        <v>112.73589064289713</v>
      </c>
      <c r="R980">
        <f t="shared" ca="1" si="905"/>
        <v>0</v>
      </c>
      <c r="S980">
        <f t="shared" ca="1" si="906"/>
        <v>0</v>
      </c>
    </row>
    <row r="981" spans="5:19" x14ac:dyDescent="0.75">
      <c r="E981">
        <v>976</v>
      </c>
      <c r="F981">
        <f t="shared" si="902"/>
        <v>100</v>
      </c>
      <c r="G981">
        <f t="shared" ca="1" si="903"/>
        <v>95.489368735899035</v>
      </c>
      <c r="H981">
        <f t="shared" ca="1" si="903"/>
        <v>100.09075394642798</v>
      </c>
      <c r="I981">
        <f t="shared" ca="1" si="903"/>
        <v>100.43535110100042</v>
      </c>
      <c r="J981">
        <f t="shared" ca="1" si="903"/>
        <v>100.39997112863254</v>
      </c>
      <c r="K981">
        <f t="shared" ca="1" si="903"/>
        <v>94.02813616920487</v>
      </c>
      <c r="L981">
        <f t="shared" ca="1" si="903"/>
        <v>84.7819127339868</v>
      </c>
      <c r="M981">
        <f t="shared" ca="1" si="903"/>
        <v>88.996182233684564</v>
      </c>
      <c r="N981">
        <f t="shared" ca="1" si="903"/>
        <v>87.738259479151921</v>
      </c>
      <c r="O981">
        <f t="shared" ca="1" si="903"/>
        <v>86.184991700615598</v>
      </c>
      <c r="P981">
        <f t="shared" ca="1" si="903"/>
        <v>81.64649077063001</v>
      </c>
      <c r="Q981">
        <f t="shared" ca="1" si="904"/>
        <v>100.43535110100042</v>
      </c>
      <c r="R981">
        <f t="shared" ca="1" si="905"/>
        <v>0</v>
      </c>
      <c r="S981">
        <f t="shared" ca="1" si="906"/>
        <v>0</v>
      </c>
    </row>
    <row r="982" spans="5:19" x14ac:dyDescent="0.75">
      <c r="E982">
        <v>977</v>
      </c>
      <c r="F982">
        <f t="shared" si="902"/>
        <v>100</v>
      </c>
      <c r="G982">
        <f t="shared" ca="1" si="903"/>
        <v>93.940055633142293</v>
      </c>
      <c r="H982">
        <f t="shared" ca="1" si="903"/>
        <v>97.448327194222713</v>
      </c>
      <c r="I982">
        <f t="shared" ca="1" si="903"/>
        <v>104.42589618385355</v>
      </c>
      <c r="J982">
        <f t="shared" ca="1" si="903"/>
        <v>103.85322317240791</v>
      </c>
      <c r="K982">
        <f t="shared" ca="1" si="903"/>
        <v>106.97360741889536</v>
      </c>
      <c r="L982">
        <f t="shared" ca="1" si="903"/>
        <v>106.37817584221136</v>
      </c>
      <c r="M982">
        <f t="shared" ca="1" si="903"/>
        <v>105.41186105306035</v>
      </c>
      <c r="N982">
        <f t="shared" ca="1" si="903"/>
        <v>106.56093522175773</v>
      </c>
      <c r="O982">
        <f t="shared" ca="1" si="903"/>
        <v>107.60190822212881</v>
      </c>
      <c r="P982">
        <f t="shared" ca="1" si="903"/>
        <v>100.06420819255109</v>
      </c>
      <c r="Q982">
        <f t="shared" ca="1" si="904"/>
        <v>107.60190822212881</v>
      </c>
      <c r="R982">
        <f t="shared" ca="1" si="905"/>
        <v>0</v>
      </c>
      <c r="S982">
        <f t="shared" ca="1" si="906"/>
        <v>0</v>
      </c>
    </row>
    <row r="983" spans="5:19" x14ac:dyDescent="0.75">
      <c r="E983">
        <v>978</v>
      </c>
      <c r="F983">
        <f t="shared" si="902"/>
        <v>100</v>
      </c>
      <c r="G983">
        <f t="shared" ca="1" si="903"/>
        <v>96.3923226745259</v>
      </c>
      <c r="H983">
        <f t="shared" ca="1" si="903"/>
        <v>94.766050246702278</v>
      </c>
      <c r="I983">
        <f t="shared" ca="1" si="903"/>
        <v>90.278946779294941</v>
      </c>
      <c r="J983">
        <f t="shared" ca="1" si="903"/>
        <v>83.83141989330548</v>
      </c>
      <c r="K983">
        <f t="shared" ca="1" si="903"/>
        <v>85.865795382283977</v>
      </c>
      <c r="L983">
        <f t="shared" ca="1" si="903"/>
        <v>86.171397286949059</v>
      </c>
      <c r="M983">
        <f t="shared" ca="1" si="903"/>
        <v>81.682764018249401</v>
      </c>
      <c r="N983">
        <f t="shared" ca="1" si="903"/>
        <v>82.949834725519182</v>
      </c>
      <c r="O983">
        <f t="shared" ca="1" si="903"/>
        <v>81.682419520234347</v>
      </c>
      <c r="P983">
        <f t="shared" ca="1" si="903"/>
        <v>76.429652682645923</v>
      </c>
      <c r="Q983">
        <f t="shared" ca="1" si="904"/>
        <v>96.3923226745259</v>
      </c>
      <c r="R983">
        <f t="shared" ca="1" si="905"/>
        <v>0</v>
      </c>
      <c r="S983">
        <f t="shared" ca="1" si="906"/>
        <v>0</v>
      </c>
    </row>
    <row r="984" spans="5:19" x14ac:dyDescent="0.75">
      <c r="E984">
        <v>979</v>
      </c>
      <c r="F984">
        <f t="shared" si="902"/>
        <v>100</v>
      </c>
      <c r="G984">
        <f t="shared" ca="1" si="903"/>
        <v>97.117022549684862</v>
      </c>
      <c r="H984">
        <f t="shared" ca="1" si="903"/>
        <v>94.716457066003727</v>
      </c>
      <c r="I984">
        <f t="shared" ca="1" si="903"/>
        <v>95.458392690627221</v>
      </c>
      <c r="J984">
        <f t="shared" ca="1" si="903"/>
        <v>97.301567694575354</v>
      </c>
      <c r="K984">
        <f t="shared" ca="1" si="903"/>
        <v>91.344742369089474</v>
      </c>
      <c r="L984">
        <f t="shared" ca="1" si="903"/>
        <v>90.046245192650275</v>
      </c>
      <c r="M984">
        <f t="shared" ca="1" si="903"/>
        <v>86.014464841991796</v>
      </c>
      <c r="N984">
        <f t="shared" ca="1" si="903"/>
        <v>87.896682224449762</v>
      </c>
      <c r="O984">
        <f t="shared" ca="1" si="903"/>
        <v>83.914253958242838</v>
      </c>
      <c r="P984">
        <f t="shared" ca="1" si="903"/>
        <v>86.12188219518039</v>
      </c>
      <c r="Q984">
        <f t="shared" ca="1" si="904"/>
        <v>97.301567694575354</v>
      </c>
      <c r="R984">
        <f t="shared" ca="1" si="905"/>
        <v>0</v>
      </c>
      <c r="S984">
        <f t="shared" ca="1" si="906"/>
        <v>0</v>
      </c>
    </row>
    <row r="985" spans="5:19" x14ac:dyDescent="0.75">
      <c r="E985">
        <v>980</v>
      </c>
      <c r="F985">
        <f t="shared" si="902"/>
        <v>100</v>
      </c>
      <c r="G985">
        <f t="shared" ca="1" si="903"/>
        <v>104.68826093718408</v>
      </c>
      <c r="H985">
        <f t="shared" ca="1" si="903"/>
        <v>101.40285723732394</v>
      </c>
      <c r="I985">
        <f t="shared" ca="1" si="903"/>
        <v>104.60556828281119</v>
      </c>
      <c r="J985">
        <f t="shared" ca="1" si="903"/>
        <v>107.77191707745915</v>
      </c>
      <c r="K985">
        <f t="shared" ca="1" si="903"/>
        <v>107.41942268609358</v>
      </c>
      <c r="L985">
        <f t="shared" ca="1" si="903"/>
        <v>103.92706518692387</v>
      </c>
      <c r="M985">
        <f t="shared" ca="1" si="903"/>
        <v>102.70951607514337</v>
      </c>
      <c r="N985">
        <f t="shared" ca="1" si="903"/>
        <v>96.379760476274242</v>
      </c>
      <c r="O985">
        <f t="shared" ca="1" si="903"/>
        <v>90.103187026997205</v>
      </c>
      <c r="P985">
        <f t="shared" ca="1" si="903"/>
        <v>88.48081337918417</v>
      </c>
      <c r="Q985">
        <f t="shared" ca="1" si="904"/>
        <v>107.77191707745915</v>
      </c>
      <c r="R985">
        <f t="shared" ca="1" si="905"/>
        <v>0</v>
      </c>
      <c r="S985">
        <f t="shared" ca="1" si="906"/>
        <v>0</v>
      </c>
    </row>
    <row r="986" spans="5:19" x14ac:dyDescent="0.75">
      <c r="E986">
        <v>981</v>
      </c>
      <c r="F986">
        <f t="shared" si="902"/>
        <v>100</v>
      </c>
      <c r="G986">
        <f t="shared" ca="1" si="903"/>
        <v>98.010703696153428</v>
      </c>
      <c r="H986">
        <f t="shared" ca="1" si="903"/>
        <v>101.18150227287808</v>
      </c>
      <c r="I986">
        <f t="shared" ca="1" si="903"/>
        <v>94.34067794576525</v>
      </c>
      <c r="J986">
        <f t="shared" ca="1" si="903"/>
        <v>87.090151608824129</v>
      </c>
      <c r="K986">
        <f t="shared" ca="1" si="903"/>
        <v>89.231639403627668</v>
      </c>
      <c r="L986">
        <f t="shared" ca="1" si="903"/>
        <v>89.272017262907681</v>
      </c>
      <c r="M986">
        <f t="shared" ca="1" si="903"/>
        <v>89.492682683184682</v>
      </c>
      <c r="N986">
        <f t="shared" ca="1" si="903"/>
        <v>91.945579824097905</v>
      </c>
      <c r="O986">
        <f t="shared" ref="O986:P986" ca="1" si="907">N986*EXP(($C$6-0.5*$C$7^2)*$C$12+$C$7*SQRT($C$12)*NORMINV(RAND(),0,1))</f>
        <v>91.595038555383255</v>
      </c>
      <c r="P986">
        <f t="shared" ca="1" si="907"/>
        <v>90.552162237228174</v>
      </c>
      <c r="Q986">
        <f t="shared" ca="1" si="904"/>
        <v>101.18150227287808</v>
      </c>
      <c r="R986">
        <f t="shared" ca="1" si="905"/>
        <v>0</v>
      </c>
      <c r="S986">
        <f t="shared" ca="1" si="906"/>
        <v>0</v>
      </c>
    </row>
    <row r="987" spans="5:19" x14ac:dyDescent="0.75">
      <c r="E987">
        <v>982</v>
      </c>
      <c r="F987">
        <f t="shared" si="902"/>
        <v>100</v>
      </c>
      <c r="G987">
        <f t="shared" ca="1" si="903"/>
        <v>108.34898732826679</v>
      </c>
      <c r="H987">
        <f t="shared" ca="1" si="903"/>
        <v>114.72035061663952</v>
      </c>
      <c r="I987">
        <f t="shared" ca="1" si="903"/>
        <v>113.50384748197095</v>
      </c>
      <c r="J987">
        <f t="shared" ref="J987:P987" ca="1" si="908">I987*EXP(($C$6-0.5*$C$7^2)*$C$12+$C$7*SQRT($C$12)*NORMINV(RAND(),0,1))</f>
        <v>120.16054756718432</v>
      </c>
      <c r="K987">
        <f t="shared" ca="1" si="908"/>
        <v>120.08759796928433</v>
      </c>
      <c r="L987">
        <f t="shared" ca="1" si="908"/>
        <v>122.52574870599584</v>
      </c>
      <c r="M987">
        <f t="shared" ca="1" si="908"/>
        <v>121.46412252774154</v>
      </c>
      <c r="N987">
        <f t="shared" ca="1" si="908"/>
        <v>123.11454915162928</v>
      </c>
      <c r="O987">
        <f t="shared" ca="1" si="908"/>
        <v>123.33545827458435</v>
      </c>
      <c r="P987">
        <f t="shared" ca="1" si="908"/>
        <v>119.66080521679437</v>
      </c>
      <c r="Q987">
        <f t="shared" ca="1" si="904"/>
        <v>123.33545827458435</v>
      </c>
      <c r="R987">
        <f t="shared" ca="1" si="905"/>
        <v>0</v>
      </c>
      <c r="S987">
        <f t="shared" ca="1" si="906"/>
        <v>0</v>
      </c>
    </row>
    <row r="988" spans="5:19" x14ac:dyDescent="0.75">
      <c r="E988">
        <v>983</v>
      </c>
      <c r="F988">
        <f t="shared" si="902"/>
        <v>100</v>
      </c>
      <c r="G988">
        <f t="shared" ca="1" si="903"/>
        <v>99.650859266743751</v>
      </c>
      <c r="H988">
        <f t="shared" ca="1" si="903"/>
        <v>96.983102327668888</v>
      </c>
      <c r="I988">
        <f t="shared" ca="1" si="903"/>
        <v>95.301313181249299</v>
      </c>
      <c r="J988">
        <f t="shared" ref="J988:P988" ca="1" si="909">I988*EXP(($C$6-0.5*$C$7^2)*$C$12+$C$7*SQRT($C$12)*NORMINV(RAND(),0,1))</f>
        <v>96.813134915324</v>
      </c>
      <c r="K988">
        <f t="shared" ca="1" si="909"/>
        <v>86.465672683121525</v>
      </c>
      <c r="L988">
        <f t="shared" ca="1" si="909"/>
        <v>89.112566480540409</v>
      </c>
      <c r="M988">
        <f t="shared" ca="1" si="909"/>
        <v>88.772591653320944</v>
      </c>
      <c r="N988">
        <f t="shared" ca="1" si="909"/>
        <v>85.920936011735648</v>
      </c>
      <c r="O988">
        <f t="shared" ca="1" si="909"/>
        <v>86.975508109003229</v>
      </c>
      <c r="P988">
        <f t="shared" ca="1" si="909"/>
        <v>87.988974710171632</v>
      </c>
      <c r="Q988">
        <f t="shared" ca="1" si="904"/>
        <v>99.650859266743751</v>
      </c>
      <c r="R988">
        <f t="shared" ca="1" si="905"/>
        <v>0</v>
      </c>
      <c r="S988">
        <f t="shared" ca="1" si="906"/>
        <v>0</v>
      </c>
    </row>
    <row r="989" spans="5:19" x14ac:dyDescent="0.75">
      <c r="E989">
        <v>984</v>
      </c>
      <c r="F989">
        <f t="shared" si="902"/>
        <v>100</v>
      </c>
      <c r="G989">
        <f t="shared" ca="1" si="903"/>
        <v>98.942042397675735</v>
      </c>
      <c r="H989">
        <f t="shared" ca="1" si="903"/>
        <v>93.217385892395669</v>
      </c>
      <c r="I989">
        <f t="shared" ca="1" si="903"/>
        <v>88.680164099123289</v>
      </c>
      <c r="J989">
        <f t="shared" ref="J989:P989" ca="1" si="910">I989*EXP(($C$6-0.5*$C$7^2)*$C$12+$C$7*SQRT($C$12)*NORMINV(RAND(),0,1))</f>
        <v>89.301650139918976</v>
      </c>
      <c r="K989">
        <f t="shared" ca="1" si="910"/>
        <v>84.722144400708629</v>
      </c>
      <c r="L989">
        <f t="shared" ca="1" si="910"/>
        <v>84.619887439414299</v>
      </c>
      <c r="M989">
        <f t="shared" ca="1" si="910"/>
        <v>83.331507458367255</v>
      </c>
      <c r="N989">
        <f t="shared" ca="1" si="910"/>
        <v>86.547976426747766</v>
      </c>
      <c r="O989">
        <f t="shared" ca="1" si="910"/>
        <v>90.005500980384909</v>
      </c>
      <c r="P989">
        <f t="shared" ca="1" si="910"/>
        <v>87.705276786155551</v>
      </c>
      <c r="Q989">
        <f t="shared" ca="1" si="904"/>
        <v>98.942042397675735</v>
      </c>
      <c r="R989">
        <f t="shared" ca="1" si="905"/>
        <v>0</v>
      </c>
      <c r="S989">
        <f t="shared" ca="1" si="906"/>
        <v>0</v>
      </c>
    </row>
    <row r="990" spans="5:19" x14ac:dyDescent="0.75">
      <c r="E990">
        <v>985</v>
      </c>
      <c r="F990">
        <f t="shared" si="902"/>
        <v>100</v>
      </c>
      <c r="G990">
        <f t="shared" ca="1" si="903"/>
        <v>99.102703116520303</v>
      </c>
      <c r="H990">
        <f t="shared" ca="1" si="903"/>
        <v>95.387403101411323</v>
      </c>
      <c r="I990">
        <f t="shared" ca="1" si="903"/>
        <v>99.684338407975531</v>
      </c>
      <c r="J990">
        <f t="shared" ref="J990:P990" ca="1" si="911">I990*EXP(($C$6-0.5*$C$7^2)*$C$12+$C$7*SQRT($C$12)*NORMINV(RAND(),0,1))</f>
        <v>98.030122174013073</v>
      </c>
      <c r="K990">
        <f t="shared" ca="1" si="911"/>
        <v>105.65943338720365</v>
      </c>
      <c r="L990">
        <f t="shared" ca="1" si="911"/>
        <v>111.29260664601912</v>
      </c>
      <c r="M990">
        <f t="shared" ca="1" si="911"/>
        <v>106.18154819286389</v>
      </c>
      <c r="N990">
        <f t="shared" ca="1" si="911"/>
        <v>106.33185550739172</v>
      </c>
      <c r="O990">
        <f t="shared" ca="1" si="911"/>
        <v>111.56223527189468</v>
      </c>
      <c r="P990">
        <f t="shared" ca="1" si="911"/>
        <v>107.30924249529835</v>
      </c>
      <c r="Q990">
        <f t="shared" ca="1" si="904"/>
        <v>111.56223527189468</v>
      </c>
      <c r="R990">
        <f t="shared" ca="1" si="905"/>
        <v>0</v>
      </c>
      <c r="S990">
        <f t="shared" ca="1" si="906"/>
        <v>0</v>
      </c>
    </row>
    <row r="991" spans="5:19" x14ac:dyDescent="0.75">
      <c r="E991">
        <v>986</v>
      </c>
      <c r="F991">
        <f t="shared" si="902"/>
        <v>100</v>
      </c>
      <c r="G991">
        <f t="shared" ca="1" si="903"/>
        <v>96.504688410115975</v>
      </c>
      <c r="H991">
        <f t="shared" ca="1" si="903"/>
        <v>99.281199097469923</v>
      </c>
      <c r="I991">
        <f t="shared" ca="1" si="903"/>
        <v>105.07831589321637</v>
      </c>
      <c r="J991">
        <f t="shared" ref="J991:P991" ca="1" si="912">I991*EXP(($C$6-0.5*$C$7^2)*$C$12+$C$7*SQRT($C$12)*NORMINV(RAND(),0,1))</f>
        <v>110.67016079269857</v>
      </c>
      <c r="K991">
        <f t="shared" ca="1" si="912"/>
        <v>114.52137015886993</v>
      </c>
      <c r="L991">
        <f t="shared" ca="1" si="912"/>
        <v>119.89216435931056</v>
      </c>
      <c r="M991">
        <f t="shared" ca="1" si="912"/>
        <v>119.91653311035286</v>
      </c>
      <c r="N991">
        <f t="shared" ca="1" si="912"/>
        <v>121.07444639183899</v>
      </c>
      <c r="O991">
        <f t="shared" ca="1" si="912"/>
        <v>114.76940889549624</v>
      </c>
      <c r="P991">
        <f t="shared" ca="1" si="912"/>
        <v>121.76458925557533</v>
      </c>
      <c r="Q991">
        <f t="shared" ca="1" si="904"/>
        <v>121.76458925557533</v>
      </c>
      <c r="R991">
        <f t="shared" ca="1" si="905"/>
        <v>0</v>
      </c>
      <c r="S991">
        <f t="shared" ca="1" si="906"/>
        <v>0</v>
      </c>
    </row>
    <row r="992" spans="5:19" x14ac:dyDescent="0.75">
      <c r="E992">
        <v>987</v>
      </c>
      <c r="F992">
        <f t="shared" si="902"/>
        <v>100</v>
      </c>
      <c r="G992">
        <f t="shared" ca="1" si="903"/>
        <v>100.77489014473161</v>
      </c>
      <c r="H992">
        <f t="shared" ca="1" si="903"/>
        <v>106.91562039371867</v>
      </c>
      <c r="I992">
        <f t="shared" ca="1" si="903"/>
        <v>100.21234178704464</v>
      </c>
      <c r="J992">
        <f t="shared" ref="J992:P992" ca="1" si="913">I992*EXP(($C$6-0.5*$C$7^2)*$C$12+$C$7*SQRT($C$12)*NORMINV(RAND(),0,1))</f>
        <v>103.83173832996447</v>
      </c>
      <c r="K992">
        <f t="shared" ca="1" si="913"/>
        <v>99.154345943885247</v>
      </c>
      <c r="L992">
        <f t="shared" ca="1" si="913"/>
        <v>102.26538794965046</v>
      </c>
      <c r="M992">
        <f t="shared" ca="1" si="913"/>
        <v>98.028040608267119</v>
      </c>
      <c r="N992">
        <f t="shared" ca="1" si="913"/>
        <v>97.228957017621809</v>
      </c>
      <c r="O992">
        <f t="shared" ca="1" si="913"/>
        <v>94.675202179810057</v>
      </c>
      <c r="P992">
        <f t="shared" ca="1" si="913"/>
        <v>95.674194016903598</v>
      </c>
      <c r="Q992">
        <f t="shared" ca="1" si="904"/>
        <v>106.91562039371867</v>
      </c>
      <c r="R992">
        <f t="shared" ca="1" si="905"/>
        <v>0</v>
      </c>
      <c r="S992">
        <f t="shared" ca="1" si="906"/>
        <v>0</v>
      </c>
    </row>
    <row r="993" spans="5:19" x14ac:dyDescent="0.75">
      <c r="E993">
        <v>988</v>
      </c>
      <c r="F993">
        <f t="shared" si="902"/>
        <v>100</v>
      </c>
      <c r="G993">
        <f t="shared" ca="1" si="903"/>
        <v>107.31680984679444</v>
      </c>
      <c r="H993">
        <f t="shared" ca="1" si="903"/>
        <v>107.89227898733922</v>
      </c>
      <c r="I993">
        <f t="shared" ca="1" si="903"/>
        <v>107.00926782114401</v>
      </c>
      <c r="J993">
        <f t="shared" ref="J993:P993" ca="1" si="914">I993*EXP(($C$6-0.5*$C$7^2)*$C$12+$C$7*SQRT($C$12)*NORMINV(RAND(),0,1))</f>
        <v>106.52178899721882</v>
      </c>
      <c r="K993">
        <f t="shared" ca="1" si="914"/>
        <v>106.94838563082662</v>
      </c>
      <c r="L993">
        <f t="shared" ca="1" si="914"/>
        <v>107.26740163065938</v>
      </c>
      <c r="M993">
        <f t="shared" ca="1" si="914"/>
        <v>109.81441244189109</v>
      </c>
      <c r="N993">
        <f t="shared" ca="1" si="914"/>
        <v>112.24178091503521</v>
      </c>
      <c r="O993">
        <f t="shared" ca="1" si="914"/>
        <v>113.74355504795429</v>
      </c>
      <c r="P993">
        <f t="shared" ca="1" si="914"/>
        <v>114.989589776999</v>
      </c>
      <c r="Q993">
        <f t="shared" ca="1" si="904"/>
        <v>114.989589776999</v>
      </c>
      <c r="R993">
        <f t="shared" ca="1" si="905"/>
        <v>0</v>
      </c>
      <c r="S993">
        <f t="shared" ca="1" si="906"/>
        <v>0</v>
      </c>
    </row>
    <row r="994" spans="5:19" x14ac:dyDescent="0.75">
      <c r="E994">
        <v>989</v>
      </c>
      <c r="F994">
        <f t="shared" si="902"/>
        <v>100</v>
      </c>
      <c r="G994">
        <f t="shared" ca="1" si="903"/>
        <v>105.49862036461425</v>
      </c>
      <c r="H994">
        <f t="shared" ca="1" si="903"/>
        <v>106.71659700748971</v>
      </c>
      <c r="I994">
        <f t="shared" ca="1" si="903"/>
        <v>106.7623920265339</v>
      </c>
      <c r="J994">
        <f t="shared" ref="J994:P994" ca="1" si="915">I994*EXP(($C$6-0.5*$C$7^2)*$C$12+$C$7*SQRT($C$12)*NORMINV(RAND(),0,1))</f>
        <v>104.8919198630775</v>
      </c>
      <c r="K994">
        <f t="shared" ca="1" si="915"/>
        <v>99.88739155801558</v>
      </c>
      <c r="L994">
        <f t="shared" ca="1" si="915"/>
        <v>101.71507706181963</v>
      </c>
      <c r="M994">
        <f t="shared" ca="1" si="915"/>
        <v>101.5852454039043</v>
      </c>
      <c r="N994">
        <f t="shared" ca="1" si="915"/>
        <v>105.06510954858341</v>
      </c>
      <c r="O994">
        <f t="shared" ca="1" si="915"/>
        <v>96.488195489893641</v>
      </c>
      <c r="P994">
        <f t="shared" ca="1" si="915"/>
        <v>92.803599205492048</v>
      </c>
      <c r="Q994">
        <f t="shared" ca="1" si="904"/>
        <v>106.7623920265339</v>
      </c>
      <c r="R994">
        <f t="shared" ca="1" si="905"/>
        <v>0</v>
      </c>
      <c r="S994">
        <f t="shared" ca="1" si="906"/>
        <v>0</v>
      </c>
    </row>
    <row r="995" spans="5:19" x14ac:dyDescent="0.75">
      <c r="E995">
        <v>990</v>
      </c>
      <c r="F995">
        <f t="shared" si="902"/>
        <v>100</v>
      </c>
      <c r="G995">
        <f t="shared" ca="1" si="903"/>
        <v>92.586572160689244</v>
      </c>
      <c r="H995">
        <f t="shared" ca="1" si="903"/>
        <v>92.740765804668825</v>
      </c>
      <c r="I995">
        <f t="shared" ca="1" si="903"/>
        <v>89.891025181890825</v>
      </c>
      <c r="J995">
        <f t="shared" ref="J995:P995" ca="1" si="916">I995*EXP(($C$6-0.5*$C$7^2)*$C$12+$C$7*SQRT($C$12)*NORMINV(RAND(),0,1))</f>
        <v>85.975487276054082</v>
      </c>
      <c r="K995">
        <f t="shared" ca="1" si="916"/>
        <v>87.188417073716977</v>
      </c>
      <c r="L995">
        <f t="shared" ca="1" si="916"/>
        <v>84.06292706906234</v>
      </c>
      <c r="M995">
        <f t="shared" ca="1" si="916"/>
        <v>83.941653622444093</v>
      </c>
      <c r="N995">
        <f t="shared" ca="1" si="916"/>
        <v>83.232378865692269</v>
      </c>
      <c r="O995">
        <f t="shared" ca="1" si="916"/>
        <v>82.383801467985975</v>
      </c>
      <c r="P995">
        <f t="shared" ca="1" si="916"/>
        <v>82.806921563229793</v>
      </c>
      <c r="Q995">
        <f t="shared" ca="1" si="904"/>
        <v>92.740765804668825</v>
      </c>
      <c r="R995">
        <f t="shared" ca="1" si="905"/>
        <v>0</v>
      </c>
      <c r="S995">
        <f t="shared" ca="1" si="906"/>
        <v>0</v>
      </c>
    </row>
    <row r="996" spans="5:19" x14ac:dyDescent="0.75">
      <c r="E996">
        <v>991</v>
      </c>
      <c r="F996">
        <f t="shared" si="902"/>
        <v>100</v>
      </c>
      <c r="G996">
        <f t="shared" ca="1" si="903"/>
        <v>99.519304535320003</v>
      </c>
      <c r="H996">
        <f t="shared" ca="1" si="903"/>
        <v>98.593377620314016</v>
      </c>
      <c r="I996">
        <f t="shared" ca="1" si="903"/>
        <v>105.08628730681198</v>
      </c>
      <c r="J996">
        <f t="shared" ref="J996:P996" ca="1" si="917">I996*EXP(($C$6-0.5*$C$7^2)*$C$12+$C$7*SQRT($C$12)*NORMINV(RAND(),0,1))</f>
        <v>108.27853304993636</v>
      </c>
      <c r="K996">
        <f t="shared" ca="1" si="917"/>
        <v>101.7480042127235</v>
      </c>
      <c r="L996">
        <f t="shared" ca="1" si="917"/>
        <v>99.870416814632335</v>
      </c>
      <c r="M996">
        <f t="shared" ca="1" si="917"/>
        <v>96.599245817067967</v>
      </c>
      <c r="N996">
        <f t="shared" ca="1" si="917"/>
        <v>89.863502321280308</v>
      </c>
      <c r="O996">
        <f t="shared" ca="1" si="917"/>
        <v>85.541118409654004</v>
      </c>
      <c r="P996">
        <f t="shared" ca="1" si="917"/>
        <v>90.165574400970542</v>
      </c>
      <c r="Q996">
        <f t="shared" ca="1" si="904"/>
        <v>108.27853304993636</v>
      </c>
      <c r="R996">
        <f t="shared" ca="1" si="905"/>
        <v>0</v>
      </c>
      <c r="S996">
        <f t="shared" ca="1" si="906"/>
        <v>0</v>
      </c>
    </row>
    <row r="997" spans="5:19" x14ac:dyDescent="0.75">
      <c r="E997">
        <v>992</v>
      </c>
      <c r="F997">
        <f t="shared" si="902"/>
        <v>100</v>
      </c>
      <c r="G997">
        <f t="shared" ca="1" si="903"/>
        <v>107.62146655570064</v>
      </c>
      <c r="H997">
        <f t="shared" ca="1" si="903"/>
        <v>108.77959569269281</v>
      </c>
      <c r="I997">
        <f t="shared" ca="1" si="903"/>
        <v>108.21520907054634</v>
      </c>
      <c r="J997">
        <f t="shared" ref="J997:P997" ca="1" si="918">I997*EXP(($C$6-0.5*$C$7^2)*$C$12+$C$7*SQRT($C$12)*NORMINV(RAND(),0,1))</f>
        <v>102.62245971559078</v>
      </c>
      <c r="K997">
        <f t="shared" ca="1" si="918"/>
        <v>100.22895457898032</v>
      </c>
      <c r="L997">
        <f t="shared" ca="1" si="918"/>
        <v>104.98338235735943</v>
      </c>
      <c r="M997">
        <f t="shared" ca="1" si="918"/>
        <v>101.24418749453102</v>
      </c>
      <c r="N997">
        <f t="shared" ca="1" si="918"/>
        <v>104.13390004115809</v>
      </c>
      <c r="O997">
        <f t="shared" ca="1" si="918"/>
        <v>104.87043240221266</v>
      </c>
      <c r="P997">
        <f t="shared" ca="1" si="918"/>
        <v>102.60435089325362</v>
      </c>
      <c r="Q997">
        <f t="shared" ca="1" si="904"/>
        <v>108.77959569269281</v>
      </c>
      <c r="R997">
        <f t="shared" ca="1" si="905"/>
        <v>0.60435089325362412</v>
      </c>
      <c r="S997">
        <f t="shared" ca="1" si="906"/>
        <v>0.58942941653343639</v>
      </c>
    </row>
    <row r="998" spans="5:19" x14ac:dyDescent="0.75">
      <c r="E998">
        <v>993</v>
      </c>
      <c r="F998">
        <f t="shared" si="902"/>
        <v>100</v>
      </c>
      <c r="G998">
        <f t="shared" ca="1" si="903"/>
        <v>98.721907480583042</v>
      </c>
      <c r="H998">
        <f t="shared" ca="1" si="903"/>
        <v>97.356778070316267</v>
      </c>
      <c r="I998">
        <f t="shared" ca="1" si="903"/>
        <v>93.172831546583765</v>
      </c>
      <c r="J998">
        <f t="shared" ref="J998:P998" ca="1" si="919">I998*EXP(($C$6-0.5*$C$7^2)*$C$12+$C$7*SQRT($C$12)*NORMINV(RAND(),0,1))</f>
        <v>99.466557476977528</v>
      </c>
      <c r="K998">
        <f t="shared" ca="1" si="919"/>
        <v>100.41942740402621</v>
      </c>
      <c r="L998">
        <f t="shared" ca="1" si="919"/>
        <v>101.95262204145978</v>
      </c>
      <c r="M998">
        <f t="shared" ca="1" si="919"/>
        <v>102.93224303487665</v>
      </c>
      <c r="N998">
        <f t="shared" ca="1" si="919"/>
        <v>103.81076670639314</v>
      </c>
      <c r="O998">
        <f t="shared" ca="1" si="919"/>
        <v>99.058198280687492</v>
      </c>
      <c r="P998">
        <f t="shared" ca="1" si="919"/>
        <v>96.532201306145311</v>
      </c>
      <c r="Q998">
        <f t="shared" ca="1" si="904"/>
        <v>103.81076670639314</v>
      </c>
      <c r="R998">
        <f t="shared" ca="1" si="905"/>
        <v>0</v>
      </c>
      <c r="S998">
        <f t="shared" ca="1" si="906"/>
        <v>0</v>
      </c>
    </row>
    <row r="999" spans="5:19" x14ac:dyDescent="0.75">
      <c r="E999">
        <v>994</v>
      </c>
      <c r="F999">
        <f t="shared" si="902"/>
        <v>100</v>
      </c>
      <c r="G999">
        <f t="shared" ca="1" si="903"/>
        <v>98.630866918775411</v>
      </c>
      <c r="H999">
        <f t="shared" ca="1" si="903"/>
        <v>95.531177793239578</v>
      </c>
      <c r="I999">
        <f t="shared" ca="1" si="903"/>
        <v>99.724164096607495</v>
      </c>
      <c r="J999">
        <f t="shared" ref="J999:P999" ca="1" si="920">I999*EXP(($C$6-0.5*$C$7^2)*$C$12+$C$7*SQRT($C$12)*NORMINV(RAND(),0,1))</f>
        <v>105.1758762989612</v>
      </c>
      <c r="K999">
        <f t="shared" ca="1" si="920"/>
        <v>112.78259193806495</v>
      </c>
      <c r="L999">
        <f t="shared" ca="1" si="920"/>
        <v>124.58441323676406</v>
      </c>
      <c r="M999">
        <f t="shared" ca="1" si="920"/>
        <v>123.44579342474357</v>
      </c>
      <c r="N999">
        <f t="shared" ca="1" si="920"/>
        <v>112.93547741884913</v>
      </c>
      <c r="O999">
        <f t="shared" ca="1" si="920"/>
        <v>119.52366321002891</v>
      </c>
      <c r="P999">
        <f t="shared" ca="1" si="920"/>
        <v>114.82926123060771</v>
      </c>
      <c r="Q999">
        <f t="shared" ca="1" si="904"/>
        <v>124.58441323676406</v>
      </c>
      <c r="R999">
        <f t="shared" ca="1" si="905"/>
        <v>0</v>
      </c>
      <c r="S999">
        <f t="shared" ca="1" si="906"/>
        <v>0</v>
      </c>
    </row>
    <row r="1000" spans="5:19" x14ac:dyDescent="0.75">
      <c r="E1000">
        <v>995</v>
      </c>
      <c r="F1000">
        <f t="shared" si="902"/>
        <v>100</v>
      </c>
      <c r="G1000">
        <f t="shared" ca="1" si="903"/>
        <v>98.852244068224465</v>
      </c>
      <c r="H1000">
        <f t="shared" ca="1" si="903"/>
        <v>98.691569950912935</v>
      </c>
      <c r="I1000">
        <f t="shared" ca="1" si="903"/>
        <v>97.901427478126863</v>
      </c>
      <c r="J1000">
        <f t="shared" ref="J1000:P1000" ca="1" si="921">I1000*EXP(($C$6-0.5*$C$7^2)*$C$12+$C$7*SQRT($C$12)*NORMINV(RAND(),0,1))</f>
        <v>92.439924610325122</v>
      </c>
      <c r="K1000">
        <f t="shared" ca="1" si="921"/>
        <v>89.574870712204103</v>
      </c>
      <c r="L1000">
        <f t="shared" ca="1" si="921"/>
        <v>86.116953592706196</v>
      </c>
      <c r="M1000">
        <f t="shared" ca="1" si="921"/>
        <v>83.777887165078297</v>
      </c>
      <c r="N1000">
        <f t="shared" ca="1" si="921"/>
        <v>80.717019949096212</v>
      </c>
      <c r="O1000">
        <f t="shared" ca="1" si="921"/>
        <v>78.716065822054944</v>
      </c>
      <c r="P1000">
        <f t="shared" ca="1" si="921"/>
        <v>76.369413269406081</v>
      </c>
      <c r="Q1000">
        <f t="shared" ca="1" si="904"/>
        <v>98.852244068224465</v>
      </c>
      <c r="R1000">
        <f t="shared" ca="1" si="905"/>
        <v>0</v>
      </c>
      <c r="S1000">
        <f t="shared" ca="1" si="906"/>
        <v>0</v>
      </c>
    </row>
    <row r="1001" spans="5:19" x14ac:dyDescent="0.75">
      <c r="E1001">
        <v>996</v>
      </c>
      <c r="F1001">
        <f t="shared" si="902"/>
        <v>100</v>
      </c>
      <c r="G1001">
        <f t="shared" ca="1" si="903"/>
        <v>106.88884958202213</v>
      </c>
      <c r="H1001">
        <f t="shared" ca="1" si="903"/>
        <v>111.40994666784275</v>
      </c>
      <c r="I1001">
        <f t="shared" ca="1" si="903"/>
        <v>114.27707000632989</v>
      </c>
      <c r="J1001">
        <f t="shared" ref="J1001:P1001" ca="1" si="922">I1001*EXP(($C$6-0.5*$C$7^2)*$C$12+$C$7*SQRT($C$12)*NORMINV(RAND(),0,1))</f>
        <v>115.08204108145908</v>
      </c>
      <c r="K1001">
        <f t="shared" ca="1" si="922"/>
        <v>106.17237087807058</v>
      </c>
      <c r="L1001">
        <f t="shared" ca="1" si="922"/>
        <v>99.071342455074443</v>
      </c>
      <c r="M1001">
        <f t="shared" ca="1" si="922"/>
        <v>108.71771623746493</v>
      </c>
      <c r="N1001">
        <f t="shared" ca="1" si="922"/>
        <v>108.68887578721163</v>
      </c>
      <c r="O1001">
        <f t="shared" ca="1" si="922"/>
        <v>108.25204971295841</v>
      </c>
      <c r="P1001">
        <f t="shared" ca="1" si="922"/>
        <v>107.78593556220383</v>
      </c>
      <c r="Q1001">
        <f t="shared" ca="1" si="904"/>
        <v>115.08204108145908</v>
      </c>
      <c r="R1001">
        <f t="shared" ca="1" si="905"/>
        <v>0</v>
      </c>
      <c r="S1001">
        <f t="shared" ca="1" si="906"/>
        <v>0</v>
      </c>
    </row>
    <row r="1002" spans="5:19" x14ac:dyDescent="0.75">
      <c r="E1002">
        <v>997</v>
      </c>
      <c r="F1002">
        <f t="shared" si="902"/>
        <v>100</v>
      </c>
      <c r="G1002">
        <f t="shared" ca="1" si="903"/>
        <v>97.598102660237657</v>
      </c>
      <c r="H1002">
        <f t="shared" ca="1" si="903"/>
        <v>92.038440437357721</v>
      </c>
      <c r="I1002">
        <f t="shared" ca="1" si="903"/>
        <v>93.253716881062971</v>
      </c>
      <c r="J1002">
        <f t="shared" ref="J1002:P1002" ca="1" si="923">I1002*EXP(($C$6-0.5*$C$7^2)*$C$12+$C$7*SQRT($C$12)*NORMINV(RAND(),0,1))</f>
        <v>89.556321950604129</v>
      </c>
      <c r="K1002">
        <f t="shared" ca="1" si="923"/>
        <v>89.922886463289188</v>
      </c>
      <c r="L1002">
        <f t="shared" ca="1" si="923"/>
        <v>87.774223610739128</v>
      </c>
      <c r="M1002">
        <f t="shared" ca="1" si="923"/>
        <v>93.229576314872958</v>
      </c>
      <c r="N1002">
        <f t="shared" ca="1" si="923"/>
        <v>92.337125444041774</v>
      </c>
      <c r="O1002">
        <f t="shared" ca="1" si="923"/>
        <v>89.668703943473162</v>
      </c>
      <c r="P1002">
        <f t="shared" ca="1" si="923"/>
        <v>90.950471465264584</v>
      </c>
      <c r="Q1002">
        <f t="shared" ca="1" si="904"/>
        <v>97.598102660237657</v>
      </c>
      <c r="R1002">
        <f t="shared" ca="1" si="905"/>
        <v>0</v>
      </c>
      <c r="S1002">
        <f t="shared" ca="1" si="906"/>
        <v>0</v>
      </c>
    </row>
    <row r="1003" spans="5:19" x14ac:dyDescent="0.75">
      <c r="E1003">
        <v>998</v>
      </c>
      <c r="F1003">
        <f t="shared" si="902"/>
        <v>100</v>
      </c>
      <c r="G1003">
        <f t="shared" ca="1" si="903"/>
        <v>96.236291645480662</v>
      </c>
      <c r="H1003">
        <f t="shared" ca="1" si="903"/>
        <v>95.101914222743346</v>
      </c>
      <c r="I1003">
        <f t="shared" ca="1" si="903"/>
        <v>93.274233849082748</v>
      </c>
      <c r="J1003">
        <f t="shared" ref="J1003:P1003" ca="1" si="924">I1003*EXP(($C$6-0.5*$C$7^2)*$C$12+$C$7*SQRT($C$12)*NORMINV(RAND(),0,1))</f>
        <v>94.598792323111851</v>
      </c>
      <c r="K1003">
        <f t="shared" ca="1" si="924"/>
        <v>94.662889452298884</v>
      </c>
      <c r="L1003">
        <f t="shared" ca="1" si="924"/>
        <v>96.068382851859894</v>
      </c>
      <c r="M1003">
        <f t="shared" ca="1" si="924"/>
        <v>104.10899933455624</v>
      </c>
      <c r="N1003">
        <f t="shared" ca="1" si="924"/>
        <v>99.779252538103165</v>
      </c>
      <c r="O1003">
        <f t="shared" ca="1" si="924"/>
        <v>97.284685106872331</v>
      </c>
      <c r="P1003">
        <f t="shared" ca="1" si="924"/>
        <v>85.508870952804898</v>
      </c>
      <c r="Q1003">
        <f t="shared" ca="1" si="904"/>
        <v>104.10899933455624</v>
      </c>
      <c r="R1003">
        <f t="shared" ca="1" si="905"/>
        <v>0</v>
      </c>
      <c r="S1003">
        <f t="shared" ca="1" si="906"/>
        <v>0</v>
      </c>
    </row>
    <row r="1004" spans="5:19" x14ac:dyDescent="0.75">
      <c r="E1004">
        <v>999</v>
      </c>
      <c r="F1004">
        <f t="shared" si="902"/>
        <v>100</v>
      </c>
      <c r="G1004">
        <f t="shared" ca="1" si="903"/>
        <v>107.54989827911676</v>
      </c>
      <c r="H1004">
        <f t="shared" ca="1" si="903"/>
        <v>114.5144790857497</v>
      </c>
      <c r="I1004">
        <f t="shared" ca="1" si="903"/>
        <v>119.93055912717162</v>
      </c>
      <c r="J1004">
        <f t="shared" ref="J1004:P1004" ca="1" si="925">I1004*EXP(($C$6-0.5*$C$7^2)*$C$12+$C$7*SQRT($C$12)*NORMINV(RAND(),0,1))</f>
        <v>126.22343413079471</v>
      </c>
      <c r="K1004">
        <f t="shared" ca="1" si="925"/>
        <v>125.1785349894202</v>
      </c>
      <c r="L1004">
        <f t="shared" ca="1" si="925"/>
        <v>117.60941608952952</v>
      </c>
      <c r="M1004">
        <f t="shared" ca="1" si="925"/>
        <v>122.19622985112515</v>
      </c>
      <c r="N1004">
        <f t="shared" ca="1" si="925"/>
        <v>112.85178179938926</v>
      </c>
      <c r="O1004">
        <f t="shared" ca="1" si="925"/>
        <v>104.27702412551737</v>
      </c>
      <c r="P1004">
        <f t="shared" ca="1" si="925"/>
        <v>105.99582226190373</v>
      </c>
      <c r="Q1004">
        <f t="shared" ca="1" si="904"/>
        <v>126.22343413079471</v>
      </c>
      <c r="R1004">
        <f t="shared" ca="1" si="905"/>
        <v>0</v>
      </c>
      <c r="S1004">
        <f t="shared" ca="1" si="906"/>
        <v>0</v>
      </c>
    </row>
    <row r="1005" spans="5:19" x14ac:dyDescent="0.75">
      <c r="E1005">
        <v>1000</v>
      </c>
      <c r="F1005">
        <f t="shared" si="902"/>
        <v>100</v>
      </c>
      <c r="G1005">
        <f t="shared" ca="1" si="903"/>
        <v>93.340439141584497</v>
      </c>
      <c r="H1005">
        <f t="shared" ca="1" si="903"/>
        <v>95.273914230125087</v>
      </c>
      <c r="I1005">
        <f t="shared" ca="1" si="903"/>
        <v>100.28979161727784</v>
      </c>
      <c r="J1005">
        <f t="shared" ref="J1005:P1005" ca="1" si="926">I1005*EXP(($C$6-0.5*$C$7^2)*$C$12+$C$7*SQRT($C$12)*NORMINV(RAND(),0,1))</f>
        <v>95.630107140897223</v>
      </c>
      <c r="K1005">
        <f t="shared" ca="1" si="926"/>
        <v>95.088619291850691</v>
      </c>
      <c r="L1005">
        <f t="shared" ca="1" si="926"/>
        <v>99.639728343819925</v>
      </c>
      <c r="M1005">
        <f t="shared" ca="1" si="926"/>
        <v>93.849084002047519</v>
      </c>
      <c r="N1005">
        <f t="shared" ca="1" si="926"/>
        <v>96.29883311936203</v>
      </c>
      <c r="O1005">
        <f t="shared" ca="1" si="926"/>
        <v>103.1350385027563</v>
      </c>
      <c r="P1005">
        <f t="shared" ca="1" si="926"/>
        <v>104.60696683838623</v>
      </c>
      <c r="Q1005">
        <f t="shared" ca="1" si="904"/>
        <v>104.60696683838623</v>
      </c>
      <c r="R1005">
        <f t="shared" ca="1" si="905"/>
        <v>2.6069668383862279</v>
      </c>
      <c r="S1005">
        <f t="shared" ca="1" si="906"/>
        <v>2.5426005978072523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B81E-75E5-446F-B9AE-1281A6B3D4A8}">
  <dimension ref="B2:N1005"/>
  <sheetViews>
    <sheetView tabSelected="1" topLeftCell="I4" zoomScale="101" workbookViewId="0">
      <selection activeCell="C22" sqref="C22"/>
    </sheetView>
  </sheetViews>
  <sheetFormatPr baseColWidth="10" defaultRowHeight="14.75" x14ac:dyDescent="0.75"/>
  <sheetData>
    <row r="2" spans="2:14" x14ac:dyDescent="0.75">
      <c r="C2" s="2">
        <v>1</v>
      </c>
      <c r="D2" s="2">
        <v>2</v>
      </c>
    </row>
    <row r="3" spans="2:14" x14ac:dyDescent="0.75">
      <c r="B3" t="s">
        <v>33</v>
      </c>
      <c r="C3">
        <v>18</v>
      </c>
      <c r="D3">
        <v>20</v>
      </c>
    </row>
    <row r="4" spans="2:14" x14ac:dyDescent="0.75">
      <c r="B4" t="s">
        <v>34</v>
      </c>
      <c r="C4">
        <v>0.25</v>
      </c>
      <c r="D4">
        <v>0.25</v>
      </c>
    </row>
    <row r="5" spans="2:14" x14ac:dyDescent="0.75">
      <c r="B5" t="s">
        <v>35</v>
      </c>
      <c r="C5">
        <v>0.02</v>
      </c>
      <c r="F5" t="s">
        <v>39</v>
      </c>
      <c r="G5" t="s">
        <v>40</v>
      </c>
      <c r="H5" t="s">
        <v>41</v>
      </c>
      <c r="I5" t="s">
        <v>43</v>
      </c>
      <c r="J5" t="s">
        <v>42</v>
      </c>
      <c r="K5" t="s">
        <v>44</v>
      </c>
      <c r="L5" t="s">
        <v>45</v>
      </c>
      <c r="M5" t="s">
        <v>46</v>
      </c>
      <c r="N5" t="s">
        <v>47</v>
      </c>
    </row>
    <row r="6" spans="2:14" x14ac:dyDescent="0.75">
      <c r="B6" t="s">
        <v>36</v>
      </c>
      <c r="C6">
        <v>1</v>
      </c>
      <c r="F6">
        <v>1</v>
      </c>
      <c r="G6">
        <f ca="1">NORMSINV(RAND())</f>
        <v>0.68728253579535836</v>
      </c>
      <c r="H6">
        <f ca="1">NORMSINV(RAND())</f>
        <v>-0.81170075799440655</v>
      </c>
      <c r="I6">
        <f ca="1">G6</f>
        <v>0.68728253579535836</v>
      </c>
      <c r="J6">
        <f ca="1">G6*$C$8+SQRT(1-$C$8^2)*H6</f>
        <v>-2.1427684317437024E-2</v>
      </c>
      <c r="K6">
        <f ca="1">C$3*EXP(($C$5-0.5*C$4^2)*$C$6+C$4*SQRT($C$6)*I6)</f>
        <v>21.135252730168862</v>
      </c>
      <c r="L6">
        <f ca="1">D$3*EXP(($C$5-0.5*D$4^2)*$C$6+D$4*SQRT($C$6)*J6)</f>
        <v>19.670604273130582</v>
      </c>
      <c r="M6">
        <f ca="1">MAX(SQRT(K6*L6)-$C$7,0)</f>
        <v>0.38978157479266429</v>
      </c>
      <c r="N6">
        <f ca="1">MAX((K6+L6)*0.5-$C$7,0)</f>
        <v>0.40292850164972194</v>
      </c>
    </row>
    <row r="7" spans="2:14" x14ac:dyDescent="0.75">
      <c r="B7" t="s">
        <v>37</v>
      </c>
      <c r="C7">
        <v>20</v>
      </c>
      <c r="F7">
        <v>2</v>
      </c>
      <c r="G7">
        <f t="shared" ref="G7:H70" ca="1" si="0">NORMSINV(RAND())</f>
        <v>-0.28478588984140524</v>
      </c>
      <c r="H7">
        <f t="shared" ca="1" si="0"/>
        <v>-0.33904622115446792</v>
      </c>
      <c r="I7">
        <f t="shared" ref="I7:I70" ca="1" si="1">G7</f>
        <v>-0.28478588984140524</v>
      </c>
      <c r="J7">
        <f t="shared" ref="J7:J70" ca="1" si="2">G7*$C$8+SQRT(1-$C$8^2)*H7</f>
        <v>-0.43784741341378608</v>
      </c>
      <c r="K7">
        <f t="shared" ref="K7:K70" ca="1" si="3">C$3*EXP(($C$5-0.5*C$4^2)*$C$6+C$4*SQRT($C$6)*I7)</f>
        <v>16.575493103041143</v>
      </c>
      <c r="L7">
        <f t="shared" ref="L7:L70" ca="1" si="4">D$3*EXP(($C$5-0.5*D$4^2)*$C$6+D$4*SQRT($C$6)*J7)</f>
        <v>17.725786081872577</v>
      </c>
      <c r="M7">
        <f t="shared" ref="M7:M70" ca="1" si="5">MAX(SQRT(K7*L7)-$C$7,0)</f>
        <v>0</v>
      </c>
      <c r="N7">
        <f t="shared" ref="N7:N70" ca="1" si="6">MAX((K7+L7)*0.5-$C$7,0)</f>
        <v>0</v>
      </c>
    </row>
    <row r="8" spans="2:14" x14ac:dyDescent="0.75">
      <c r="B8" t="s">
        <v>38</v>
      </c>
      <c r="C8">
        <v>0.75</v>
      </c>
      <c r="F8">
        <v>3</v>
      </c>
      <c r="G8">
        <f t="shared" ca="1" si="0"/>
        <v>1.4744431655561203</v>
      </c>
      <c r="H8">
        <f t="shared" ca="1" si="0"/>
        <v>-0.21899834095231407</v>
      </c>
      <c r="I8">
        <f t="shared" ca="1" si="1"/>
        <v>1.4744431655561203</v>
      </c>
      <c r="J8">
        <f t="shared" ca="1" si="2"/>
        <v>0.96097858724320129</v>
      </c>
      <c r="K8">
        <f t="shared" ca="1" si="3"/>
        <v>25.731927840791275</v>
      </c>
      <c r="L8">
        <f t="shared" ca="1" si="4"/>
        <v>25.146706164760623</v>
      </c>
      <c r="M8">
        <f t="shared" ca="1" si="5"/>
        <v>5.4376340972426433</v>
      </c>
      <c r="N8">
        <f t="shared" ca="1" si="6"/>
        <v>5.439317002775951</v>
      </c>
    </row>
    <row r="9" spans="2:14" x14ac:dyDescent="0.75">
      <c r="F9">
        <v>4</v>
      </c>
      <c r="G9">
        <f t="shared" ca="1" si="0"/>
        <v>0.2300433927004446</v>
      </c>
      <c r="H9">
        <f t="shared" ca="1" si="0"/>
        <v>1.4635498716691329</v>
      </c>
      <c r="I9">
        <f t="shared" ca="1" si="1"/>
        <v>0.2300433927004446</v>
      </c>
      <c r="J9">
        <f t="shared" ca="1" si="2"/>
        <v>1.1405797924695888</v>
      </c>
      <c r="K9">
        <f t="shared" ca="1" si="3"/>
        <v>18.852256332571262</v>
      </c>
      <c r="L9">
        <f t="shared" ca="1" si="4"/>
        <v>26.301532874095127</v>
      </c>
      <c r="M9">
        <f t="shared" ca="1" si="5"/>
        <v>2.267537800169805</v>
      </c>
      <c r="N9">
        <f t="shared" ca="1" si="6"/>
        <v>2.5768946033331943</v>
      </c>
    </row>
    <row r="10" spans="2:14" x14ac:dyDescent="0.75">
      <c r="F10">
        <v>5</v>
      </c>
      <c r="G10">
        <f t="shared" ca="1" si="0"/>
        <v>1.393663738534316</v>
      </c>
      <c r="H10">
        <f t="shared" ca="1" si="0"/>
        <v>0.75089667268873139</v>
      </c>
      <c r="I10">
        <f t="shared" ca="1" si="1"/>
        <v>1.393663738534316</v>
      </c>
      <c r="J10">
        <f t="shared" ca="1" si="2"/>
        <v>1.5419192679607994</v>
      </c>
      <c r="K10">
        <f t="shared" ca="1" si="3"/>
        <v>25.217487254647256</v>
      </c>
      <c r="L10">
        <f t="shared" ca="1" si="4"/>
        <v>29.077424727555083</v>
      </c>
      <c r="M10">
        <f t="shared" ca="1" si="5"/>
        <v>7.078766357887968</v>
      </c>
      <c r="N10">
        <f t="shared" ca="1" si="6"/>
        <v>7.1474559911011681</v>
      </c>
    </row>
    <row r="11" spans="2:14" x14ac:dyDescent="0.75">
      <c r="B11" t="s">
        <v>48</v>
      </c>
      <c r="F11">
        <v>6</v>
      </c>
      <c r="G11">
        <f t="shared" ca="1" si="0"/>
        <v>0.42067266064193598</v>
      </c>
      <c r="H11">
        <f t="shared" ca="1" si="0"/>
        <v>0.70367314617656285</v>
      </c>
      <c r="I11">
        <f t="shared" ca="1" si="1"/>
        <v>0.42067266064193598</v>
      </c>
      <c r="J11">
        <f t="shared" ca="1" si="2"/>
        <v>0.78094053274584863</v>
      </c>
      <c r="K11">
        <f t="shared" ca="1" si="3"/>
        <v>19.772457284431123</v>
      </c>
      <c r="L11">
        <f t="shared" ca="1" si="4"/>
        <v>24.039959061680506</v>
      </c>
      <c r="M11">
        <f t="shared" ca="1" si="5"/>
        <v>1.8020426489480741</v>
      </c>
      <c r="N11">
        <f t="shared" ca="1" si="6"/>
        <v>1.9062081730558162</v>
      </c>
    </row>
    <row r="12" spans="2:14" x14ac:dyDescent="0.75">
      <c r="C12">
        <f ca="1">EXP(-C5*C6)*AVERAGE(M6:M1005)</f>
        <v>1.3386554509973834</v>
      </c>
      <c r="F12">
        <v>7</v>
      </c>
      <c r="G12">
        <f t="shared" ca="1" si="0"/>
        <v>0.35140224719281354</v>
      </c>
      <c r="H12">
        <f t="shared" ca="1" si="0"/>
        <v>1.5571482392686111</v>
      </c>
      <c r="I12">
        <f t="shared" ca="1" si="1"/>
        <v>0.35140224719281354</v>
      </c>
      <c r="J12">
        <f t="shared" ca="1" si="2"/>
        <v>1.2935084342863217</v>
      </c>
      <c r="K12">
        <f t="shared" ca="1" si="3"/>
        <v>19.432993544587816</v>
      </c>
      <c r="L12">
        <f t="shared" ca="1" si="4"/>
        <v>27.326567080754725</v>
      </c>
      <c r="M12">
        <f t="shared" ca="1" si="5"/>
        <v>3.0442400976047033</v>
      </c>
      <c r="N12">
        <f t="shared" ca="1" si="6"/>
        <v>3.3797803126712722</v>
      </c>
    </row>
    <row r="13" spans="2:14" x14ac:dyDescent="0.75">
      <c r="F13">
        <v>8</v>
      </c>
      <c r="G13">
        <f t="shared" ca="1" si="0"/>
        <v>5.5552794708467711E-2</v>
      </c>
      <c r="H13">
        <f t="shared" ca="1" si="0"/>
        <v>-1.3497547780500409E-2</v>
      </c>
      <c r="I13">
        <f t="shared" ca="1" si="1"/>
        <v>5.5552794708467711E-2</v>
      </c>
      <c r="J13">
        <f t="shared" ca="1" si="2"/>
        <v>3.27368073472468E-2</v>
      </c>
      <c r="K13">
        <f ca="1">C$3*EXP(($C$5-0.5*C$4^2)*$C$6+C$4*SQRT($C$6)*I13)</f>
        <v>18.047550272141113</v>
      </c>
      <c r="L13">
        <f t="shared" ca="1" si="4"/>
        <v>19.938777931940916</v>
      </c>
      <c r="M13">
        <f t="shared" ca="1" si="5"/>
        <v>0</v>
      </c>
      <c r="N13">
        <f t="shared" ca="1" si="6"/>
        <v>0</v>
      </c>
    </row>
    <row r="14" spans="2:14" x14ac:dyDescent="0.75">
      <c r="F14">
        <v>9</v>
      </c>
      <c r="G14">
        <f t="shared" ca="1" si="0"/>
        <v>-0.86983601758921725</v>
      </c>
      <c r="H14">
        <f t="shared" ca="1" si="0"/>
        <v>-1.3786047229990526</v>
      </c>
      <c r="I14">
        <f t="shared" ca="1" si="1"/>
        <v>-0.86983601758921725</v>
      </c>
      <c r="J14">
        <f t="shared" ca="1" si="2"/>
        <v>-1.5642383265205579</v>
      </c>
      <c r="K14">
        <f t="shared" ca="1" si="3"/>
        <v>14.320080077182181</v>
      </c>
      <c r="L14">
        <f t="shared" ca="1" si="4"/>
        <v>13.375473471901525</v>
      </c>
      <c r="M14">
        <f t="shared" ca="1" si="5"/>
        <v>0</v>
      </c>
      <c r="N14">
        <f t="shared" ca="1" si="6"/>
        <v>0</v>
      </c>
    </row>
    <row r="15" spans="2:14" x14ac:dyDescent="0.75">
      <c r="F15">
        <v>10</v>
      </c>
      <c r="G15">
        <f t="shared" ca="1" si="0"/>
        <v>1.1100684050483236</v>
      </c>
      <c r="H15">
        <f t="shared" ca="1" si="0"/>
        <v>-0.23323086039979807</v>
      </c>
      <c r="I15">
        <f t="shared" ca="1" si="1"/>
        <v>1.1100684050483236</v>
      </c>
      <c r="J15">
        <f t="shared" ca="1" si="2"/>
        <v>0.67828359011537054</v>
      </c>
      <c r="K15">
        <f t="shared" ca="1" si="3"/>
        <v>23.49150482904912</v>
      </c>
      <c r="L15">
        <f t="shared" ca="1" si="4"/>
        <v>23.430841587048331</v>
      </c>
      <c r="M15">
        <f t="shared" ca="1" si="5"/>
        <v>3.4611536010237742</v>
      </c>
      <c r="N15">
        <f t="shared" ca="1" si="6"/>
        <v>3.4611732080487272</v>
      </c>
    </row>
    <row r="16" spans="2:14" x14ac:dyDescent="0.75">
      <c r="F16">
        <v>11</v>
      </c>
      <c r="G16">
        <f t="shared" ca="1" si="0"/>
        <v>-0.52987086835746289</v>
      </c>
      <c r="H16">
        <f t="shared" ca="1" si="0"/>
        <v>1.3715297570210254</v>
      </c>
      <c r="I16">
        <f t="shared" ca="1" si="1"/>
        <v>-0.52987086835746289</v>
      </c>
      <c r="J16">
        <f t="shared" ca="1" si="2"/>
        <v>0.50977851193252222</v>
      </c>
      <c r="K16">
        <f t="shared" ca="1" si="3"/>
        <v>15.590379741746411</v>
      </c>
      <c r="L16">
        <f t="shared" ca="1" si="4"/>
        <v>22.464289196517257</v>
      </c>
      <c r="M16">
        <f t="shared" ca="1" si="5"/>
        <v>0</v>
      </c>
      <c r="N16">
        <f t="shared" ca="1" si="6"/>
        <v>0</v>
      </c>
    </row>
    <row r="17" spans="2:14" x14ac:dyDescent="0.75">
      <c r="B17" t="s">
        <v>49</v>
      </c>
      <c r="C17">
        <f>SQRT(C3*D3)</f>
        <v>18.973665961010276</v>
      </c>
      <c r="F17">
        <v>12</v>
      </c>
      <c r="G17">
        <f t="shared" ca="1" si="0"/>
        <v>-4.2112343799673602E-2</v>
      </c>
      <c r="H17">
        <f t="shared" ca="1" si="0"/>
        <v>-0.66280172984218089</v>
      </c>
      <c r="I17">
        <f t="shared" ca="1" si="1"/>
        <v>-4.2112343799673602E-2</v>
      </c>
      <c r="J17">
        <f t="shared" ca="1" si="2"/>
        <v>-0.46998639427621242</v>
      </c>
      <c r="K17">
        <f t="shared" ca="1" si="3"/>
        <v>17.612232199067495</v>
      </c>
      <c r="L17">
        <f t="shared" ca="1" si="4"/>
        <v>17.583934540581296</v>
      </c>
      <c r="M17">
        <f t="shared" ca="1" si="5"/>
        <v>0</v>
      </c>
      <c r="N17">
        <f t="shared" ca="1" si="6"/>
        <v>0</v>
      </c>
    </row>
    <row r="18" spans="2:14" x14ac:dyDescent="0.75">
      <c r="B18" t="s">
        <v>50</v>
      </c>
      <c r="C18">
        <f>SQRT(C4^2+D4^2+2*C8*C4*D4)/2</f>
        <v>0.23385358667337133</v>
      </c>
      <c r="F18">
        <v>13</v>
      </c>
      <c r="G18">
        <f t="shared" ca="1" si="0"/>
        <v>-0.51709551993975955</v>
      </c>
      <c r="H18">
        <f t="shared" ca="1" si="0"/>
        <v>0.92153964753836604</v>
      </c>
      <c r="I18">
        <f t="shared" ca="1" si="1"/>
        <v>-0.51709551993975955</v>
      </c>
      <c r="J18">
        <f t="shared" ca="1" si="2"/>
        <v>0.22171954271333849</v>
      </c>
      <c r="K18">
        <f t="shared" ca="1" si="3"/>
        <v>15.640252475336919</v>
      </c>
      <c r="L18">
        <f t="shared" ca="1" si="4"/>
        <v>20.90340698312864</v>
      </c>
      <c r="M18">
        <f t="shared" ca="1" si="5"/>
        <v>0</v>
      </c>
      <c r="N18">
        <f t="shared" ca="1" si="6"/>
        <v>0</v>
      </c>
    </row>
    <row r="19" spans="2:14" x14ac:dyDescent="0.75">
      <c r="B19" t="s">
        <v>51</v>
      </c>
      <c r="C19">
        <f>(0.5*C4^2 + 0.5*D4^2)/2-C18^2/2</f>
        <v>3.90625E-3</v>
      </c>
      <c r="F19">
        <v>14</v>
      </c>
      <c r="G19">
        <f t="shared" ca="1" si="0"/>
        <v>0.69467685742794338</v>
      </c>
      <c r="H19">
        <f t="shared" ca="1" si="0"/>
        <v>-2.4705640680400713</v>
      </c>
      <c r="I19">
        <f t="shared" ca="1" si="1"/>
        <v>0.69467685742794338</v>
      </c>
      <c r="J19">
        <f t="shared" ca="1" si="2"/>
        <v>-1.1131168874505644</v>
      </c>
      <c r="K19">
        <f t="shared" ca="1" si="3"/>
        <v>21.174359078765654</v>
      </c>
      <c r="L19">
        <f t="shared" ca="1" si="4"/>
        <v>14.972318332795462</v>
      </c>
      <c r="M19">
        <f t="shared" ca="1" si="5"/>
        <v>0</v>
      </c>
      <c r="N19">
        <f t="shared" ca="1" si="6"/>
        <v>0</v>
      </c>
    </row>
    <row r="20" spans="2:14" x14ac:dyDescent="0.75">
      <c r="F20">
        <v>15</v>
      </c>
      <c r="G20">
        <f t="shared" ca="1" si="0"/>
        <v>-0.42789858754060833</v>
      </c>
      <c r="H20">
        <f t="shared" ca="1" si="0"/>
        <v>-7.7652858840210406E-2</v>
      </c>
      <c r="I20">
        <f t="shared" ca="1" si="1"/>
        <v>-0.42789858754060833</v>
      </c>
      <c r="J20">
        <f t="shared" ca="1" si="2"/>
        <v>-0.37228647892655631</v>
      </c>
      <c r="K20">
        <f t="shared" ca="1" si="3"/>
        <v>15.992935780273884</v>
      </c>
      <c r="L20">
        <f t="shared" ca="1" si="4"/>
        <v>18.018709843778808</v>
      </c>
      <c r="M20">
        <f t="shared" ca="1" si="5"/>
        <v>0</v>
      </c>
      <c r="N20">
        <f t="shared" ca="1" si="6"/>
        <v>0</v>
      </c>
    </row>
    <row r="21" spans="2:14" x14ac:dyDescent="0.75">
      <c r="B21" t="s">
        <v>52</v>
      </c>
      <c r="C21">
        <f ca="1">C17*EXP((C5-C18^2/2)*C6+C18*SQRT(C6)*NORMSDIST(RAND()))</f>
        <v>22.654176207709856</v>
      </c>
      <c r="F21">
        <v>16</v>
      </c>
      <c r="G21">
        <f t="shared" ca="1" si="0"/>
        <v>-0.46687408415051457</v>
      </c>
      <c r="H21">
        <f t="shared" ca="1" si="0"/>
        <v>-2.0602228218368075</v>
      </c>
      <c r="I21">
        <f t="shared" ca="1" si="1"/>
        <v>-0.46687408415051457</v>
      </c>
      <c r="J21">
        <f t="shared" ca="1" si="2"/>
        <v>-1.7128648711028669</v>
      </c>
      <c r="K21">
        <f t="shared" ca="1" si="3"/>
        <v>15.837859376135949</v>
      </c>
      <c r="L21">
        <f t="shared" ca="1" si="4"/>
        <v>12.887605760867547</v>
      </c>
      <c r="M21">
        <f t="shared" ca="1" si="5"/>
        <v>0</v>
      </c>
      <c r="N21">
        <f t="shared" ca="1" si="6"/>
        <v>0</v>
      </c>
    </row>
    <row r="22" spans="2:14" x14ac:dyDescent="0.75">
      <c r="F22">
        <v>17</v>
      </c>
      <c r="G22">
        <f t="shared" ca="1" si="0"/>
        <v>0.42692983110602739</v>
      </c>
      <c r="H22">
        <f t="shared" ca="1" si="0"/>
        <v>-0.35275097989624482</v>
      </c>
      <c r="I22">
        <f t="shared" ca="1" si="1"/>
        <v>0.42692983110602739</v>
      </c>
      <c r="J22">
        <f t="shared" ca="1" si="2"/>
        <v>8.6874531444568331E-2</v>
      </c>
      <c r="K22">
        <f t="shared" ca="1" si="3"/>
        <v>19.803411397695104</v>
      </c>
      <c r="L22">
        <f t="shared" ca="1" si="4"/>
        <v>20.210472414263307</v>
      </c>
      <c r="M22">
        <f t="shared" ca="1" si="5"/>
        <v>5.9066218310732665E-3</v>
      </c>
      <c r="N22">
        <f t="shared" ca="1" si="6"/>
        <v>6.9419059792039661E-3</v>
      </c>
    </row>
    <row r="23" spans="2:14" x14ac:dyDescent="0.75">
      <c r="F23">
        <v>18</v>
      </c>
      <c r="G23">
        <f t="shared" ca="1" si="0"/>
        <v>1.4244718557118379</v>
      </c>
      <c r="H23">
        <f t="shared" ca="1" si="0"/>
        <v>-0.24832988218035551</v>
      </c>
      <c r="I23">
        <f t="shared" ca="1" si="1"/>
        <v>1.4244718557118379</v>
      </c>
      <c r="J23">
        <f t="shared" ca="1" si="2"/>
        <v>0.90409911394508069</v>
      </c>
      <c r="K23">
        <f t="shared" ca="1" si="3"/>
        <v>25.41246297070219</v>
      </c>
      <c r="L23">
        <f t="shared" ca="1" si="4"/>
        <v>24.791653696725614</v>
      </c>
      <c r="M23">
        <f t="shared" ca="1" si="5"/>
        <v>5.1001390743260977</v>
      </c>
      <c r="N23">
        <f t="shared" ca="1" si="6"/>
        <v>5.1020583337139023</v>
      </c>
    </row>
    <row r="24" spans="2:14" x14ac:dyDescent="0.75">
      <c r="F24">
        <v>19</v>
      </c>
      <c r="G24">
        <f t="shared" ca="1" si="0"/>
        <v>-0.52485755250232746</v>
      </c>
      <c r="H24">
        <f t="shared" ca="1" si="0"/>
        <v>-0.40529499051755186</v>
      </c>
      <c r="I24">
        <f t="shared" ca="1" si="1"/>
        <v>-0.52485755250232746</v>
      </c>
      <c r="J24">
        <f t="shared" ca="1" si="2"/>
        <v>-0.66172060250917653</v>
      </c>
      <c r="K24">
        <f t="shared" ca="1" si="3"/>
        <v>15.609931866295703</v>
      </c>
      <c r="L24">
        <f t="shared" ca="1" si="4"/>
        <v>16.760955814401228</v>
      </c>
      <c r="M24">
        <f t="shared" ca="1" si="5"/>
        <v>0</v>
      </c>
      <c r="N24">
        <f t="shared" ca="1" si="6"/>
        <v>0</v>
      </c>
    </row>
    <row r="25" spans="2:14" x14ac:dyDescent="0.75">
      <c r="F25">
        <v>20</v>
      </c>
      <c r="G25">
        <f t="shared" ca="1" si="0"/>
        <v>-1.9480347701927172</v>
      </c>
      <c r="H25">
        <f t="shared" ca="1" si="0"/>
        <v>-0.44478607634644762</v>
      </c>
      <c r="I25">
        <f t="shared" ca="1" si="1"/>
        <v>-1.9480347701927172</v>
      </c>
      <c r="J25">
        <f t="shared" ca="1" si="2"/>
        <v>-1.75522441380376</v>
      </c>
      <c r="K25">
        <f t="shared" ca="1" si="3"/>
        <v>10.93657925071056</v>
      </c>
      <c r="L25">
        <f t="shared" ca="1" si="4"/>
        <v>12.751847589710607</v>
      </c>
      <c r="M25">
        <f t="shared" ca="1" si="5"/>
        <v>0</v>
      </c>
      <c r="N25">
        <f t="shared" ca="1" si="6"/>
        <v>0</v>
      </c>
    </row>
    <row r="26" spans="2:14" x14ac:dyDescent="0.75">
      <c r="F26">
        <v>21</v>
      </c>
      <c r="G26">
        <f t="shared" ca="1" si="0"/>
        <v>-8.3756538904878719E-4</v>
      </c>
      <c r="H26">
        <f t="shared" ca="1" si="0"/>
        <v>0.82536690194178453</v>
      </c>
      <c r="I26">
        <f t="shared" ca="1" si="1"/>
        <v>-8.3756538904878719E-4</v>
      </c>
      <c r="J26">
        <f t="shared" ca="1" si="2"/>
        <v>0.54530071668866231</v>
      </c>
      <c r="K26">
        <f t="shared" ca="1" si="3"/>
        <v>17.794908313042356</v>
      </c>
      <c r="L26">
        <f t="shared" ca="1" si="4"/>
        <v>22.664672908635485</v>
      </c>
      <c r="M26">
        <f t="shared" ca="1" si="5"/>
        <v>8.2723330122920657E-2</v>
      </c>
      <c r="N26">
        <f t="shared" ca="1" si="6"/>
        <v>0.2297906108389185</v>
      </c>
    </row>
    <row r="27" spans="2:14" x14ac:dyDescent="0.75">
      <c r="F27">
        <v>22</v>
      </c>
      <c r="G27">
        <f t="shared" ca="1" si="0"/>
        <v>-1.4650248011878084</v>
      </c>
      <c r="H27">
        <f t="shared" ca="1" si="0"/>
        <v>-0.24710659013658556</v>
      </c>
      <c r="I27">
        <f t="shared" ca="1" si="1"/>
        <v>-1.4650248011878084</v>
      </c>
      <c r="J27">
        <f t="shared" ca="1" si="2"/>
        <v>-1.2622142470974993</v>
      </c>
      <c r="K27">
        <f t="shared" ca="1" si="3"/>
        <v>12.340241115120701</v>
      </c>
      <c r="L27">
        <f t="shared" ca="1" si="4"/>
        <v>14.424508107022131</v>
      </c>
      <c r="M27">
        <f t="shared" ca="1" si="5"/>
        <v>0</v>
      </c>
      <c r="N27">
        <f t="shared" ca="1" si="6"/>
        <v>0</v>
      </c>
    </row>
    <row r="28" spans="2:14" x14ac:dyDescent="0.75">
      <c r="F28">
        <v>23</v>
      </c>
      <c r="G28">
        <f t="shared" ca="1" si="0"/>
        <v>-1.8714728119738091</v>
      </c>
      <c r="H28">
        <f t="shared" ca="1" si="0"/>
        <v>-0.40944098103997967</v>
      </c>
      <c r="I28">
        <f t="shared" ca="1" si="1"/>
        <v>-1.8714728119738091</v>
      </c>
      <c r="J28">
        <f t="shared" ca="1" si="2"/>
        <v>-1.6744243620778816</v>
      </c>
      <c r="K28">
        <f t="shared" ca="1" si="3"/>
        <v>11.147926928254485</v>
      </c>
      <c r="L28">
        <f t="shared" ca="1" si="4"/>
        <v>13.012054317710858</v>
      </c>
      <c r="M28">
        <f t="shared" ca="1" si="5"/>
        <v>0</v>
      </c>
      <c r="N28">
        <f t="shared" ca="1" si="6"/>
        <v>0</v>
      </c>
    </row>
    <row r="29" spans="2:14" x14ac:dyDescent="0.75">
      <c r="F29">
        <v>24</v>
      </c>
      <c r="G29">
        <f t="shared" ca="1" si="0"/>
        <v>9.6297654996483385E-3</v>
      </c>
      <c r="H29">
        <f t="shared" ca="1" si="0"/>
        <v>0.18383435825589528</v>
      </c>
      <c r="I29">
        <f t="shared" ca="1" si="1"/>
        <v>9.6297654996483385E-3</v>
      </c>
      <c r="J29">
        <f t="shared" ca="1" si="2"/>
        <v>0.1288173227182994</v>
      </c>
      <c r="K29">
        <f t="shared" ca="1" si="3"/>
        <v>17.841535592691677</v>
      </c>
      <c r="L29">
        <f t="shared" ca="1" si="4"/>
        <v>20.423508283707715</v>
      </c>
      <c r="M29">
        <f t="shared" ca="1" si="5"/>
        <v>0</v>
      </c>
      <c r="N29">
        <f t="shared" ca="1" si="6"/>
        <v>0</v>
      </c>
    </row>
    <row r="30" spans="2:14" x14ac:dyDescent="0.75">
      <c r="F30">
        <v>25</v>
      </c>
      <c r="G30">
        <f t="shared" ca="1" si="0"/>
        <v>-1.6551068605131383</v>
      </c>
      <c r="H30">
        <f t="shared" ca="1" si="0"/>
        <v>-2.0729900901854204</v>
      </c>
      <c r="I30">
        <f t="shared" ca="1" si="1"/>
        <v>-1.6551068605131383</v>
      </c>
      <c r="J30">
        <f t="shared" ca="1" si="2"/>
        <v>-2.6124842076178485</v>
      </c>
      <c r="K30">
        <f t="shared" ca="1" si="3"/>
        <v>11.767541756750353</v>
      </c>
      <c r="L30">
        <f t="shared" ca="1" si="4"/>
        <v>10.29194161601708</v>
      </c>
      <c r="M30">
        <f t="shared" ca="1" si="5"/>
        <v>0</v>
      </c>
      <c r="N30">
        <f t="shared" ca="1" si="6"/>
        <v>0</v>
      </c>
    </row>
    <row r="31" spans="2:14" x14ac:dyDescent="0.75">
      <c r="F31">
        <v>26</v>
      </c>
      <c r="G31">
        <f t="shared" ca="1" si="0"/>
        <v>-0.22900278072705343</v>
      </c>
      <c r="H31">
        <f t="shared" ca="1" si="0"/>
        <v>-0.82006093296311366</v>
      </c>
      <c r="I31">
        <f t="shared" ca="1" si="1"/>
        <v>-0.22900278072705343</v>
      </c>
      <c r="J31">
        <f t="shared" ca="1" si="2"/>
        <v>-0.71417140768029241</v>
      </c>
      <c r="K31">
        <f t="shared" ca="1" si="3"/>
        <v>16.808270597056158</v>
      </c>
      <c r="L31">
        <f t="shared" ca="1" si="4"/>
        <v>16.542609093678106</v>
      </c>
      <c r="M31">
        <f t="shared" ca="1" si="5"/>
        <v>0</v>
      </c>
      <c r="N31">
        <f t="shared" ca="1" si="6"/>
        <v>0</v>
      </c>
    </row>
    <row r="32" spans="2:14" x14ac:dyDescent="0.75">
      <c r="F32">
        <v>27</v>
      </c>
      <c r="G32">
        <f t="shared" ca="1" si="0"/>
        <v>-0.88685344144251377</v>
      </c>
      <c r="H32">
        <f t="shared" ca="1" si="0"/>
        <v>-0.18380992130674637</v>
      </c>
      <c r="I32">
        <f t="shared" ca="1" si="1"/>
        <v>-0.88685344144251377</v>
      </c>
      <c r="J32">
        <f t="shared" ca="1" si="2"/>
        <v>-0.78671891615288614</v>
      </c>
      <c r="K32">
        <f t="shared" ca="1" si="3"/>
        <v>14.259286768991398</v>
      </c>
      <c r="L32">
        <f t="shared" ca="1" si="4"/>
        <v>16.245282265739228</v>
      </c>
      <c r="M32">
        <f t="shared" ca="1" si="5"/>
        <v>0</v>
      </c>
      <c r="N32">
        <f t="shared" ca="1" si="6"/>
        <v>0</v>
      </c>
    </row>
    <row r="33" spans="6:14" x14ac:dyDescent="0.75">
      <c r="F33">
        <v>28</v>
      </c>
      <c r="G33">
        <f t="shared" ca="1" si="0"/>
        <v>0.44513929631107679</v>
      </c>
      <c r="H33">
        <f t="shared" ca="1" si="0"/>
        <v>-0.15769752052590491</v>
      </c>
      <c r="I33">
        <f t="shared" ca="1" si="1"/>
        <v>0.44513929631107679</v>
      </c>
      <c r="J33">
        <f t="shared" ca="1" si="2"/>
        <v>0.22954736681254556</v>
      </c>
      <c r="K33">
        <f t="shared" ca="1" si="3"/>
        <v>19.893769295468115</v>
      </c>
      <c r="L33">
        <f t="shared" ca="1" si="4"/>
        <v>20.944354084133316</v>
      </c>
      <c r="M33">
        <f t="shared" ca="1" si="5"/>
        <v>0.41230384332801151</v>
      </c>
      <c r="N33">
        <f t="shared" ca="1" si="6"/>
        <v>0.41906168980071357</v>
      </c>
    </row>
    <row r="34" spans="6:14" x14ac:dyDescent="0.75">
      <c r="F34">
        <v>29</v>
      </c>
      <c r="G34">
        <f t="shared" ca="1" si="0"/>
        <v>1.4964586499966404</v>
      </c>
      <c r="H34">
        <f t="shared" ca="1" si="0"/>
        <v>5.1010164525852893E-2</v>
      </c>
      <c r="I34">
        <f t="shared" ca="1" si="1"/>
        <v>1.4964586499966404</v>
      </c>
      <c r="J34">
        <f t="shared" ca="1" si="2"/>
        <v>1.1560840399154542</v>
      </c>
      <c r="K34">
        <f t="shared" ca="1" si="3"/>
        <v>25.873943514522285</v>
      </c>
      <c r="L34">
        <f t="shared" ca="1" si="4"/>
        <v>26.403677073300692</v>
      </c>
      <c r="M34">
        <f t="shared" ca="1" si="5"/>
        <v>6.1374683007032864</v>
      </c>
      <c r="N34">
        <f t="shared" ca="1" si="6"/>
        <v>6.1388102939114901</v>
      </c>
    </row>
    <row r="35" spans="6:14" x14ac:dyDescent="0.75">
      <c r="F35">
        <v>30</v>
      </c>
      <c r="G35">
        <f t="shared" ca="1" si="0"/>
        <v>-0.38496783715232802</v>
      </c>
      <c r="H35">
        <f t="shared" ca="1" si="0"/>
        <v>-0.23910636436658417</v>
      </c>
      <c r="I35">
        <f t="shared" ca="1" si="1"/>
        <v>-0.38496783715232802</v>
      </c>
      <c r="J35">
        <f t="shared" ca="1" si="2"/>
        <v>-0.44687987211594049</v>
      </c>
      <c r="K35">
        <f t="shared" ca="1" si="3"/>
        <v>16.165507385779769</v>
      </c>
      <c r="L35">
        <f t="shared" ca="1" si="4"/>
        <v>17.685804382805511</v>
      </c>
      <c r="M35">
        <f t="shared" ca="1" si="5"/>
        <v>0</v>
      </c>
      <c r="N35">
        <f t="shared" ca="1" si="6"/>
        <v>0</v>
      </c>
    </row>
    <row r="36" spans="6:14" x14ac:dyDescent="0.75">
      <c r="F36">
        <v>31</v>
      </c>
      <c r="G36">
        <f t="shared" ca="1" si="0"/>
        <v>-0.19266416535973427</v>
      </c>
      <c r="H36">
        <f t="shared" ca="1" si="0"/>
        <v>-1.0467126068892627</v>
      </c>
      <c r="I36">
        <f t="shared" ca="1" si="1"/>
        <v>-0.19266416535973427</v>
      </c>
      <c r="J36">
        <f t="shared" ca="1" si="2"/>
        <v>-0.83683343701607626</v>
      </c>
      <c r="K36">
        <f t="shared" ca="1" si="3"/>
        <v>16.961663623412271</v>
      </c>
      <c r="L36">
        <f t="shared" ca="1" si="4"/>
        <v>16.043020806678058</v>
      </c>
      <c r="M36">
        <f t="shared" ca="1" si="5"/>
        <v>0</v>
      </c>
      <c r="N36">
        <f t="shared" ca="1" si="6"/>
        <v>0</v>
      </c>
    </row>
    <row r="37" spans="6:14" x14ac:dyDescent="0.75">
      <c r="F37">
        <v>32</v>
      </c>
      <c r="G37">
        <f t="shared" ca="1" si="0"/>
        <v>-0.18716574985223047</v>
      </c>
      <c r="H37">
        <f t="shared" ca="1" si="0"/>
        <v>0.8881568746938181</v>
      </c>
      <c r="I37">
        <f t="shared" ca="1" si="1"/>
        <v>-0.18716574985223047</v>
      </c>
      <c r="J37">
        <f t="shared" ca="1" si="2"/>
        <v>0.44708624152387677</v>
      </c>
      <c r="K37">
        <f t="shared" ca="1" si="3"/>
        <v>16.984995224167879</v>
      </c>
      <c r="L37">
        <f t="shared" ca="1" si="4"/>
        <v>22.11494963568078</v>
      </c>
      <c r="M37">
        <f t="shared" ca="1" si="5"/>
        <v>0</v>
      </c>
      <c r="N37">
        <f t="shared" ca="1" si="6"/>
        <v>0</v>
      </c>
    </row>
    <row r="38" spans="6:14" x14ac:dyDescent="0.75">
      <c r="F38">
        <v>33</v>
      </c>
      <c r="G38">
        <f t="shared" ca="1" si="0"/>
        <v>1.1446050170623574</v>
      </c>
      <c r="H38">
        <f t="shared" ca="1" si="0"/>
        <v>0.75122406592412982</v>
      </c>
      <c r="I38">
        <f t="shared" ca="1" si="1"/>
        <v>1.1446050170623574</v>
      </c>
      <c r="J38">
        <f t="shared" ca="1" si="2"/>
        <v>1.3553417771272778</v>
      </c>
      <c r="K38">
        <f t="shared" ca="1" si="3"/>
        <v>23.695212230956937</v>
      </c>
      <c r="L38">
        <f t="shared" ca="1" si="4"/>
        <v>27.752272197623256</v>
      </c>
      <c r="M38">
        <f t="shared" ca="1" si="5"/>
        <v>5.6436342902867196</v>
      </c>
      <c r="N38">
        <f t="shared" ca="1" si="6"/>
        <v>5.7237422142900982</v>
      </c>
    </row>
    <row r="39" spans="6:14" x14ac:dyDescent="0.75">
      <c r="F39">
        <v>34</v>
      </c>
      <c r="G39">
        <f t="shared" ca="1" si="0"/>
        <v>-0.88502992625393573</v>
      </c>
      <c r="H39">
        <f t="shared" ca="1" si="0"/>
        <v>-0.76184456203722595</v>
      </c>
      <c r="I39">
        <f t="shared" ca="1" si="1"/>
        <v>-0.88502992625393573</v>
      </c>
      <c r="J39">
        <f t="shared" ca="1" si="2"/>
        <v>-1.1676852568998068</v>
      </c>
      <c r="K39">
        <f t="shared" ca="1" si="3"/>
        <v>14.265788757438512</v>
      </c>
      <c r="L39">
        <f t="shared" ca="1" si="4"/>
        <v>14.769451493530605</v>
      </c>
      <c r="M39">
        <f t="shared" ca="1" si="5"/>
        <v>0</v>
      </c>
      <c r="N39">
        <f t="shared" ca="1" si="6"/>
        <v>0</v>
      </c>
    </row>
    <row r="40" spans="6:14" x14ac:dyDescent="0.75">
      <c r="F40">
        <v>35</v>
      </c>
      <c r="G40">
        <f t="shared" ca="1" si="0"/>
        <v>5.3812606740302985E-2</v>
      </c>
      <c r="H40">
        <f t="shared" ca="1" si="0"/>
        <v>-1.2698469354484918</v>
      </c>
      <c r="I40">
        <f t="shared" ca="1" si="1"/>
        <v>5.3812606740302985E-2</v>
      </c>
      <c r="J40">
        <f t="shared" ca="1" si="2"/>
        <v>-0.79956534352332276</v>
      </c>
      <c r="K40">
        <f t="shared" ca="1" si="3"/>
        <v>18.039700447326652</v>
      </c>
      <c r="L40">
        <f t="shared" ca="1" si="4"/>
        <v>16.193192496756676</v>
      </c>
      <c r="M40">
        <f t="shared" ca="1" si="5"/>
        <v>0</v>
      </c>
      <c r="N40">
        <f t="shared" ca="1" si="6"/>
        <v>0</v>
      </c>
    </row>
    <row r="41" spans="6:14" x14ac:dyDescent="0.75">
      <c r="F41">
        <v>36</v>
      </c>
      <c r="G41">
        <f t="shared" ca="1" si="0"/>
        <v>-1.4065691118416466</v>
      </c>
      <c r="H41">
        <f t="shared" ca="1" si="0"/>
        <v>6.1702589509721135E-2</v>
      </c>
      <c r="I41">
        <f t="shared" ca="1" si="1"/>
        <v>-1.4065691118416466</v>
      </c>
      <c r="J41">
        <f t="shared" ca="1" si="2"/>
        <v>-1.0141144071083787</v>
      </c>
      <c r="K41">
        <f t="shared" ca="1" si="3"/>
        <v>12.521904615438698</v>
      </c>
      <c r="L41">
        <f t="shared" ca="1" si="4"/>
        <v>15.347516536286079</v>
      </c>
      <c r="M41">
        <f t="shared" ca="1" si="5"/>
        <v>0</v>
      </c>
      <c r="N41">
        <f t="shared" ca="1" si="6"/>
        <v>0</v>
      </c>
    </row>
    <row r="42" spans="6:14" x14ac:dyDescent="0.75">
      <c r="F42">
        <v>37</v>
      </c>
      <c r="G42">
        <f t="shared" ca="1" si="0"/>
        <v>-0.26220372515860679</v>
      </c>
      <c r="H42">
        <f t="shared" ca="1" si="0"/>
        <v>1.0947402179027779</v>
      </c>
      <c r="I42">
        <f t="shared" ca="1" si="1"/>
        <v>-0.26220372515860679</v>
      </c>
      <c r="J42">
        <f t="shared" ca="1" si="2"/>
        <v>0.52744979782889745</v>
      </c>
      <c r="K42">
        <f t="shared" ca="1" si="3"/>
        <v>16.669335377745703</v>
      </c>
      <c r="L42">
        <f t="shared" ca="1" si="4"/>
        <v>22.563751958323319</v>
      </c>
      <c r="M42">
        <f t="shared" ca="1" si="5"/>
        <v>0</v>
      </c>
      <c r="N42">
        <f t="shared" ca="1" si="6"/>
        <v>0</v>
      </c>
    </row>
    <row r="43" spans="6:14" x14ac:dyDescent="0.75">
      <c r="F43">
        <v>38</v>
      </c>
      <c r="G43">
        <f t="shared" ca="1" si="0"/>
        <v>-1.1563175955072933</v>
      </c>
      <c r="H43">
        <f t="shared" ca="1" si="0"/>
        <v>1.7262170362204921</v>
      </c>
      <c r="I43">
        <f t="shared" ca="1" si="1"/>
        <v>-1.1563175955072933</v>
      </c>
      <c r="J43">
        <f t="shared" ca="1" si="2"/>
        <v>0.2745470500601298</v>
      </c>
      <c r="K43">
        <f t="shared" ca="1" si="3"/>
        <v>13.330336251207813</v>
      </c>
      <c r="L43">
        <f t="shared" ca="1" si="4"/>
        <v>21.181306759382693</v>
      </c>
      <c r="M43">
        <f t="shared" ca="1" si="5"/>
        <v>0</v>
      </c>
      <c r="N43">
        <f t="shared" ca="1" si="6"/>
        <v>0</v>
      </c>
    </row>
    <row r="44" spans="6:14" x14ac:dyDescent="0.75">
      <c r="F44">
        <v>39</v>
      </c>
      <c r="G44">
        <f t="shared" ca="1" si="0"/>
        <v>-1.6022914357734777</v>
      </c>
      <c r="H44">
        <f t="shared" ca="1" si="0"/>
        <v>0.35424517821958673</v>
      </c>
      <c r="I44">
        <f t="shared" ca="1" si="1"/>
        <v>-1.6022914357734777</v>
      </c>
      <c r="J44">
        <f t="shared" ca="1" si="2"/>
        <v>-0.96740741565191291</v>
      </c>
      <c r="K44">
        <f t="shared" ca="1" si="3"/>
        <v>11.923949002794288</v>
      </c>
      <c r="L44">
        <f t="shared" ca="1" si="4"/>
        <v>15.527775991183193</v>
      </c>
      <c r="M44">
        <f t="shared" ca="1" si="5"/>
        <v>0</v>
      </c>
      <c r="N44">
        <f t="shared" ca="1" si="6"/>
        <v>0</v>
      </c>
    </row>
    <row r="45" spans="6:14" x14ac:dyDescent="0.75">
      <c r="F45">
        <v>40</v>
      </c>
      <c r="G45">
        <f t="shared" ca="1" si="0"/>
        <v>0.70037307926718018</v>
      </c>
      <c r="H45">
        <f t="shared" ca="1" si="0"/>
        <v>0.34493663162259719</v>
      </c>
      <c r="I45">
        <f t="shared" ca="1" si="1"/>
        <v>0.70037307926718018</v>
      </c>
      <c r="J45">
        <f t="shared" ca="1" si="2"/>
        <v>0.75343394578780765</v>
      </c>
      <c r="K45">
        <f t="shared" ca="1" si="3"/>
        <v>21.204534020715748</v>
      </c>
      <c r="L45">
        <f t="shared" ca="1" si="4"/>
        <v>23.875211858955282</v>
      </c>
      <c r="M45">
        <f t="shared" ca="1" si="5"/>
        <v>2.5002831563296866</v>
      </c>
      <c r="N45">
        <f t="shared" ca="1" si="6"/>
        <v>2.5398729398355151</v>
      </c>
    </row>
    <row r="46" spans="6:14" x14ac:dyDescent="0.75">
      <c r="F46">
        <v>41</v>
      </c>
      <c r="G46">
        <f t="shared" ca="1" si="0"/>
        <v>-0.56432928998071608</v>
      </c>
      <c r="H46">
        <f t="shared" ca="1" si="0"/>
        <v>-0.62185151782433878</v>
      </c>
      <c r="I46">
        <f t="shared" ca="1" si="1"/>
        <v>-0.56432928998071608</v>
      </c>
      <c r="J46">
        <f t="shared" ca="1" si="2"/>
        <v>-0.83456308462834961</v>
      </c>
      <c r="K46">
        <f t="shared" ca="1" si="3"/>
        <v>15.456651606713907</v>
      </c>
      <c r="L46">
        <f t="shared" ca="1" si="4"/>
        <v>16.052129218995436</v>
      </c>
      <c r="M46">
        <f t="shared" ca="1" si="5"/>
        <v>0</v>
      </c>
      <c r="N46">
        <f t="shared" ca="1" si="6"/>
        <v>0</v>
      </c>
    </row>
    <row r="47" spans="6:14" x14ac:dyDescent="0.75">
      <c r="F47">
        <v>42</v>
      </c>
      <c r="G47">
        <f t="shared" ca="1" si="0"/>
        <v>5.6295891317722752E-2</v>
      </c>
      <c r="H47">
        <f t="shared" ca="1" si="0"/>
        <v>0.23422962453142326</v>
      </c>
      <c r="I47">
        <f t="shared" ca="1" si="1"/>
        <v>5.6295891317722752E-2</v>
      </c>
      <c r="J47">
        <f t="shared" ca="1" si="2"/>
        <v>0.19715025253683705</v>
      </c>
      <c r="K47">
        <f t="shared" ca="1" si="3"/>
        <v>18.050903351942399</v>
      </c>
      <c r="L47">
        <f t="shared" ca="1" si="4"/>
        <v>20.77540503224068</v>
      </c>
      <c r="M47">
        <f t="shared" ca="1" si="5"/>
        <v>0</v>
      </c>
      <c r="N47">
        <f t="shared" ca="1" si="6"/>
        <v>0</v>
      </c>
    </row>
    <row r="48" spans="6:14" x14ac:dyDescent="0.75">
      <c r="F48">
        <v>43</v>
      </c>
      <c r="G48">
        <f t="shared" ca="1" si="0"/>
        <v>-3.4176106488305644E-2</v>
      </c>
      <c r="H48">
        <f t="shared" ca="1" si="0"/>
        <v>1.1414563825285213</v>
      </c>
      <c r="I48">
        <f t="shared" ca="1" si="1"/>
        <v>-3.4176106488305644E-2</v>
      </c>
      <c r="J48">
        <f t="shared" ca="1" si="2"/>
        <v>0.72937035028324082</v>
      </c>
      <c r="K48">
        <f t="shared" ca="1" si="3"/>
        <v>17.647210600783929</v>
      </c>
      <c r="L48">
        <f t="shared" ca="1" si="4"/>
        <v>23.732012168073613</v>
      </c>
      <c r="M48">
        <f t="shared" ca="1" si="5"/>
        <v>0.4646968389556605</v>
      </c>
      <c r="N48">
        <f t="shared" ca="1" si="6"/>
        <v>0.68961138442877257</v>
      </c>
    </row>
    <row r="49" spans="6:14" x14ac:dyDescent="0.75">
      <c r="F49">
        <v>44</v>
      </c>
      <c r="G49">
        <f t="shared" ca="1" si="0"/>
        <v>-1.7302552377039933</v>
      </c>
      <c r="H49">
        <f t="shared" ca="1" si="0"/>
        <v>-0.2303940125161669</v>
      </c>
      <c r="I49">
        <f t="shared" ca="1" si="1"/>
        <v>-1.7302552377039933</v>
      </c>
      <c r="J49">
        <f t="shared" ca="1" si="2"/>
        <v>-1.4500827434470152</v>
      </c>
      <c r="K49">
        <f t="shared" ca="1" si="3"/>
        <v>11.54852760171122</v>
      </c>
      <c r="L49">
        <f t="shared" ca="1" si="4"/>
        <v>13.76269385503311</v>
      </c>
      <c r="M49">
        <f t="shared" ca="1" si="5"/>
        <v>0</v>
      </c>
      <c r="N49">
        <f t="shared" ca="1" si="6"/>
        <v>0</v>
      </c>
    </row>
    <row r="50" spans="6:14" x14ac:dyDescent="0.75">
      <c r="F50">
        <v>45</v>
      </c>
      <c r="G50">
        <f t="shared" ca="1" si="0"/>
        <v>0.16497299231179094</v>
      </c>
      <c r="H50">
        <f t="shared" ca="1" si="0"/>
        <v>0.85820500174443914</v>
      </c>
      <c r="I50">
        <f t="shared" ca="1" si="1"/>
        <v>0.16497299231179094</v>
      </c>
      <c r="J50">
        <f t="shared" ca="1" si="2"/>
        <v>0.69137899636572797</v>
      </c>
      <c r="K50">
        <f t="shared" ca="1" si="3"/>
        <v>18.548056375709645</v>
      </c>
      <c r="L50">
        <f t="shared" ca="1" si="4"/>
        <v>23.507676388631545</v>
      </c>
      <c r="M50">
        <f t="shared" ca="1" si="5"/>
        <v>0.88113279777408238</v>
      </c>
      <c r="N50">
        <f t="shared" ca="1" si="6"/>
        <v>1.0278663821705933</v>
      </c>
    </row>
    <row r="51" spans="6:14" x14ac:dyDescent="0.75">
      <c r="F51">
        <v>46</v>
      </c>
      <c r="G51">
        <f t="shared" ca="1" si="0"/>
        <v>-1.0897914142092584</v>
      </c>
      <c r="H51">
        <f t="shared" ca="1" si="0"/>
        <v>0.32551461271636012</v>
      </c>
      <c r="I51">
        <f t="shared" ca="1" si="1"/>
        <v>-1.0897914142092584</v>
      </c>
      <c r="J51">
        <f t="shared" ca="1" si="2"/>
        <v>-0.60203588231569571</v>
      </c>
      <c r="K51">
        <f t="shared" ca="1" si="3"/>
        <v>13.553894247088618</v>
      </c>
      <c r="L51">
        <f t="shared" ca="1" si="4"/>
        <v>17.012924211933512</v>
      </c>
      <c r="M51">
        <f t="shared" ca="1" si="5"/>
        <v>0</v>
      </c>
      <c r="N51">
        <f t="shared" ca="1" si="6"/>
        <v>0</v>
      </c>
    </row>
    <row r="52" spans="6:14" x14ac:dyDescent="0.75">
      <c r="F52">
        <v>47</v>
      </c>
      <c r="G52">
        <f t="shared" ca="1" si="0"/>
        <v>-1.5105306865913242</v>
      </c>
      <c r="H52">
        <f t="shared" ca="1" si="0"/>
        <v>-0.57624693884015143</v>
      </c>
      <c r="I52">
        <f t="shared" ca="1" si="1"/>
        <v>-1.5105306865913242</v>
      </c>
      <c r="J52">
        <f t="shared" ca="1" si="2"/>
        <v>-1.5140495384268151</v>
      </c>
      <c r="K52">
        <f t="shared" ca="1" si="3"/>
        <v>12.200648258233588</v>
      </c>
      <c r="L52">
        <f t="shared" ca="1" si="4"/>
        <v>13.544355454977522</v>
      </c>
      <c r="M52">
        <f t="shared" ca="1" si="5"/>
        <v>0</v>
      </c>
      <c r="N52">
        <f t="shared" ca="1" si="6"/>
        <v>0</v>
      </c>
    </row>
    <row r="53" spans="6:14" x14ac:dyDescent="0.75">
      <c r="F53">
        <v>48</v>
      </c>
      <c r="G53">
        <f t="shared" ca="1" si="0"/>
        <v>-1.6349451228609513</v>
      </c>
      <c r="H53">
        <f t="shared" ca="1" si="0"/>
        <v>0.61488653704214635</v>
      </c>
      <c r="I53">
        <f t="shared" ca="1" si="1"/>
        <v>-1.6349451228609513</v>
      </c>
      <c r="J53">
        <f t="shared" ca="1" si="2"/>
        <v>-0.81949962676190724</v>
      </c>
      <c r="K53">
        <f t="shared" ca="1" si="3"/>
        <v>11.827005013607661</v>
      </c>
      <c r="L53">
        <f t="shared" ca="1" si="4"/>
        <v>16.112693328573467</v>
      </c>
      <c r="M53">
        <f t="shared" ca="1" si="5"/>
        <v>0</v>
      </c>
      <c r="N53">
        <f t="shared" ca="1" si="6"/>
        <v>0</v>
      </c>
    </row>
    <row r="54" spans="6:14" x14ac:dyDescent="0.75">
      <c r="F54">
        <v>49</v>
      </c>
      <c r="G54">
        <f t="shared" ca="1" si="0"/>
        <v>0.38853764614554259</v>
      </c>
      <c r="H54">
        <f t="shared" ca="1" si="0"/>
        <v>0.36042335719211543</v>
      </c>
      <c r="I54">
        <f t="shared" ca="1" si="1"/>
        <v>0.38853764614554259</v>
      </c>
      <c r="J54">
        <f t="shared" ca="1" si="2"/>
        <v>0.52980087706649215</v>
      </c>
      <c r="K54">
        <f t="shared" ca="1" si="3"/>
        <v>19.614246597828107</v>
      </c>
      <c r="L54">
        <f t="shared" ca="1" si="4"/>
        <v>22.577018148862397</v>
      </c>
      <c r="M54">
        <f t="shared" ca="1" si="5"/>
        <v>1.0435548664057173</v>
      </c>
      <c r="N54">
        <f t="shared" ca="1" si="6"/>
        <v>1.0956323733452535</v>
      </c>
    </row>
    <row r="55" spans="6:14" x14ac:dyDescent="0.75">
      <c r="F55">
        <v>50</v>
      </c>
      <c r="G55">
        <f t="shared" ca="1" si="0"/>
        <v>-1.2484255427946522</v>
      </c>
      <c r="H55">
        <f t="shared" ca="1" si="0"/>
        <v>-1.6809131031972171</v>
      </c>
      <c r="I55">
        <f t="shared" ca="1" si="1"/>
        <v>-1.2484255427946522</v>
      </c>
      <c r="J55">
        <f t="shared" ca="1" si="2"/>
        <v>-2.0481386687384111</v>
      </c>
      <c r="K55">
        <f t="shared" ca="1" si="3"/>
        <v>13.02688595539419</v>
      </c>
      <c r="L55">
        <f t="shared" ca="1" si="4"/>
        <v>11.851418989593093</v>
      </c>
      <c r="M55">
        <f t="shared" ca="1" si="5"/>
        <v>0</v>
      </c>
      <c r="N55">
        <f t="shared" ca="1" si="6"/>
        <v>0</v>
      </c>
    </row>
    <row r="56" spans="6:14" x14ac:dyDescent="0.75">
      <c r="F56">
        <v>51</v>
      </c>
      <c r="G56">
        <f t="shared" ca="1" si="0"/>
        <v>0.83481365447070566</v>
      </c>
      <c r="H56">
        <f t="shared" ca="1" si="0"/>
        <v>-1.5437918184507156</v>
      </c>
      <c r="I56">
        <f t="shared" ca="1" si="1"/>
        <v>0.83481365447070566</v>
      </c>
      <c r="J56">
        <f t="shared" ca="1" si="2"/>
        <v>-0.39501206606616313</v>
      </c>
      <c r="K56">
        <f t="shared" ca="1" si="3"/>
        <v>21.929333537340348</v>
      </c>
      <c r="L56">
        <f t="shared" ca="1" si="4"/>
        <v>17.916628660042342</v>
      </c>
      <c r="M56">
        <f t="shared" ca="1" si="5"/>
        <v>0</v>
      </c>
      <c r="N56">
        <f t="shared" ca="1" si="6"/>
        <v>0</v>
      </c>
    </row>
    <row r="57" spans="6:14" x14ac:dyDescent="0.75">
      <c r="F57">
        <v>52</v>
      </c>
      <c r="G57">
        <f t="shared" ca="1" si="0"/>
        <v>-1.0871642436001352</v>
      </c>
      <c r="H57">
        <f t="shared" ca="1" si="0"/>
        <v>0.78152429813339674</v>
      </c>
      <c r="I57">
        <f t="shared" ca="1" si="1"/>
        <v>-1.0871642436001352</v>
      </c>
      <c r="J57">
        <f t="shared" ca="1" si="2"/>
        <v>-0.29844344859628424</v>
      </c>
      <c r="K57">
        <f t="shared" ca="1" si="3"/>
        <v>13.562799269296356</v>
      </c>
      <c r="L57">
        <f t="shared" ca="1" si="4"/>
        <v>18.354438243838594</v>
      </c>
      <c r="M57">
        <f t="shared" ca="1" si="5"/>
        <v>0</v>
      </c>
      <c r="N57">
        <f t="shared" ca="1" si="6"/>
        <v>0</v>
      </c>
    </row>
    <row r="58" spans="6:14" x14ac:dyDescent="0.75">
      <c r="F58">
        <v>53</v>
      </c>
      <c r="G58">
        <f t="shared" ca="1" si="0"/>
        <v>0.74887551904107663</v>
      </c>
      <c r="H58">
        <f t="shared" ca="1" si="0"/>
        <v>-0.98745022337031496</v>
      </c>
      <c r="I58">
        <f t="shared" ca="1" si="1"/>
        <v>0.74887551904107663</v>
      </c>
      <c r="J58">
        <f t="shared" ca="1" si="2"/>
        <v>-9.148029149245096E-2</v>
      </c>
      <c r="K58">
        <f t="shared" ca="1" si="3"/>
        <v>21.463217104857009</v>
      </c>
      <c r="L58">
        <f t="shared" ca="1" si="4"/>
        <v>19.329109051747338</v>
      </c>
      <c r="M58">
        <f t="shared" ca="1" si="5"/>
        <v>0.36823173525649722</v>
      </c>
      <c r="N58">
        <f t="shared" ca="1" si="6"/>
        <v>0.39616307830217323</v>
      </c>
    </row>
    <row r="59" spans="6:14" x14ac:dyDescent="0.75">
      <c r="F59">
        <v>54</v>
      </c>
      <c r="G59">
        <f t="shared" ca="1" si="0"/>
        <v>1.1869033718990845</v>
      </c>
      <c r="H59">
        <f t="shared" ca="1" si="0"/>
        <v>0.10310160656075774</v>
      </c>
      <c r="I59">
        <f t="shared" ca="1" si="1"/>
        <v>1.1869033718990845</v>
      </c>
      <c r="J59">
        <f t="shared" ca="1" si="2"/>
        <v>0.95837283160706099</v>
      </c>
      <c r="K59">
        <f t="shared" ca="1" si="3"/>
        <v>23.947108859002675</v>
      </c>
      <c r="L59">
        <f t="shared" ca="1" si="4"/>
        <v>25.130329956559564</v>
      </c>
      <c r="M59">
        <f t="shared" ca="1" si="5"/>
        <v>4.5315867226803697</v>
      </c>
      <c r="N59">
        <f t="shared" ca="1" si="6"/>
        <v>4.5387194077811195</v>
      </c>
    </row>
    <row r="60" spans="6:14" x14ac:dyDescent="0.75">
      <c r="F60">
        <v>55</v>
      </c>
      <c r="G60">
        <f t="shared" ca="1" si="0"/>
        <v>-2.3644965531889337</v>
      </c>
      <c r="H60">
        <f t="shared" ca="1" si="0"/>
        <v>-0.11342338337073396</v>
      </c>
      <c r="I60">
        <f t="shared" ca="1" si="1"/>
        <v>-2.3644965531889337</v>
      </c>
      <c r="J60">
        <f t="shared" ca="1" si="2"/>
        <v>-1.8483949312063255</v>
      </c>
      <c r="K60">
        <f t="shared" ca="1" si="3"/>
        <v>9.8551840832075506</v>
      </c>
      <c r="L60">
        <f t="shared" ca="1" si="4"/>
        <v>12.458256063372584</v>
      </c>
      <c r="M60">
        <f t="shared" ca="1" si="5"/>
        <v>0</v>
      </c>
      <c r="N60">
        <f t="shared" ca="1" si="6"/>
        <v>0</v>
      </c>
    </row>
    <row r="61" spans="6:14" x14ac:dyDescent="0.75">
      <c r="F61">
        <v>56</v>
      </c>
      <c r="G61">
        <f t="shared" ca="1" si="0"/>
        <v>1.6878580825534746</v>
      </c>
      <c r="H61">
        <f t="shared" ca="1" si="0"/>
        <v>1.6585536051436471</v>
      </c>
      <c r="I61">
        <f t="shared" ca="1" si="1"/>
        <v>1.6878580825534746</v>
      </c>
      <c r="J61">
        <f t="shared" ca="1" si="2"/>
        <v>2.3629236557350328</v>
      </c>
      <c r="K61">
        <f t="shared" ca="1" si="3"/>
        <v>27.142106800596991</v>
      </c>
      <c r="L61">
        <f t="shared" ca="1" si="4"/>
        <v>35.702231273392087</v>
      </c>
      <c r="M61">
        <f t="shared" ca="1" si="5"/>
        <v>11.129307320305443</v>
      </c>
      <c r="N61">
        <f t="shared" ca="1" si="6"/>
        <v>11.422169036994539</v>
      </c>
    </row>
    <row r="62" spans="6:14" x14ac:dyDescent="0.75">
      <c r="F62">
        <v>57</v>
      </c>
      <c r="G62">
        <f t="shared" ca="1" si="0"/>
        <v>1.4267564491860005</v>
      </c>
      <c r="H62">
        <f t="shared" ca="1" si="0"/>
        <v>-1.0501941847134297</v>
      </c>
      <c r="I62">
        <f t="shared" ca="1" si="1"/>
        <v>1.4267564491860005</v>
      </c>
      <c r="J62">
        <f t="shared" ca="1" si="2"/>
        <v>0.37542917662000896</v>
      </c>
      <c r="K62">
        <f t="shared" ca="1" si="3"/>
        <v>25.426981403163346</v>
      </c>
      <c r="L62">
        <f t="shared" ca="1" si="4"/>
        <v>21.722304020006163</v>
      </c>
      <c r="M62">
        <f t="shared" ca="1" si="5"/>
        <v>3.5017578140563153</v>
      </c>
      <c r="N62">
        <f t="shared" ca="1" si="6"/>
        <v>3.5746427115847546</v>
      </c>
    </row>
    <row r="63" spans="6:14" x14ac:dyDescent="0.75">
      <c r="F63">
        <v>58</v>
      </c>
      <c r="G63">
        <f t="shared" ca="1" si="0"/>
        <v>-0.29191214373710839</v>
      </c>
      <c r="H63">
        <f t="shared" ca="1" si="0"/>
        <v>-1.0980473560535302</v>
      </c>
      <c r="I63">
        <f t="shared" ca="1" si="1"/>
        <v>-0.29191214373710839</v>
      </c>
      <c r="J63">
        <f t="shared" ca="1" si="2"/>
        <v>-0.94522416577524004</v>
      </c>
      <c r="K63">
        <f t="shared" ca="1" si="3"/>
        <v>16.545989099397801</v>
      </c>
      <c r="L63">
        <f t="shared" ca="1" si="4"/>
        <v>15.614129353346051</v>
      </c>
      <c r="M63">
        <f t="shared" ca="1" si="5"/>
        <v>0</v>
      </c>
      <c r="N63">
        <f t="shared" ca="1" si="6"/>
        <v>0</v>
      </c>
    </row>
    <row r="64" spans="6:14" x14ac:dyDescent="0.75">
      <c r="F64">
        <v>59</v>
      </c>
      <c r="G64">
        <f t="shared" ca="1" si="0"/>
        <v>0.26112087558501762</v>
      </c>
      <c r="H64">
        <f t="shared" ca="1" si="0"/>
        <v>0.62268044901705355</v>
      </c>
      <c r="I64">
        <f t="shared" ca="1" si="1"/>
        <v>0.26112087558501762</v>
      </c>
      <c r="J64">
        <f t="shared" ca="1" si="2"/>
        <v>0.60770506027905258</v>
      </c>
      <c r="K64">
        <f t="shared" ca="1" si="3"/>
        <v>18.999296967900605</v>
      </c>
      <c r="L64">
        <f t="shared" ca="1" si="4"/>
        <v>23.021039038745506</v>
      </c>
      <c r="M64">
        <f t="shared" ca="1" si="5"/>
        <v>0.91371696295899696</v>
      </c>
      <c r="N64">
        <f t="shared" ca="1" si="6"/>
        <v>1.0101680033230558</v>
      </c>
    </row>
    <row r="65" spans="6:14" x14ac:dyDescent="0.75">
      <c r="F65">
        <v>60</v>
      </c>
      <c r="G65">
        <f t="shared" ca="1" si="0"/>
        <v>-0.54783589671282362</v>
      </c>
      <c r="H65">
        <f t="shared" ca="1" si="0"/>
        <v>0.32901196211502964</v>
      </c>
      <c r="I65">
        <f t="shared" ca="1" si="1"/>
        <v>-0.54783589671282362</v>
      </c>
      <c r="J65">
        <f t="shared" ca="1" si="2"/>
        <v>-0.19325596500417444</v>
      </c>
      <c r="K65">
        <f t="shared" ca="1" si="3"/>
        <v>15.520516342893041</v>
      </c>
      <c r="L65">
        <f t="shared" ca="1" si="4"/>
        <v>18.84350481379575</v>
      </c>
      <c r="M65">
        <f t="shared" ca="1" si="5"/>
        <v>0</v>
      </c>
      <c r="N65">
        <f t="shared" ca="1" si="6"/>
        <v>0</v>
      </c>
    </row>
    <row r="66" spans="6:14" x14ac:dyDescent="0.75">
      <c r="F66">
        <v>61</v>
      </c>
      <c r="G66">
        <f t="shared" ca="1" si="0"/>
        <v>0.58882100465612719</v>
      </c>
      <c r="H66">
        <f t="shared" ca="1" si="0"/>
        <v>-0.58662778766274037</v>
      </c>
      <c r="I66">
        <f t="shared" ca="1" si="1"/>
        <v>0.58882100465612719</v>
      </c>
      <c r="J66">
        <f t="shared" ca="1" si="2"/>
        <v>5.3597943913191448E-2</v>
      </c>
      <c r="K66">
        <f t="shared" ca="1" si="3"/>
        <v>20.621351282594517</v>
      </c>
      <c r="L66">
        <f t="shared" ca="1" si="4"/>
        <v>20.043035955587627</v>
      </c>
      <c r="M66">
        <f t="shared" ca="1" si="5"/>
        <v>0.33013736328028287</v>
      </c>
      <c r="N66">
        <f t="shared" ca="1" si="6"/>
        <v>0.33219361909107192</v>
      </c>
    </row>
    <row r="67" spans="6:14" x14ac:dyDescent="0.75">
      <c r="F67">
        <v>62</v>
      </c>
      <c r="G67">
        <f t="shared" ca="1" si="0"/>
        <v>3.6936769960551084E-2</v>
      </c>
      <c r="H67">
        <f t="shared" ca="1" si="0"/>
        <v>1.878083433128187</v>
      </c>
      <c r="I67">
        <f t="shared" ca="1" si="1"/>
        <v>3.6936769960551084E-2</v>
      </c>
      <c r="J67">
        <f t="shared" ca="1" si="2"/>
        <v>1.2699380038423105</v>
      </c>
      <c r="K67">
        <f t="shared" ca="1" si="3"/>
        <v>17.963752011580532</v>
      </c>
      <c r="L67">
        <f t="shared" ca="1" si="4"/>
        <v>27.166015840886864</v>
      </c>
      <c r="M67">
        <f t="shared" ca="1" si="5"/>
        <v>2.0908028760468547</v>
      </c>
      <c r="N67">
        <f t="shared" ca="1" si="6"/>
        <v>2.5648839262336978</v>
      </c>
    </row>
    <row r="68" spans="6:14" x14ac:dyDescent="0.75">
      <c r="F68">
        <v>63</v>
      </c>
      <c r="G68">
        <f t="shared" ca="1" si="0"/>
        <v>0.55527837703799843</v>
      </c>
      <c r="H68">
        <f t="shared" ca="1" si="0"/>
        <v>0.91922793064919295</v>
      </c>
      <c r="I68">
        <f t="shared" ca="1" si="1"/>
        <v>0.55527837703799843</v>
      </c>
      <c r="J68">
        <f t="shared" ca="1" si="2"/>
        <v>1.024470908449072</v>
      </c>
      <c r="K68">
        <f t="shared" ca="1" si="3"/>
        <v>20.449150722322667</v>
      </c>
      <c r="L68">
        <f t="shared" ca="1" si="4"/>
        <v>25.549046594411486</v>
      </c>
      <c r="M68">
        <f t="shared" ca="1" si="5"/>
        <v>2.8573030915890207</v>
      </c>
      <c r="N68">
        <f t="shared" ca="1" si="6"/>
        <v>2.9990986583670747</v>
      </c>
    </row>
    <row r="69" spans="6:14" x14ac:dyDescent="0.75">
      <c r="F69">
        <v>64</v>
      </c>
      <c r="G69">
        <f t="shared" ca="1" si="0"/>
        <v>1.9567623536188752</v>
      </c>
      <c r="H69">
        <f t="shared" ca="1" si="0"/>
        <v>-0.62793846343726034</v>
      </c>
      <c r="I69">
        <f t="shared" ca="1" si="1"/>
        <v>1.9567623536188752</v>
      </c>
      <c r="J69">
        <f t="shared" ca="1" si="2"/>
        <v>1.0522295119874023</v>
      </c>
      <c r="K69">
        <f t="shared" ca="1" si="3"/>
        <v>29.029493961124516</v>
      </c>
      <c r="L69">
        <f t="shared" ca="1" si="4"/>
        <v>25.726964688916013</v>
      </c>
      <c r="M69">
        <f t="shared" ca="1" si="5"/>
        <v>7.3283875498528275</v>
      </c>
      <c r="N69">
        <f t="shared" ca="1" si="6"/>
        <v>7.3782293250202642</v>
      </c>
    </row>
    <row r="70" spans="6:14" x14ac:dyDescent="0.75">
      <c r="F70">
        <v>65</v>
      </c>
      <c r="G70">
        <f t="shared" ca="1" si="0"/>
        <v>-0.40970909295650632</v>
      </c>
      <c r="H70">
        <f t="shared" ca="1" si="0"/>
        <v>-1.9114123765048749</v>
      </c>
      <c r="I70">
        <f t="shared" ca="1" si="1"/>
        <v>-0.40970909295650632</v>
      </c>
      <c r="J70">
        <f t="shared" ca="1" si="2"/>
        <v>-1.5715622699980942</v>
      </c>
      <c r="K70">
        <f t="shared" ca="1" si="3"/>
        <v>16.065827241711279</v>
      </c>
      <c r="L70">
        <f t="shared" ca="1" si="4"/>
        <v>13.351005575999713</v>
      </c>
      <c r="M70">
        <f t="shared" ca="1" si="5"/>
        <v>0</v>
      </c>
      <c r="N70">
        <f t="shared" ca="1" si="6"/>
        <v>0</v>
      </c>
    </row>
    <row r="71" spans="6:14" x14ac:dyDescent="0.75">
      <c r="F71">
        <v>66</v>
      </c>
      <c r="G71">
        <f t="shared" ref="G71:H134" ca="1" si="7">NORMSINV(RAND())</f>
        <v>1.3220856317478091</v>
      </c>
      <c r="H71">
        <f t="shared" ca="1" si="7"/>
        <v>-0.1992515875475207</v>
      </c>
      <c r="I71">
        <f t="shared" ref="I71:I134" ca="1" si="8">G71</f>
        <v>1.3220856317478091</v>
      </c>
      <c r="J71">
        <f t="shared" ref="J71:J134" ca="1" si="9">G71*$C$8+SQRT(1-$C$8^2)*H71</f>
        <v>0.85977168656446834</v>
      </c>
      <c r="K71">
        <f t="shared" ref="K71:K134" ca="1" si="10">C$3*EXP(($C$5-0.5*C$4^2)*$C$6+C$4*SQRT($C$6)*I71)</f>
        <v>24.770245777379237</v>
      </c>
      <c r="L71">
        <f t="shared" ref="L71:L134" ca="1" si="11">D$3*EXP(($C$5-0.5*D$4^2)*$C$6+D$4*SQRT($C$6)*J71)</f>
        <v>24.518432832880389</v>
      </c>
      <c r="M71">
        <f t="shared" ref="M71:M134" ca="1" si="12">MAX(SQRT(K71*L71)-$C$7,0)</f>
        <v>4.6440176786702523</v>
      </c>
      <c r="N71">
        <f t="shared" ref="N71:N134" ca="1" si="13">MAX((K71+L71)*0.5-$C$7,0)</f>
        <v>4.6443393051298116</v>
      </c>
    </row>
    <row r="72" spans="6:14" x14ac:dyDescent="0.75">
      <c r="F72">
        <v>67</v>
      </c>
      <c r="G72">
        <f t="shared" ca="1" si="7"/>
        <v>1.1293703149414831</v>
      </c>
      <c r="H72">
        <f t="shared" ca="1" si="7"/>
        <v>-1.9731302115733675</v>
      </c>
      <c r="I72">
        <f t="shared" ca="1" si="8"/>
        <v>1.1293703149414831</v>
      </c>
      <c r="J72">
        <f t="shared" ca="1" si="9"/>
        <v>-0.45807522483673524</v>
      </c>
      <c r="K72">
        <f t="shared" ca="1" si="10"/>
        <v>23.605136499453366</v>
      </c>
      <c r="L72">
        <f t="shared" ca="1" si="11"/>
        <v>17.636373884502142</v>
      </c>
      <c r="M72">
        <f t="shared" ca="1" si="12"/>
        <v>0.40365195005706767</v>
      </c>
      <c r="N72">
        <f t="shared" ca="1" si="13"/>
        <v>0.62075519197775364</v>
      </c>
    </row>
    <row r="73" spans="6:14" x14ac:dyDescent="0.75">
      <c r="F73">
        <v>68</v>
      </c>
      <c r="G73">
        <f t="shared" ca="1" si="7"/>
        <v>-0.38538831338335655</v>
      </c>
      <c r="H73">
        <f t="shared" ca="1" si="7"/>
        <v>7.5467747875890376E-2</v>
      </c>
      <c r="I73">
        <f t="shared" ca="1" si="8"/>
        <v>-0.38538831338335655</v>
      </c>
      <c r="J73">
        <f t="shared" ca="1" si="9"/>
        <v>-0.2391240118160852</v>
      </c>
      <c r="K73">
        <f t="shared" ca="1" si="10"/>
        <v>16.163808172186641</v>
      </c>
      <c r="L73">
        <f t="shared" ca="1" si="11"/>
        <v>18.62866029010052</v>
      </c>
      <c r="M73">
        <f t="shared" ca="1" si="12"/>
        <v>0</v>
      </c>
      <c r="N73">
        <f t="shared" ca="1" si="13"/>
        <v>0</v>
      </c>
    </row>
    <row r="74" spans="6:14" x14ac:dyDescent="0.75">
      <c r="F74">
        <v>69</v>
      </c>
      <c r="G74">
        <f t="shared" ca="1" si="7"/>
        <v>7.2405641914358596E-2</v>
      </c>
      <c r="H74">
        <f t="shared" ca="1" si="7"/>
        <v>-7.1086186306726723E-2</v>
      </c>
      <c r="I74">
        <f t="shared" ca="1" si="8"/>
        <v>7.2405641914358596E-2</v>
      </c>
      <c r="J74">
        <f t="shared" ca="1" si="9"/>
        <v>7.2851387808679502E-3</v>
      </c>
      <c r="K74">
        <f t="shared" ca="1" si="10"/>
        <v>18.123748831552593</v>
      </c>
      <c r="L74">
        <f t="shared" ca="1" si="11"/>
        <v>19.812311913137268</v>
      </c>
      <c r="M74">
        <f t="shared" ca="1" si="12"/>
        <v>0</v>
      </c>
      <c r="N74">
        <f t="shared" ca="1" si="13"/>
        <v>0</v>
      </c>
    </row>
    <row r="75" spans="6:14" x14ac:dyDescent="0.75">
      <c r="F75">
        <v>70</v>
      </c>
      <c r="G75">
        <f t="shared" ca="1" si="7"/>
        <v>0.37399691759241466</v>
      </c>
      <c r="H75">
        <f t="shared" ca="1" si="7"/>
        <v>-0.25309892232519715</v>
      </c>
      <c r="I75">
        <f t="shared" ca="1" si="8"/>
        <v>0.37399691759241466</v>
      </c>
      <c r="J75">
        <f t="shared" ca="1" si="9"/>
        <v>0.11308848680157962</v>
      </c>
      <c r="K75">
        <f t="shared" ca="1" si="10"/>
        <v>19.543074678759684</v>
      </c>
      <c r="L75">
        <f t="shared" ca="1" si="11"/>
        <v>20.343356471164022</v>
      </c>
      <c r="M75">
        <f t="shared" ca="1" si="12"/>
        <v>0</v>
      </c>
      <c r="N75">
        <f t="shared" ca="1" si="13"/>
        <v>0</v>
      </c>
    </row>
    <row r="76" spans="6:14" x14ac:dyDescent="0.75">
      <c r="F76">
        <v>71</v>
      </c>
      <c r="G76">
        <f t="shared" ca="1" si="7"/>
        <v>1.7757694184841215</v>
      </c>
      <c r="H76">
        <f t="shared" ca="1" si="7"/>
        <v>0.21661875442046499</v>
      </c>
      <c r="I76">
        <f t="shared" ca="1" si="8"/>
        <v>1.7757694184841215</v>
      </c>
      <c r="J76">
        <f t="shared" ca="1" si="9"/>
        <v>1.475106902240372</v>
      </c>
      <c r="K76">
        <f t="shared" ca="1" si="10"/>
        <v>27.745234966167658</v>
      </c>
      <c r="L76">
        <f t="shared" ca="1" si="11"/>
        <v>28.595775556867054</v>
      </c>
      <c r="M76">
        <f t="shared" ca="1" si="12"/>
        <v>8.1672950754074058</v>
      </c>
      <c r="N76">
        <f t="shared" ca="1" si="13"/>
        <v>8.1705052615173557</v>
      </c>
    </row>
    <row r="77" spans="6:14" x14ac:dyDescent="0.75">
      <c r="F77">
        <v>72</v>
      </c>
      <c r="G77">
        <f t="shared" ca="1" si="7"/>
        <v>-1.1137556505464625</v>
      </c>
      <c r="H77">
        <f t="shared" ca="1" si="7"/>
        <v>-1.1681807498058894</v>
      </c>
      <c r="I77">
        <f t="shared" ca="1" si="8"/>
        <v>-1.1137556505464625</v>
      </c>
      <c r="J77">
        <f t="shared" ca="1" si="9"/>
        <v>-1.607995675499684</v>
      </c>
      <c r="K77">
        <f t="shared" ca="1" si="10"/>
        <v>13.472934824329345</v>
      </c>
      <c r="L77">
        <f t="shared" ca="1" si="11"/>
        <v>13.229952061872531</v>
      </c>
      <c r="M77">
        <f t="shared" ca="1" si="12"/>
        <v>0</v>
      </c>
      <c r="N77">
        <f t="shared" ca="1" si="13"/>
        <v>0</v>
      </c>
    </row>
    <row r="78" spans="6:14" x14ac:dyDescent="0.75">
      <c r="F78">
        <v>73</v>
      </c>
      <c r="G78">
        <f t="shared" ca="1" si="7"/>
        <v>0.15305673656255103</v>
      </c>
      <c r="H78">
        <f t="shared" ca="1" si="7"/>
        <v>-1.0646323956904786</v>
      </c>
      <c r="I78">
        <f t="shared" ca="1" si="8"/>
        <v>0.15305673656255103</v>
      </c>
      <c r="J78">
        <f t="shared" ca="1" si="9"/>
        <v>-0.58939558675306669</v>
      </c>
      <c r="K78">
        <f t="shared" ca="1" si="10"/>
        <v>18.492882753532303</v>
      </c>
      <c r="L78">
        <f t="shared" ca="1" si="11"/>
        <v>17.066771345189235</v>
      </c>
      <c r="M78">
        <f t="shared" ca="1" si="12"/>
        <v>0</v>
      </c>
      <c r="N78">
        <f t="shared" ca="1" si="13"/>
        <v>0</v>
      </c>
    </row>
    <row r="79" spans="6:14" x14ac:dyDescent="0.75">
      <c r="F79">
        <v>74</v>
      </c>
      <c r="G79">
        <f t="shared" ca="1" si="7"/>
        <v>-0.16595992266403875</v>
      </c>
      <c r="H79">
        <f t="shared" ca="1" si="7"/>
        <v>0.70260515140537794</v>
      </c>
      <c r="I79">
        <f t="shared" ca="1" si="8"/>
        <v>-0.16595992266403875</v>
      </c>
      <c r="J79">
        <f t="shared" ca="1" si="9"/>
        <v>0.34025968312484939</v>
      </c>
      <c r="K79">
        <f t="shared" ca="1" si="10"/>
        <v>17.075279550317479</v>
      </c>
      <c r="L79">
        <f t="shared" ca="1" si="11"/>
        <v>21.532150587507534</v>
      </c>
      <c r="M79">
        <f t="shared" ca="1" si="12"/>
        <v>0</v>
      </c>
      <c r="N79">
        <f t="shared" ca="1" si="13"/>
        <v>0</v>
      </c>
    </row>
    <row r="80" spans="6:14" x14ac:dyDescent="0.75">
      <c r="F80">
        <v>75</v>
      </c>
      <c r="G80">
        <f t="shared" ca="1" si="7"/>
        <v>1.1133242127685337</v>
      </c>
      <c r="H80">
        <f t="shared" ca="1" si="7"/>
        <v>1.5435249123285237</v>
      </c>
      <c r="I80">
        <f t="shared" ca="1" si="8"/>
        <v>1.1133242127685337</v>
      </c>
      <c r="J80">
        <f t="shared" ca="1" si="9"/>
        <v>1.8559389246899125</v>
      </c>
      <c r="K80">
        <f t="shared" ca="1" si="10"/>
        <v>23.510633568625718</v>
      </c>
      <c r="L80">
        <f t="shared" ca="1" si="11"/>
        <v>31.452139351451827</v>
      </c>
      <c r="M80">
        <f t="shared" ca="1" si="12"/>
        <v>7.1930087199143387</v>
      </c>
      <c r="N80">
        <f t="shared" ca="1" si="13"/>
        <v>7.4813864600387703</v>
      </c>
    </row>
    <row r="81" spans="6:14" x14ac:dyDescent="0.75">
      <c r="F81">
        <v>76</v>
      </c>
      <c r="G81">
        <f t="shared" ca="1" si="7"/>
        <v>-0.88128971757756736</v>
      </c>
      <c r="H81">
        <f t="shared" ca="1" si="7"/>
        <v>0.40004436712004077</v>
      </c>
      <c r="I81">
        <f t="shared" ca="1" si="8"/>
        <v>-0.88128971757756736</v>
      </c>
      <c r="J81">
        <f t="shared" ca="1" si="9"/>
        <v>-0.39636281098521242</v>
      </c>
      <c r="K81">
        <f t="shared" ca="1" si="10"/>
        <v>14.279134252554687</v>
      </c>
      <c r="L81">
        <f t="shared" ca="1" si="11"/>
        <v>17.910579482679513</v>
      </c>
      <c r="M81">
        <f t="shared" ca="1" si="12"/>
        <v>0</v>
      </c>
      <c r="N81">
        <f t="shared" ca="1" si="13"/>
        <v>0</v>
      </c>
    </row>
    <row r="82" spans="6:14" x14ac:dyDescent="0.75">
      <c r="F82">
        <v>77</v>
      </c>
      <c r="G82">
        <f t="shared" ca="1" si="7"/>
        <v>1.2333616868802368</v>
      </c>
      <c r="H82">
        <f t="shared" ca="1" si="7"/>
        <v>-0.60847576501668821</v>
      </c>
      <c r="I82">
        <f t="shared" ca="1" si="8"/>
        <v>1.2333616868802368</v>
      </c>
      <c r="J82">
        <f t="shared" ca="1" si="9"/>
        <v>0.52255237689919454</v>
      </c>
      <c r="K82">
        <f t="shared" ca="1" si="10"/>
        <v>24.226865925916918</v>
      </c>
      <c r="L82">
        <f t="shared" ca="1" si="11"/>
        <v>22.536142815698057</v>
      </c>
      <c r="M82">
        <f t="shared" ca="1" si="12"/>
        <v>3.3662172908503223</v>
      </c>
      <c r="N82">
        <f t="shared" ca="1" si="13"/>
        <v>3.3815043708074874</v>
      </c>
    </row>
    <row r="83" spans="6:14" x14ac:dyDescent="0.75">
      <c r="F83">
        <v>78</v>
      </c>
      <c r="G83">
        <f t="shared" ca="1" si="7"/>
        <v>-0.55333027288661141</v>
      </c>
      <c r="H83">
        <f t="shared" ca="1" si="7"/>
        <v>-0.21255540243615001</v>
      </c>
      <c r="I83">
        <f t="shared" ca="1" si="8"/>
        <v>-0.55333027288661141</v>
      </c>
      <c r="J83">
        <f t="shared" ca="1" si="9"/>
        <v>-0.55558988833228495</v>
      </c>
      <c r="K83">
        <f t="shared" ca="1" si="10"/>
        <v>15.499212089140919</v>
      </c>
      <c r="L83">
        <f t="shared" ca="1" si="11"/>
        <v>17.211621107714869</v>
      </c>
      <c r="M83">
        <f t="shared" ca="1" si="12"/>
        <v>0</v>
      </c>
      <c r="N83">
        <f t="shared" ca="1" si="13"/>
        <v>0</v>
      </c>
    </row>
    <row r="84" spans="6:14" x14ac:dyDescent="0.75">
      <c r="F84">
        <v>79</v>
      </c>
      <c r="G84">
        <f t="shared" ca="1" si="7"/>
        <v>-1.1121892969507712</v>
      </c>
      <c r="H84">
        <f t="shared" ca="1" si="7"/>
        <v>0.83691677155114863</v>
      </c>
      <c r="I84">
        <f t="shared" ca="1" si="8"/>
        <v>-1.1121892969507712</v>
      </c>
      <c r="J84">
        <f t="shared" ca="1" si="9"/>
        <v>-0.28057356131722933</v>
      </c>
      <c r="K84">
        <f t="shared" ca="1" si="10"/>
        <v>13.478211702420687</v>
      </c>
      <c r="L84">
        <f t="shared" ca="1" si="11"/>
        <v>18.436619614255406</v>
      </c>
      <c r="M84">
        <f t="shared" ca="1" si="12"/>
        <v>0</v>
      </c>
      <c r="N84">
        <f t="shared" ca="1" si="13"/>
        <v>0</v>
      </c>
    </row>
    <row r="85" spans="6:14" x14ac:dyDescent="0.75">
      <c r="F85">
        <v>80</v>
      </c>
      <c r="G85">
        <f t="shared" ca="1" si="7"/>
        <v>-1.6794200113460391</v>
      </c>
      <c r="H85">
        <f t="shared" ca="1" si="7"/>
        <v>1.290773123124046</v>
      </c>
      <c r="I85">
        <f t="shared" ca="1" si="8"/>
        <v>-1.6794200113460391</v>
      </c>
      <c r="J85">
        <f t="shared" ca="1" si="9"/>
        <v>-0.40579883781143411</v>
      </c>
      <c r="K85">
        <f t="shared" ca="1" si="10"/>
        <v>11.696232191907644</v>
      </c>
      <c r="L85">
        <f t="shared" ca="1" si="11"/>
        <v>17.868378101802417</v>
      </c>
      <c r="M85">
        <f t="shared" ca="1" si="12"/>
        <v>0</v>
      </c>
      <c r="N85">
        <f t="shared" ca="1" si="13"/>
        <v>0</v>
      </c>
    </row>
    <row r="86" spans="6:14" x14ac:dyDescent="0.75">
      <c r="F86">
        <v>81</v>
      </c>
      <c r="G86">
        <f t="shared" ca="1" si="7"/>
        <v>1.4134120669495813</v>
      </c>
      <c r="H86">
        <f t="shared" ca="1" si="7"/>
        <v>1.6275599629095858</v>
      </c>
      <c r="I86">
        <f t="shared" ca="1" si="8"/>
        <v>1.4134120669495813</v>
      </c>
      <c r="J86">
        <f t="shared" ca="1" si="9"/>
        <v>2.1365887766382543</v>
      </c>
      <c r="K86">
        <f t="shared" ca="1" si="10"/>
        <v>25.342295901428436</v>
      </c>
      <c r="L86">
        <f t="shared" ca="1" si="11"/>
        <v>33.738157529008589</v>
      </c>
      <c r="M86">
        <f t="shared" ca="1" si="12"/>
        <v>9.2404235822455441</v>
      </c>
      <c r="N86">
        <f t="shared" ca="1" si="13"/>
        <v>9.5402267152185125</v>
      </c>
    </row>
    <row r="87" spans="6:14" x14ac:dyDescent="0.75">
      <c r="F87">
        <v>82</v>
      </c>
      <c r="G87">
        <f t="shared" ca="1" si="7"/>
        <v>0.24827573823416024</v>
      </c>
      <c r="H87">
        <f t="shared" ca="1" si="7"/>
        <v>0.74499064184233832</v>
      </c>
      <c r="I87">
        <f t="shared" ca="1" si="8"/>
        <v>0.24827573823416024</v>
      </c>
      <c r="J87">
        <f t="shared" ca="1" si="9"/>
        <v>0.67897179552192455</v>
      </c>
      <c r="K87">
        <f t="shared" ca="1" si="10"/>
        <v>18.938382682013536</v>
      </c>
      <c r="L87">
        <f t="shared" ca="1" si="11"/>
        <v>23.43487324182929</v>
      </c>
      <c r="M87">
        <f t="shared" ca="1" si="12"/>
        <v>1.067002576499636</v>
      </c>
      <c r="N87">
        <f t="shared" ca="1" si="13"/>
        <v>1.1866279619214133</v>
      </c>
    </row>
    <row r="88" spans="6:14" x14ac:dyDescent="0.75">
      <c r="F88">
        <v>83</v>
      </c>
      <c r="G88">
        <f t="shared" ca="1" si="7"/>
        <v>-0.50072287198838605</v>
      </c>
      <c r="H88">
        <f t="shared" ca="1" si="7"/>
        <v>-0.77108914070874002</v>
      </c>
      <c r="I88">
        <f t="shared" ca="1" si="8"/>
        <v>-0.50072287198838605</v>
      </c>
      <c r="J88">
        <f t="shared" ca="1" si="9"/>
        <v>-0.88556968023574389</v>
      </c>
      <c r="K88">
        <f t="shared" ca="1" si="10"/>
        <v>15.704401759391827</v>
      </c>
      <c r="L88">
        <f t="shared" ca="1" si="11"/>
        <v>15.848737648044313</v>
      </c>
      <c r="M88">
        <f t="shared" ca="1" si="12"/>
        <v>0</v>
      </c>
      <c r="N88">
        <f t="shared" ca="1" si="13"/>
        <v>0</v>
      </c>
    </row>
    <row r="89" spans="6:14" x14ac:dyDescent="0.75">
      <c r="F89">
        <v>84</v>
      </c>
      <c r="G89">
        <f t="shared" ca="1" si="7"/>
        <v>0.3932548370467473</v>
      </c>
      <c r="H89">
        <f t="shared" ca="1" si="7"/>
        <v>-2.1842220671693</v>
      </c>
      <c r="I89">
        <f t="shared" ca="1" si="8"/>
        <v>0.3932548370467473</v>
      </c>
      <c r="J89">
        <f t="shared" ca="1" si="9"/>
        <v>-1.149785971682286</v>
      </c>
      <c r="K89">
        <f t="shared" ca="1" si="10"/>
        <v>19.637391278776864</v>
      </c>
      <c r="L89">
        <f t="shared" ca="1" si="11"/>
        <v>14.835690242479856</v>
      </c>
      <c r="M89">
        <f t="shared" ca="1" si="12"/>
        <v>0</v>
      </c>
      <c r="N89">
        <f t="shared" ca="1" si="13"/>
        <v>0</v>
      </c>
    </row>
    <row r="90" spans="6:14" x14ac:dyDescent="0.75">
      <c r="F90">
        <v>85</v>
      </c>
      <c r="G90">
        <f t="shared" ca="1" si="7"/>
        <v>0.49165521227816966</v>
      </c>
      <c r="H90">
        <f t="shared" ca="1" si="7"/>
        <v>-1.4167617932623726</v>
      </c>
      <c r="I90">
        <f t="shared" ca="1" si="8"/>
        <v>0.49165521227816966</v>
      </c>
      <c r="J90">
        <f t="shared" ca="1" si="9"/>
        <v>-0.56835843378890849</v>
      </c>
      <c r="K90">
        <f t="shared" ca="1" si="10"/>
        <v>20.126463898668874</v>
      </c>
      <c r="L90">
        <f t="shared" ca="1" si="11"/>
        <v>17.156766863783425</v>
      </c>
      <c r="M90">
        <f t="shared" ca="1" si="12"/>
        <v>0</v>
      </c>
      <c r="N90">
        <f t="shared" ca="1" si="13"/>
        <v>0</v>
      </c>
    </row>
    <row r="91" spans="6:14" x14ac:dyDescent="0.75">
      <c r="F91">
        <v>86</v>
      </c>
      <c r="G91">
        <f t="shared" ca="1" si="7"/>
        <v>1.0962113346010003</v>
      </c>
      <c r="H91">
        <f t="shared" ca="1" si="7"/>
        <v>-0.53417938984219993</v>
      </c>
      <c r="I91">
        <f t="shared" ca="1" si="8"/>
        <v>1.0962113346010003</v>
      </c>
      <c r="J91">
        <f t="shared" ca="1" si="9"/>
        <v>0.46883204569607928</v>
      </c>
      <c r="K91">
        <f t="shared" ca="1" si="10"/>
        <v>23.410264769617847</v>
      </c>
      <c r="L91">
        <f t="shared" ca="1" si="11"/>
        <v>22.235503873385451</v>
      </c>
      <c r="M91">
        <f t="shared" ca="1" si="12"/>
        <v>2.8153245201951194</v>
      </c>
      <c r="N91">
        <f t="shared" ca="1" si="13"/>
        <v>2.8228843215016468</v>
      </c>
    </row>
    <row r="92" spans="6:14" x14ac:dyDescent="0.75">
      <c r="F92">
        <v>87</v>
      </c>
      <c r="G92">
        <f t="shared" ca="1" si="7"/>
        <v>0.48775294844363098</v>
      </c>
      <c r="H92">
        <f t="shared" ca="1" si="7"/>
        <v>-1.2740423751662981</v>
      </c>
      <c r="I92">
        <f t="shared" ca="1" si="8"/>
        <v>0.48775294844363098</v>
      </c>
      <c r="J92">
        <f t="shared" ca="1" si="9"/>
        <v>-0.47688510977929632</v>
      </c>
      <c r="K92">
        <f t="shared" ca="1" si="10"/>
        <v>20.106838779976989</v>
      </c>
      <c r="L92">
        <f t="shared" ca="1" si="11"/>
        <v>17.553634036956261</v>
      </c>
      <c r="M92">
        <f t="shared" ca="1" si="12"/>
        <v>0</v>
      </c>
      <c r="N92">
        <f t="shared" ca="1" si="13"/>
        <v>0</v>
      </c>
    </row>
    <row r="93" spans="6:14" x14ac:dyDescent="0.75">
      <c r="F93">
        <v>88</v>
      </c>
      <c r="G93">
        <f t="shared" ca="1" si="7"/>
        <v>1.768119972121619</v>
      </c>
      <c r="H93">
        <f t="shared" ca="1" si="7"/>
        <v>-0.15657632328318608</v>
      </c>
      <c r="I93">
        <f t="shared" ca="1" si="8"/>
        <v>1.768119972121619</v>
      </c>
      <c r="J93">
        <f t="shared" ca="1" si="9"/>
        <v>1.2225244759391736</v>
      </c>
      <c r="K93">
        <f t="shared" ca="1" si="10"/>
        <v>27.69222674609232</v>
      </c>
      <c r="L93">
        <f t="shared" ca="1" si="11"/>
        <v>26.845907608934269</v>
      </c>
      <c r="M93">
        <f t="shared" ca="1" si="12"/>
        <v>7.265783698827601</v>
      </c>
      <c r="N93">
        <f t="shared" ca="1" si="13"/>
        <v>7.2690671775132927</v>
      </c>
    </row>
    <row r="94" spans="6:14" x14ac:dyDescent="0.75">
      <c r="F94">
        <v>89</v>
      </c>
      <c r="G94">
        <f t="shared" ca="1" si="7"/>
        <v>0.30519374298155721</v>
      </c>
      <c r="H94">
        <f t="shared" ca="1" si="7"/>
        <v>-1.6138826918498832</v>
      </c>
      <c r="I94">
        <f t="shared" ca="1" si="8"/>
        <v>0.30519374298155721</v>
      </c>
      <c r="J94">
        <f t="shared" ca="1" si="9"/>
        <v>-0.83858775473040192</v>
      </c>
      <c r="K94">
        <f t="shared" ca="1" si="10"/>
        <v>19.209792857018343</v>
      </c>
      <c r="L94">
        <f t="shared" ca="1" si="11"/>
        <v>16.035986210507289</v>
      </c>
      <c r="M94">
        <f t="shared" ca="1" si="12"/>
        <v>0</v>
      </c>
      <c r="N94">
        <f t="shared" ca="1" si="13"/>
        <v>0</v>
      </c>
    </row>
    <row r="95" spans="6:14" x14ac:dyDescent="0.75">
      <c r="F95">
        <v>90</v>
      </c>
      <c r="G95">
        <f t="shared" ca="1" si="7"/>
        <v>0.67227576687177815</v>
      </c>
      <c r="H95">
        <f t="shared" ca="1" si="7"/>
        <v>-0.67992855251557816</v>
      </c>
      <c r="I95">
        <f t="shared" ca="1" si="8"/>
        <v>0.67227576687177815</v>
      </c>
      <c r="J95">
        <f t="shared" ca="1" si="9"/>
        <v>5.4476360341748575E-2</v>
      </c>
      <c r="K95">
        <f t="shared" ca="1" si="10"/>
        <v>21.056108322264272</v>
      </c>
      <c r="L95">
        <f t="shared" ca="1" si="11"/>
        <v>20.047437971935757</v>
      </c>
      <c r="M95">
        <f t="shared" ca="1" si="12"/>
        <v>0.54558408809429082</v>
      </c>
      <c r="N95">
        <f t="shared" ca="1" si="13"/>
        <v>0.55177314710001468</v>
      </c>
    </row>
    <row r="96" spans="6:14" x14ac:dyDescent="0.75">
      <c r="F96">
        <v>91</v>
      </c>
      <c r="G96">
        <f t="shared" ca="1" si="7"/>
        <v>0.35165372764021813</v>
      </c>
      <c r="H96">
        <f t="shared" ca="1" si="7"/>
        <v>1.1335725825161602</v>
      </c>
      <c r="I96">
        <f t="shared" ca="1" si="8"/>
        <v>0.35165372764021813</v>
      </c>
      <c r="J96">
        <f t="shared" ca="1" si="9"/>
        <v>1.0135280823249149</v>
      </c>
      <c r="K96">
        <f t="shared" ca="1" si="10"/>
        <v>19.434215337472292</v>
      </c>
      <c r="L96">
        <f t="shared" ca="1" si="11"/>
        <v>25.479247419342812</v>
      </c>
      <c r="M96">
        <f t="shared" ca="1" si="12"/>
        <v>2.2523971963526535</v>
      </c>
      <c r="N96">
        <f t="shared" ca="1" si="13"/>
        <v>2.4567313784075537</v>
      </c>
    </row>
    <row r="97" spans="6:14" x14ac:dyDescent="0.75">
      <c r="F97">
        <v>92</v>
      </c>
      <c r="G97">
        <f t="shared" ca="1" si="7"/>
        <v>0.20369092721880247</v>
      </c>
      <c r="H97">
        <f t="shared" ca="1" si="7"/>
        <v>0.11256131755021241</v>
      </c>
      <c r="I97">
        <f t="shared" ca="1" si="8"/>
        <v>0.20369092721880247</v>
      </c>
      <c r="J97">
        <f t="shared" ca="1" si="9"/>
        <v>0.22722050878500991</v>
      </c>
      <c r="K97">
        <f t="shared" ca="1" si="10"/>
        <v>18.728463701886017</v>
      </c>
      <c r="L97">
        <f t="shared" ca="1" si="11"/>
        <v>20.932173992536715</v>
      </c>
      <c r="M97">
        <f t="shared" ca="1" si="12"/>
        <v>0</v>
      </c>
      <c r="N97">
        <f t="shared" ca="1" si="13"/>
        <v>0</v>
      </c>
    </row>
    <row r="98" spans="6:14" x14ac:dyDescent="0.75">
      <c r="F98">
        <v>93</v>
      </c>
      <c r="G98">
        <f t="shared" ca="1" si="7"/>
        <v>-0.13920035687465579</v>
      </c>
      <c r="H98">
        <f t="shared" ca="1" si="7"/>
        <v>0.2357697161154941</v>
      </c>
      <c r="I98">
        <f t="shared" ca="1" si="8"/>
        <v>-0.13920035687465579</v>
      </c>
      <c r="J98">
        <f t="shared" ca="1" si="9"/>
        <v>5.1546741224481885E-2</v>
      </c>
      <c r="K98">
        <f t="shared" ca="1" si="10"/>
        <v>17.189894269495511</v>
      </c>
      <c r="L98">
        <f t="shared" ca="1" si="11"/>
        <v>20.03276050813048</v>
      </c>
      <c r="M98">
        <f t="shared" ca="1" si="12"/>
        <v>0</v>
      </c>
      <c r="N98">
        <f t="shared" ca="1" si="13"/>
        <v>0</v>
      </c>
    </row>
    <row r="99" spans="6:14" x14ac:dyDescent="0.75">
      <c r="F99">
        <v>94</v>
      </c>
      <c r="G99">
        <f t="shared" ca="1" si="7"/>
        <v>0.32062165704147533</v>
      </c>
      <c r="H99">
        <f t="shared" ca="1" si="7"/>
        <v>1.1020723162238051</v>
      </c>
      <c r="I99">
        <f t="shared" ca="1" si="8"/>
        <v>0.32062165704147533</v>
      </c>
      <c r="J99">
        <f t="shared" ca="1" si="9"/>
        <v>0.96941856166538709</v>
      </c>
      <c r="K99">
        <f t="shared" ca="1" si="10"/>
        <v>19.284027684384004</v>
      </c>
      <c r="L99">
        <f t="shared" ca="1" si="11"/>
        <v>25.199821570846286</v>
      </c>
      <c r="M99">
        <f t="shared" ca="1" si="12"/>
        <v>2.0443656477961945</v>
      </c>
      <c r="N99">
        <f t="shared" ca="1" si="13"/>
        <v>2.2419246276151448</v>
      </c>
    </row>
    <row r="100" spans="6:14" x14ac:dyDescent="0.75">
      <c r="F100">
        <v>95</v>
      </c>
      <c r="G100">
        <f t="shared" ca="1" si="7"/>
        <v>1.0246182478848285</v>
      </c>
      <c r="H100">
        <f t="shared" ca="1" si="7"/>
        <v>-0.29761464446251429</v>
      </c>
      <c r="I100">
        <f t="shared" ca="1" si="8"/>
        <v>1.0246182478848285</v>
      </c>
      <c r="J100">
        <f t="shared" ca="1" si="9"/>
        <v>0.57161010196894158</v>
      </c>
      <c r="K100">
        <f t="shared" ca="1" si="10"/>
        <v>22.994988936544431</v>
      </c>
      <c r="L100">
        <f t="shared" ca="1" si="11"/>
        <v>22.814237641911717</v>
      </c>
      <c r="M100">
        <f t="shared" ca="1" si="12"/>
        <v>2.904434989133776</v>
      </c>
      <c r="N100">
        <f t="shared" ca="1" si="13"/>
        <v>2.9046132892280738</v>
      </c>
    </row>
    <row r="101" spans="6:14" x14ac:dyDescent="0.75">
      <c r="F101">
        <v>96</v>
      </c>
      <c r="G101">
        <f t="shared" ca="1" si="7"/>
        <v>8.7451154147805243E-2</v>
      </c>
      <c r="H101">
        <f t="shared" ca="1" si="7"/>
        <v>-1.564477125256704</v>
      </c>
      <c r="I101">
        <f t="shared" ca="1" si="8"/>
        <v>8.7451154147805243E-2</v>
      </c>
      <c r="J101">
        <f t="shared" ca="1" si="9"/>
        <v>-0.96921598570876777</v>
      </c>
      <c r="K101">
        <f t="shared" ca="1" si="10"/>
        <v>18.192047470720365</v>
      </c>
      <c r="L101">
        <f t="shared" ca="1" si="11"/>
        <v>15.520756810460981</v>
      </c>
      <c r="M101">
        <f t="shared" ca="1" si="12"/>
        <v>0</v>
      </c>
      <c r="N101">
        <f t="shared" ca="1" si="13"/>
        <v>0</v>
      </c>
    </row>
    <row r="102" spans="6:14" x14ac:dyDescent="0.75">
      <c r="F102">
        <v>97</v>
      </c>
      <c r="G102">
        <f t="shared" ca="1" si="7"/>
        <v>1.7622252674901755</v>
      </c>
      <c r="H102">
        <f t="shared" ca="1" si="7"/>
        <v>-2.474682664823038</v>
      </c>
      <c r="I102">
        <f t="shared" ca="1" si="8"/>
        <v>1.7622252674901755</v>
      </c>
      <c r="J102">
        <f t="shared" ca="1" si="9"/>
        <v>-0.31517977561346044</v>
      </c>
      <c r="K102">
        <f t="shared" ca="1" si="10"/>
        <v>27.65144742691384</v>
      </c>
      <c r="L102">
        <f t="shared" ca="1" si="11"/>
        <v>18.277802211187819</v>
      </c>
      <c r="M102">
        <f t="shared" ca="1" si="12"/>
        <v>2.4812741392072688</v>
      </c>
      <c r="N102">
        <f t="shared" ca="1" si="13"/>
        <v>2.9646248190508295</v>
      </c>
    </row>
    <row r="103" spans="6:14" x14ac:dyDescent="0.75">
      <c r="F103">
        <v>98</v>
      </c>
      <c r="G103">
        <f t="shared" ca="1" si="7"/>
        <v>-0.66919796127451936</v>
      </c>
      <c r="H103">
        <f t="shared" ca="1" si="7"/>
        <v>-1.0527182200450786</v>
      </c>
      <c r="I103">
        <f t="shared" ca="1" si="8"/>
        <v>-0.66919796127451936</v>
      </c>
      <c r="J103">
        <f t="shared" ca="1" si="9"/>
        <v>-1.1982061236723518</v>
      </c>
      <c r="K103">
        <f t="shared" ca="1" si="10"/>
        <v>15.056687845074688</v>
      </c>
      <c r="L103">
        <f t="shared" ca="1" si="11"/>
        <v>14.657186227026529</v>
      </c>
      <c r="M103">
        <f t="shared" ca="1" si="12"/>
        <v>0</v>
      </c>
      <c r="N103">
        <f t="shared" ca="1" si="13"/>
        <v>0</v>
      </c>
    </row>
    <row r="104" spans="6:14" x14ac:dyDescent="0.75">
      <c r="F104">
        <v>99</v>
      </c>
      <c r="G104">
        <f t="shared" ca="1" si="7"/>
        <v>1.6959212095612262</v>
      </c>
      <c r="H104">
        <f t="shared" ca="1" si="7"/>
        <v>0.67506468510077289</v>
      </c>
      <c r="I104">
        <f t="shared" ca="1" si="8"/>
        <v>1.6959212095612262</v>
      </c>
      <c r="J104">
        <f t="shared" ca="1" si="9"/>
        <v>1.7184542260856133</v>
      </c>
      <c r="K104">
        <f t="shared" ca="1" si="10"/>
        <v>27.196874545560071</v>
      </c>
      <c r="L104">
        <f t="shared" ca="1" si="11"/>
        <v>30.38945976622983</v>
      </c>
      <c r="M104">
        <f t="shared" ca="1" si="12"/>
        <v>8.7488838873702726</v>
      </c>
      <c r="N104">
        <f t="shared" ca="1" si="13"/>
        <v>8.7931671558949489</v>
      </c>
    </row>
    <row r="105" spans="6:14" x14ac:dyDescent="0.75">
      <c r="F105">
        <v>100</v>
      </c>
      <c r="G105">
        <f t="shared" ca="1" si="7"/>
        <v>1.6904789781132541</v>
      </c>
      <c r="H105">
        <f t="shared" ca="1" si="7"/>
        <v>-0.28060678905657638</v>
      </c>
      <c r="I105">
        <f t="shared" ca="1" si="8"/>
        <v>1.6904789781132541</v>
      </c>
      <c r="J105">
        <f t="shared" ca="1" si="9"/>
        <v>1.082255288574925</v>
      </c>
      <c r="K105">
        <f t="shared" ca="1" si="10"/>
        <v>27.159896784971096</v>
      </c>
      <c r="L105">
        <f t="shared" ca="1" si="11"/>
        <v>25.920809344253264</v>
      </c>
      <c r="M105">
        <f t="shared" ca="1" si="12"/>
        <v>6.5331209316362369</v>
      </c>
      <c r="N105">
        <f t="shared" ca="1" si="13"/>
        <v>6.5403530646121801</v>
      </c>
    </row>
    <row r="106" spans="6:14" x14ac:dyDescent="0.75">
      <c r="F106">
        <v>101</v>
      </c>
      <c r="G106">
        <f t="shared" ca="1" si="7"/>
        <v>-0.73874277243019182</v>
      </c>
      <c r="H106">
        <f t="shared" ca="1" si="7"/>
        <v>-1.0288448315481611</v>
      </c>
      <c r="I106">
        <f t="shared" ca="1" si="8"/>
        <v>-0.73874277243019182</v>
      </c>
      <c r="J106">
        <f t="shared" ca="1" si="9"/>
        <v>-1.2345739698102876</v>
      </c>
      <c r="K106">
        <f t="shared" ca="1" si="10"/>
        <v>14.797171753744639</v>
      </c>
      <c r="L106">
        <f t="shared" ca="1" si="11"/>
        <v>14.524527630910175</v>
      </c>
      <c r="M106">
        <f t="shared" ca="1" si="12"/>
        <v>0</v>
      </c>
      <c r="N106">
        <f t="shared" ca="1" si="13"/>
        <v>0</v>
      </c>
    </row>
    <row r="107" spans="6:14" x14ac:dyDescent="0.75">
      <c r="F107">
        <v>102</v>
      </c>
      <c r="G107">
        <f t="shared" ca="1" si="7"/>
        <v>-0.5153439312756859</v>
      </c>
      <c r="H107">
        <f t="shared" ca="1" si="7"/>
        <v>1.4952292458625565</v>
      </c>
      <c r="I107">
        <f t="shared" ca="1" si="8"/>
        <v>-0.5153439312756859</v>
      </c>
      <c r="J107">
        <f t="shared" ca="1" si="9"/>
        <v>0.60249323593898008</v>
      </c>
      <c r="K107">
        <f t="shared" ca="1" si="10"/>
        <v>15.647102797330508</v>
      </c>
      <c r="L107">
        <f t="shared" ca="1" si="11"/>
        <v>22.991063168708486</v>
      </c>
      <c r="M107">
        <f t="shared" ca="1" si="12"/>
        <v>0</v>
      </c>
      <c r="N107">
        <f t="shared" ca="1" si="13"/>
        <v>0</v>
      </c>
    </row>
    <row r="108" spans="6:14" x14ac:dyDescent="0.75">
      <c r="F108">
        <v>103</v>
      </c>
      <c r="G108">
        <f t="shared" ca="1" si="7"/>
        <v>0.4957633375350386</v>
      </c>
      <c r="H108">
        <f t="shared" ca="1" si="7"/>
        <v>0.8114476620912513</v>
      </c>
      <c r="I108">
        <f t="shared" ca="1" si="8"/>
        <v>0.4957633375350386</v>
      </c>
      <c r="J108">
        <f t="shared" ca="1" si="9"/>
        <v>0.90854468211083528</v>
      </c>
      <c r="K108">
        <f t="shared" ca="1" si="10"/>
        <v>20.147145025601898</v>
      </c>
      <c r="L108">
        <f t="shared" ca="1" si="11"/>
        <v>24.819222260241595</v>
      </c>
      <c r="M108">
        <f t="shared" ca="1" si="12"/>
        <v>2.361495260821318</v>
      </c>
      <c r="N108">
        <f t="shared" ca="1" si="13"/>
        <v>2.4831836429217446</v>
      </c>
    </row>
    <row r="109" spans="6:14" x14ac:dyDescent="0.75">
      <c r="F109">
        <v>104</v>
      </c>
      <c r="G109">
        <f t="shared" ca="1" si="7"/>
        <v>1.6963225044558855E-2</v>
      </c>
      <c r="H109">
        <f t="shared" ca="1" si="7"/>
        <v>0.85365467194597477</v>
      </c>
      <c r="I109">
        <f t="shared" ca="1" si="8"/>
        <v>1.6963225044558855E-2</v>
      </c>
      <c r="J109">
        <f t="shared" ca="1" si="9"/>
        <v>0.57736191065778819</v>
      </c>
      <c r="K109">
        <f t="shared" ca="1" si="10"/>
        <v>17.874275640620262</v>
      </c>
      <c r="L109">
        <f t="shared" ca="1" si="11"/>
        <v>22.847067022368932</v>
      </c>
      <c r="M109">
        <f t="shared" ca="1" si="12"/>
        <v>0.20828477475383167</v>
      </c>
      <c r="N109">
        <f t="shared" ca="1" si="13"/>
        <v>0.36067133149459707</v>
      </c>
    </row>
    <row r="110" spans="6:14" x14ac:dyDescent="0.75">
      <c r="F110">
        <v>105</v>
      </c>
      <c r="G110">
        <f t="shared" ca="1" si="7"/>
        <v>-0.44183743435901596</v>
      </c>
      <c r="H110">
        <f t="shared" ca="1" si="7"/>
        <v>0.23498289229386043</v>
      </c>
      <c r="I110">
        <f t="shared" ca="1" si="8"/>
        <v>-0.44183743435901596</v>
      </c>
      <c r="J110">
        <f t="shared" ca="1" si="9"/>
        <v>-0.1759515019282043</v>
      </c>
      <c r="K110">
        <f t="shared" ca="1" si="10"/>
        <v>15.937301999909957</v>
      </c>
      <c r="L110">
        <f t="shared" ca="1" si="11"/>
        <v>18.925200582376949</v>
      </c>
      <c r="M110">
        <f t="shared" ca="1" si="12"/>
        <v>0</v>
      </c>
      <c r="N110">
        <f t="shared" ca="1" si="13"/>
        <v>0</v>
      </c>
    </row>
    <row r="111" spans="6:14" x14ac:dyDescent="0.75">
      <c r="F111">
        <v>106</v>
      </c>
      <c r="G111">
        <f t="shared" ca="1" si="7"/>
        <v>5.9040241047635554E-3</v>
      </c>
      <c r="H111">
        <f t="shared" ca="1" si="7"/>
        <v>1.1651064300240976</v>
      </c>
      <c r="I111">
        <f t="shared" ca="1" si="8"/>
        <v>5.9040241047635554E-3</v>
      </c>
      <c r="J111">
        <f t="shared" ca="1" si="9"/>
        <v>0.77507348427008294</v>
      </c>
      <c r="K111">
        <f t="shared" ca="1" si="10"/>
        <v>17.824925092769472</v>
      </c>
      <c r="L111">
        <f t="shared" ca="1" si="11"/>
        <v>24.004724007426383</v>
      </c>
      <c r="M111">
        <f t="shared" ca="1" si="12"/>
        <v>0.68531864161101907</v>
      </c>
      <c r="N111">
        <f t="shared" ca="1" si="13"/>
        <v>0.91482455009792574</v>
      </c>
    </row>
    <row r="112" spans="6:14" x14ac:dyDescent="0.75">
      <c r="F112">
        <v>107</v>
      </c>
      <c r="G112">
        <f t="shared" ca="1" si="7"/>
        <v>-2.2604614779114494</v>
      </c>
      <c r="H112">
        <f t="shared" ca="1" si="7"/>
        <v>2.0354712676247795</v>
      </c>
      <c r="I112">
        <f t="shared" ca="1" si="8"/>
        <v>-2.2604614779114494</v>
      </c>
      <c r="J112">
        <f t="shared" ca="1" si="9"/>
        <v>-0.34900841469544575</v>
      </c>
      <c r="K112">
        <f t="shared" ca="1" si="10"/>
        <v>10.114867674398329</v>
      </c>
      <c r="L112">
        <f t="shared" ca="1" si="11"/>
        <v>18.123875725521682</v>
      </c>
      <c r="M112">
        <f t="shared" ca="1" si="12"/>
        <v>0</v>
      </c>
      <c r="N112">
        <f t="shared" ca="1" si="13"/>
        <v>0</v>
      </c>
    </row>
    <row r="113" spans="6:14" x14ac:dyDescent="0.75">
      <c r="F113">
        <v>108</v>
      </c>
      <c r="G113">
        <f t="shared" ca="1" si="7"/>
        <v>0.50886376763282815</v>
      </c>
      <c r="H113">
        <f t="shared" ca="1" si="7"/>
        <v>2.2965486391841892E-2</v>
      </c>
      <c r="I113">
        <f t="shared" ca="1" si="8"/>
        <v>0.50886376763282815</v>
      </c>
      <c r="J113">
        <f t="shared" ca="1" si="9"/>
        <v>0.39683806715723402</v>
      </c>
      <c r="K113">
        <f t="shared" ca="1" si="10"/>
        <v>20.213237262385128</v>
      </c>
      <c r="L113">
        <f t="shared" ca="1" si="11"/>
        <v>21.83887831475586</v>
      </c>
      <c r="M113">
        <f t="shared" ca="1" si="12"/>
        <v>1.0103409996248693</v>
      </c>
      <c r="N113">
        <f t="shared" ca="1" si="13"/>
        <v>1.026057788570494</v>
      </c>
    </row>
    <row r="114" spans="6:14" x14ac:dyDescent="0.75">
      <c r="F114">
        <v>109</v>
      </c>
      <c r="G114">
        <f t="shared" ca="1" si="7"/>
        <v>0.85107498752400257</v>
      </c>
      <c r="H114">
        <f t="shared" ca="1" si="7"/>
        <v>-1.3860676588433187</v>
      </c>
      <c r="I114">
        <f t="shared" ca="1" si="8"/>
        <v>0.85107498752400257</v>
      </c>
      <c r="J114">
        <f t="shared" ca="1" si="9"/>
        <v>-0.27849134075923265</v>
      </c>
      <c r="K114">
        <f t="shared" ca="1" si="10"/>
        <v>22.018665044554801</v>
      </c>
      <c r="L114">
        <f t="shared" ca="1" si="11"/>
        <v>18.446219389740055</v>
      </c>
      <c r="M114">
        <f t="shared" ca="1" si="12"/>
        <v>0.15343955956546651</v>
      </c>
      <c r="N114">
        <f t="shared" ca="1" si="13"/>
        <v>0.23244221714742963</v>
      </c>
    </row>
    <row r="115" spans="6:14" x14ac:dyDescent="0.75">
      <c r="F115">
        <v>110</v>
      </c>
      <c r="G115">
        <f t="shared" ca="1" si="7"/>
        <v>0.41036853726863126</v>
      </c>
      <c r="H115">
        <f t="shared" ca="1" si="7"/>
        <v>-0.79677345496261842</v>
      </c>
      <c r="I115">
        <f t="shared" ca="1" si="8"/>
        <v>0.41036853726863126</v>
      </c>
      <c r="J115">
        <f t="shared" ca="1" si="9"/>
        <v>-0.21923970032072937</v>
      </c>
      <c r="K115">
        <f t="shared" ca="1" si="10"/>
        <v>19.721588372691112</v>
      </c>
      <c r="L115">
        <f t="shared" ca="1" si="11"/>
        <v>18.721495365106232</v>
      </c>
      <c r="M115">
        <f t="shared" ca="1" si="12"/>
        <v>0</v>
      </c>
      <c r="N115">
        <f t="shared" ca="1" si="13"/>
        <v>0</v>
      </c>
    </row>
    <row r="116" spans="6:14" x14ac:dyDescent="0.75">
      <c r="F116">
        <v>111</v>
      </c>
      <c r="G116">
        <f t="shared" ca="1" si="7"/>
        <v>1.1635154257741755</v>
      </c>
      <c r="H116">
        <f t="shared" ca="1" si="7"/>
        <v>0.47048101334583242</v>
      </c>
      <c r="I116">
        <f t="shared" ca="1" si="8"/>
        <v>1.1635154257741755</v>
      </c>
      <c r="J116">
        <f t="shared" ca="1" si="9"/>
        <v>1.183830508803315</v>
      </c>
      <c r="K116">
        <f t="shared" ca="1" si="10"/>
        <v>23.807498982316162</v>
      </c>
      <c r="L116">
        <f t="shared" ca="1" si="11"/>
        <v>26.587465974096066</v>
      </c>
      <c r="M116">
        <f t="shared" ca="1" si="12"/>
        <v>5.1591150305541902</v>
      </c>
      <c r="N116">
        <f t="shared" ca="1" si="13"/>
        <v>5.197482478206112</v>
      </c>
    </row>
    <row r="117" spans="6:14" x14ac:dyDescent="0.75">
      <c r="F117">
        <v>112</v>
      </c>
      <c r="G117">
        <f t="shared" ca="1" si="7"/>
        <v>1.7048386382204552</v>
      </c>
      <c r="H117">
        <f t="shared" ca="1" si="7"/>
        <v>-0.80233347530960863</v>
      </c>
      <c r="I117">
        <f t="shared" ca="1" si="8"/>
        <v>1.7048386382204552</v>
      </c>
      <c r="J117">
        <f t="shared" ca="1" si="9"/>
        <v>0.74793526761248996</v>
      </c>
      <c r="K117">
        <f t="shared" ca="1" si="10"/>
        <v>27.257573727627051</v>
      </c>
      <c r="L117">
        <f t="shared" ca="1" si="11"/>
        <v>23.842413880716101</v>
      </c>
      <c r="M117">
        <f t="shared" ca="1" si="12"/>
        <v>5.4928686929936887</v>
      </c>
      <c r="N117">
        <f t="shared" ca="1" si="13"/>
        <v>5.5499938041715779</v>
      </c>
    </row>
    <row r="118" spans="6:14" x14ac:dyDescent="0.75">
      <c r="F118">
        <v>113</v>
      </c>
      <c r="G118">
        <f t="shared" ca="1" si="7"/>
        <v>-0.61276948689661626</v>
      </c>
      <c r="H118">
        <f t="shared" ca="1" si="7"/>
        <v>-1.0693988882173013</v>
      </c>
      <c r="I118">
        <f t="shared" ca="1" si="8"/>
        <v>-0.61276948689661626</v>
      </c>
      <c r="J118">
        <f t="shared" ca="1" si="9"/>
        <v>-1.1669179928104474</v>
      </c>
      <c r="K118">
        <f t="shared" ca="1" si="10"/>
        <v>15.270599617968744</v>
      </c>
      <c r="L118">
        <f t="shared" ca="1" si="11"/>
        <v>14.772284782694676</v>
      </c>
      <c r="M118">
        <f t="shared" ca="1" si="12"/>
        <v>0</v>
      </c>
      <c r="N118">
        <f t="shared" ca="1" si="13"/>
        <v>0</v>
      </c>
    </row>
    <row r="119" spans="6:14" x14ac:dyDescent="0.75">
      <c r="F119">
        <v>114</v>
      </c>
      <c r="G119">
        <f t="shared" ca="1" si="7"/>
        <v>-1.1011357695602459</v>
      </c>
      <c r="H119">
        <f t="shared" ca="1" si="7"/>
        <v>0.4383710803700292</v>
      </c>
      <c r="I119">
        <f t="shared" ca="1" si="8"/>
        <v>-1.1011357695602459</v>
      </c>
      <c r="J119">
        <f t="shared" ca="1" si="9"/>
        <v>-0.53589661201473304</v>
      </c>
      <c r="K119">
        <f t="shared" ca="1" si="10"/>
        <v>13.515508657107304</v>
      </c>
      <c r="L119">
        <f t="shared" ca="1" si="11"/>
        <v>17.296568349904003</v>
      </c>
      <c r="M119">
        <f t="shared" ca="1" si="12"/>
        <v>0</v>
      </c>
      <c r="N119">
        <f t="shared" ca="1" si="13"/>
        <v>0</v>
      </c>
    </row>
    <row r="120" spans="6:14" x14ac:dyDescent="0.75">
      <c r="F120">
        <v>115</v>
      </c>
      <c r="G120">
        <f t="shared" ca="1" si="7"/>
        <v>0.7724454447843454</v>
      </c>
      <c r="H120">
        <f t="shared" ca="1" si="7"/>
        <v>0.97476314142452414</v>
      </c>
      <c r="I120">
        <f t="shared" ca="1" si="8"/>
        <v>0.7724454447843454</v>
      </c>
      <c r="J120">
        <f t="shared" ca="1" si="9"/>
        <v>1.2240792984386024</v>
      </c>
      <c r="K120">
        <f t="shared" ca="1" si="10"/>
        <v>21.590062061959102</v>
      </c>
      <c r="L120">
        <f t="shared" ca="1" si="11"/>
        <v>26.856344792590843</v>
      </c>
      <c r="M120">
        <f t="shared" ca="1" si="12"/>
        <v>4.0796625979146235</v>
      </c>
      <c r="N120">
        <f t="shared" ca="1" si="13"/>
        <v>4.2232034272749743</v>
      </c>
    </row>
    <row r="121" spans="6:14" x14ac:dyDescent="0.75">
      <c r="F121">
        <v>116</v>
      </c>
      <c r="G121">
        <f t="shared" ca="1" si="7"/>
        <v>-1.3684361107823255</v>
      </c>
      <c r="H121">
        <f t="shared" ca="1" si="7"/>
        <v>1.8541134194867501</v>
      </c>
      <c r="I121">
        <f t="shared" ca="1" si="8"/>
        <v>-1.3684361107823255</v>
      </c>
      <c r="J121">
        <f t="shared" ca="1" si="9"/>
        <v>0.20005366953063608</v>
      </c>
      <c r="K121">
        <f t="shared" ca="1" si="10"/>
        <v>12.641849891685506</v>
      </c>
      <c r="L121">
        <f t="shared" ca="1" si="11"/>
        <v>20.790490422481565</v>
      </c>
      <c r="M121">
        <f t="shared" ca="1" si="12"/>
        <v>0</v>
      </c>
      <c r="N121">
        <f t="shared" ca="1" si="13"/>
        <v>0</v>
      </c>
    </row>
    <row r="122" spans="6:14" x14ac:dyDescent="0.75">
      <c r="F122">
        <v>117</v>
      </c>
      <c r="G122">
        <f t="shared" ca="1" si="7"/>
        <v>0.66806074813673222</v>
      </c>
      <c r="H122">
        <f t="shared" ca="1" si="7"/>
        <v>1.1709590163196966</v>
      </c>
      <c r="I122">
        <f t="shared" ca="1" si="8"/>
        <v>0.66806074813673222</v>
      </c>
      <c r="J122">
        <f t="shared" ca="1" si="9"/>
        <v>1.2755621492602343</v>
      </c>
      <c r="K122">
        <f t="shared" ca="1" si="10"/>
        <v>21.033932035732839</v>
      </c>
      <c r="L122">
        <f t="shared" ca="1" si="11"/>
        <v>27.204239112122941</v>
      </c>
      <c r="M122">
        <f t="shared" ca="1" si="12"/>
        <v>3.9209555947963537</v>
      </c>
      <c r="N122">
        <f t="shared" ca="1" si="13"/>
        <v>4.1190855739278902</v>
      </c>
    </row>
    <row r="123" spans="6:14" x14ac:dyDescent="0.75">
      <c r="F123">
        <v>118</v>
      </c>
      <c r="G123">
        <f t="shared" ca="1" si="7"/>
        <v>0.43267296327595034</v>
      </c>
      <c r="H123">
        <f t="shared" ca="1" si="7"/>
        <v>-1.6012343302060588</v>
      </c>
      <c r="I123">
        <f t="shared" ca="1" si="8"/>
        <v>0.43267296327595034</v>
      </c>
      <c r="J123">
        <f t="shared" ca="1" si="9"/>
        <v>-0.73461223465911507</v>
      </c>
      <c r="K123">
        <f t="shared" ca="1" si="10"/>
        <v>19.831865221834214</v>
      </c>
      <c r="L123">
        <f t="shared" ca="1" si="11"/>
        <v>16.458288572258127</v>
      </c>
      <c r="M123">
        <f t="shared" ca="1" si="12"/>
        <v>0</v>
      </c>
      <c r="N123">
        <f t="shared" ca="1" si="13"/>
        <v>0</v>
      </c>
    </row>
    <row r="124" spans="6:14" x14ac:dyDescent="0.75">
      <c r="F124">
        <v>119</v>
      </c>
      <c r="G124">
        <f t="shared" ca="1" si="7"/>
        <v>-1.5010032778407238</v>
      </c>
      <c r="H124">
        <f t="shared" ca="1" si="7"/>
        <v>-0.84361897856815604</v>
      </c>
      <c r="I124">
        <f t="shared" ca="1" si="8"/>
        <v>-1.5010032778407238</v>
      </c>
      <c r="J124">
        <f t="shared" ca="1" si="9"/>
        <v>-1.6837539630269602</v>
      </c>
      <c r="K124">
        <f t="shared" ca="1" si="10"/>
        <v>12.229743034951909</v>
      </c>
      <c r="L124">
        <f t="shared" ca="1" si="11"/>
        <v>12.98174036501065</v>
      </c>
      <c r="M124">
        <f t="shared" ca="1" si="12"/>
        <v>0</v>
      </c>
      <c r="N124">
        <f t="shared" ca="1" si="13"/>
        <v>0</v>
      </c>
    </row>
    <row r="125" spans="6:14" x14ac:dyDescent="0.75">
      <c r="F125">
        <v>120</v>
      </c>
      <c r="G125">
        <f t="shared" ca="1" si="7"/>
        <v>0.37742640903920105</v>
      </c>
      <c r="H125">
        <f t="shared" ca="1" si="7"/>
        <v>-2.1018503881536525</v>
      </c>
      <c r="I125">
        <f t="shared" ca="1" si="8"/>
        <v>0.37742640903920105</v>
      </c>
      <c r="J125">
        <f t="shared" ca="1" si="9"/>
        <v>-1.1071735482503855</v>
      </c>
      <c r="K125">
        <f t="shared" ca="1" si="10"/>
        <v>19.559837565618651</v>
      </c>
      <c r="L125">
        <f t="shared" ca="1" si="11"/>
        <v>14.994581259831715</v>
      </c>
      <c r="M125">
        <f t="shared" ca="1" si="12"/>
        <v>0</v>
      </c>
      <c r="N125">
        <f t="shared" ca="1" si="13"/>
        <v>0</v>
      </c>
    </row>
    <row r="126" spans="6:14" x14ac:dyDescent="0.75">
      <c r="F126">
        <v>121</v>
      </c>
      <c r="G126">
        <f t="shared" ca="1" si="7"/>
        <v>-0.4917495505865811</v>
      </c>
      <c r="H126">
        <f t="shared" ca="1" si="7"/>
        <v>-0.37147550897063991</v>
      </c>
      <c r="I126">
        <f t="shared" ca="1" si="8"/>
        <v>-0.4917495505865811</v>
      </c>
      <c r="J126">
        <f t="shared" ca="1" si="9"/>
        <v>-0.61452011666179995</v>
      </c>
      <c r="K126">
        <f t="shared" ca="1" si="10"/>
        <v>15.739671466505238</v>
      </c>
      <c r="L126">
        <f t="shared" ca="1" si="11"/>
        <v>16.959908654106329</v>
      </c>
      <c r="M126">
        <f t="shared" ca="1" si="12"/>
        <v>0</v>
      </c>
      <c r="N126">
        <f t="shared" ca="1" si="13"/>
        <v>0</v>
      </c>
    </row>
    <row r="127" spans="6:14" x14ac:dyDescent="0.75">
      <c r="F127">
        <v>122</v>
      </c>
      <c r="G127">
        <f t="shared" ca="1" si="7"/>
        <v>-7.2992220119050422E-3</v>
      </c>
      <c r="H127">
        <f t="shared" ca="1" si="7"/>
        <v>-1.810272733009451</v>
      </c>
      <c r="I127">
        <f t="shared" ca="1" si="8"/>
        <v>-7.2992220119050422E-3</v>
      </c>
      <c r="J127">
        <f t="shared" ca="1" si="9"/>
        <v>-1.2028572806949875</v>
      </c>
      <c r="K127">
        <f t="shared" ca="1" si="10"/>
        <v>17.766185372222626</v>
      </c>
      <c r="L127">
        <f t="shared" ca="1" si="11"/>
        <v>14.640152913359808</v>
      </c>
      <c r="M127">
        <f t="shared" ca="1" si="12"/>
        <v>0</v>
      </c>
      <c r="N127">
        <f t="shared" ca="1" si="13"/>
        <v>0</v>
      </c>
    </row>
    <row r="128" spans="6:14" x14ac:dyDescent="0.75">
      <c r="F128">
        <v>123</v>
      </c>
      <c r="G128">
        <f t="shared" ca="1" si="7"/>
        <v>-8.911397089765484E-2</v>
      </c>
      <c r="H128">
        <f t="shared" ca="1" si="7"/>
        <v>-1.0044035308607246</v>
      </c>
      <c r="I128">
        <f t="shared" ca="1" si="8"/>
        <v>-8.911397089765484E-2</v>
      </c>
      <c r="J128">
        <f t="shared" ca="1" si="9"/>
        <v>-0.73118596782640766</v>
      </c>
      <c r="K128">
        <f t="shared" ca="1" si="10"/>
        <v>17.406492436707573</v>
      </c>
      <c r="L128">
        <f t="shared" ca="1" si="11"/>
        <v>16.47239223382384</v>
      </c>
      <c r="M128">
        <f t="shared" ca="1" si="12"/>
        <v>0</v>
      </c>
      <c r="N128">
        <f t="shared" ca="1" si="13"/>
        <v>0</v>
      </c>
    </row>
    <row r="129" spans="6:14" x14ac:dyDescent="0.75">
      <c r="F129">
        <v>124</v>
      </c>
      <c r="G129">
        <f t="shared" ca="1" si="7"/>
        <v>0.4156149428352805</v>
      </c>
      <c r="H129">
        <f t="shared" ca="1" si="7"/>
        <v>-0.75682428116878775</v>
      </c>
      <c r="I129">
        <f t="shared" ca="1" si="8"/>
        <v>0.4156149428352805</v>
      </c>
      <c r="J129">
        <f t="shared" ca="1" si="9"/>
        <v>-0.18888100141049879</v>
      </c>
      <c r="K129">
        <f t="shared" ca="1" si="10"/>
        <v>19.747472206372006</v>
      </c>
      <c r="L129">
        <f t="shared" ca="1" si="11"/>
        <v>18.864126000742214</v>
      </c>
      <c r="M129">
        <f t="shared" ca="1" si="12"/>
        <v>0</v>
      </c>
      <c r="N129">
        <f t="shared" ca="1" si="13"/>
        <v>0</v>
      </c>
    </row>
    <row r="130" spans="6:14" x14ac:dyDescent="0.75">
      <c r="F130">
        <v>125</v>
      </c>
      <c r="G130">
        <f t="shared" ca="1" si="7"/>
        <v>3.4841396623072205</v>
      </c>
      <c r="H130">
        <f t="shared" ca="1" si="7"/>
        <v>2.4812874874770587</v>
      </c>
      <c r="I130">
        <f t="shared" ca="1" si="8"/>
        <v>3.4841396623072205</v>
      </c>
      <c r="J130">
        <f t="shared" ca="1" si="9"/>
        <v>4.2543221525105634</v>
      </c>
      <c r="K130">
        <f t="shared" ca="1" si="10"/>
        <v>42.52774444755493</v>
      </c>
      <c r="L130">
        <f t="shared" ca="1" si="11"/>
        <v>57.286374990321633</v>
      </c>
      <c r="M130">
        <f t="shared" ca="1" si="12"/>
        <v>29.358487779866195</v>
      </c>
      <c r="N130">
        <f t="shared" ca="1" si="13"/>
        <v>29.907059718938285</v>
      </c>
    </row>
    <row r="131" spans="6:14" x14ac:dyDescent="0.75">
      <c r="F131">
        <v>126</v>
      </c>
      <c r="G131">
        <f t="shared" ca="1" si="7"/>
        <v>4.463131028482345E-2</v>
      </c>
      <c r="H131">
        <f t="shared" ca="1" si="7"/>
        <v>2.2106079295564776</v>
      </c>
      <c r="I131">
        <f t="shared" ca="1" si="8"/>
        <v>4.463131028482345E-2</v>
      </c>
      <c r="J131">
        <f t="shared" ca="1" si="9"/>
        <v>1.4956531896820753</v>
      </c>
      <c r="K131">
        <f t="shared" ca="1" si="10"/>
        <v>17.998340972741168</v>
      </c>
      <c r="L131">
        <f t="shared" ca="1" si="11"/>
        <v>28.743037700426093</v>
      </c>
      <c r="M131">
        <f t="shared" ca="1" si="12"/>
        <v>2.7448234357759524</v>
      </c>
      <c r="N131">
        <f t="shared" ca="1" si="13"/>
        <v>3.3706893365836308</v>
      </c>
    </row>
    <row r="132" spans="6:14" x14ac:dyDescent="0.75">
      <c r="F132">
        <v>127</v>
      </c>
      <c r="G132">
        <f t="shared" ca="1" si="7"/>
        <v>0.56728940928908589</v>
      </c>
      <c r="H132">
        <f t="shared" ca="1" si="7"/>
        <v>0.62495173382461644</v>
      </c>
      <c r="I132">
        <f t="shared" ca="1" si="8"/>
        <v>0.56728940928908589</v>
      </c>
      <c r="J132">
        <f t="shared" ca="1" si="9"/>
        <v>0.83883377424645644</v>
      </c>
      <c r="K132">
        <f t="shared" ca="1" si="10"/>
        <v>20.510646857331636</v>
      </c>
      <c r="L132">
        <f t="shared" ca="1" si="11"/>
        <v>24.390426947949688</v>
      </c>
      <c r="M132">
        <f t="shared" ca="1" si="12"/>
        <v>2.3665695588067592</v>
      </c>
      <c r="N132">
        <f t="shared" ca="1" si="13"/>
        <v>2.450536902640664</v>
      </c>
    </row>
    <row r="133" spans="6:14" x14ac:dyDescent="0.75">
      <c r="F133">
        <v>128</v>
      </c>
      <c r="G133">
        <f t="shared" ca="1" si="7"/>
        <v>-0.19077980253679666</v>
      </c>
      <c r="H133">
        <f t="shared" ca="1" si="7"/>
        <v>0.11285922787163322</v>
      </c>
      <c r="I133">
        <f t="shared" ca="1" si="8"/>
        <v>-0.19077980253679666</v>
      </c>
      <c r="J133">
        <f t="shared" ca="1" si="9"/>
        <v>-6.8435489375819766E-2</v>
      </c>
      <c r="K133">
        <f t="shared" ca="1" si="10"/>
        <v>16.969655987915559</v>
      </c>
      <c r="L133">
        <f t="shared" ca="1" si="11"/>
        <v>19.440789322359318</v>
      </c>
      <c r="M133">
        <f t="shared" ca="1" si="12"/>
        <v>0</v>
      </c>
      <c r="N133">
        <f t="shared" ca="1" si="13"/>
        <v>0</v>
      </c>
    </row>
    <row r="134" spans="6:14" x14ac:dyDescent="0.75">
      <c r="F134">
        <v>129</v>
      </c>
      <c r="G134">
        <f t="shared" ca="1" si="7"/>
        <v>-0.8472962912823786</v>
      </c>
      <c r="H134">
        <f t="shared" ca="1" si="7"/>
        <v>1.1263330011429211</v>
      </c>
      <c r="I134">
        <f t="shared" ca="1" si="8"/>
        <v>-0.8472962912823786</v>
      </c>
      <c r="J134">
        <f t="shared" ca="1" si="9"/>
        <v>0.10952703515551576</v>
      </c>
      <c r="K134">
        <f t="shared" ca="1" si="10"/>
        <v>14.401000525065143</v>
      </c>
      <c r="L134">
        <f t="shared" ca="1" si="11"/>
        <v>20.325251562232115</v>
      </c>
      <c r="M134">
        <f t="shared" ca="1" si="12"/>
        <v>0</v>
      </c>
      <c r="N134">
        <f t="shared" ca="1" si="13"/>
        <v>0</v>
      </c>
    </row>
    <row r="135" spans="6:14" x14ac:dyDescent="0.75">
      <c r="F135">
        <v>130</v>
      </c>
      <c r="G135">
        <f t="shared" ref="G135:H198" ca="1" si="14">NORMSINV(RAND())</f>
        <v>-1.7263313049046451</v>
      </c>
      <c r="H135">
        <f t="shared" ca="1" si="14"/>
        <v>-0.39849713686054727</v>
      </c>
      <c r="I135">
        <f t="shared" ref="I135:I198" ca="1" si="15">G135</f>
        <v>-1.7263313049046451</v>
      </c>
      <c r="J135">
        <f t="shared" ref="J135:J198" ca="1" si="16">G135*$C$8+SQRT(1-$C$8^2)*H135</f>
        <v>-1.5583295592545534</v>
      </c>
      <c r="K135">
        <f t="shared" ref="K135:K198" ca="1" si="17">C$3*EXP(($C$5-0.5*C$4^2)*$C$6+C$4*SQRT($C$6)*I135)</f>
        <v>11.559862071824774</v>
      </c>
      <c r="L135">
        <f t="shared" ref="L135:L198" ca="1" si="18">D$3*EXP(($C$5-0.5*D$4^2)*$C$6+D$4*SQRT($C$6)*J135)</f>
        <v>13.395246212325718</v>
      </c>
      <c r="M135">
        <f t="shared" ref="M135:M198" ca="1" si="19">MAX(SQRT(K135*L135)-$C$7,0)</f>
        <v>0</v>
      </c>
      <c r="N135">
        <f t="shared" ref="N135:N198" ca="1" si="20">MAX((K135+L135)*0.5-$C$7,0)</f>
        <v>0</v>
      </c>
    </row>
    <row r="136" spans="6:14" x14ac:dyDescent="0.75">
      <c r="F136">
        <v>131</v>
      </c>
      <c r="G136">
        <f t="shared" ca="1" si="14"/>
        <v>-0.79190932256308522</v>
      </c>
      <c r="H136">
        <f t="shared" ca="1" si="14"/>
        <v>-0.27917789199776477</v>
      </c>
      <c r="I136">
        <f t="shared" ca="1" si="15"/>
        <v>-0.79190932256308522</v>
      </c>
      <c r="J136">
        <f t="shared" ca="1" si="16"/>
        <v>-0.77859081036564759</v>
      </c>
      <c r="K136">
        <f t="shared" ca="1" si="17"/>
        <v>14.60179442896419</v>
      </c>
      <c r="L136">
        <f t="shared" ca="1" si="18"/>
        <v>16.278326671121533</v>
      </c>
      <c r="M136">
        <f t="shared" ca="1" si="19"/>
        <v>0</v>
      </c>
      <c r="N136">
        <f t="shared" ca="1" si="20"/>
        <v>0</v>
      </c>
    </row>
    <row r="137" spans="6:14" x14ac:dyDescent="0.75">
      <c r="F137">
        <v>132</v>
      </c>
      <c r="G137">
        <f t="shared" ca="1" si="14"/>
        <v>1.7119865745176528</v>
      </c>
      <c r="H137">
        <f t="shared" ca="1" si="14"/>
        <v>0.22024481476357788</v>
      </c>
      <c r="I137">
        <f t="shared" ca="1" si="15"/>
        <v>1.7119865745176528</v>
      </c>
      <c r="J137">
        <f t="shared" ca="1" si="16"/>
        <v>1.4296681827422182</v>
      </c>
      <c r="K137">
        <f t="shared" ca="1" si="17"/>
        <v>27.306326124687462</v>
      </c>
      <c r="L137">
        <f t="shared" ca="1" si="18"/>
        <v>28.272774766953535</v>
      </c>
      <c r="M137">
        <f t="shared" ca="1" si="19"/>
        <v>7.7853488053734488</v>
      </c>
      <c r="N137">
        <f t="shared" ca="1" si="20"/>
        <v>7.7895504458204989</v>
      </c>
    </row>
    <row r="138" spans="6:14" x14ac:dyDescent="0.75">
      <c r="F138">
        <v>133</v>
      </c>
      <c r="G138">
        <f t="shared" ca="1" si="14"/>
        <v>-0.90571520876014544</v>
      </c>
      <c r="H138">
        <f t="shared" ca="1" si="14"/>
        <v>3.026156761422974E-3</v>
      </c>
      <c r="I138">
        <f t="shared" ca="1" si="15"/>
        <v>-0.90571520876014544</v>
      </c>
      <c r="J138">
        <f t="shared" ca="1" si="16"/>
        <v>-0.67728479201535363</v>
      </c>
      <c r="K138">
        <f t="shared" ca="1" si="17"/>
        <v>14.192206213229486</v>
      </c>
      <c r="L138">
        <f t="shared" ca="1" si="18"/>
        <v>16.695864859370552</v>
      </c>
      <c r="M138">
        <f t="shared" ca="1" si="19"/>
        <v>0</v>
      </c>
      <c r="N138">
        <f t="shared" ca="1" si="20"/>
        <v>0</v>
      </c>
    </row>
    <row r="139" spans="6:14" x14ac:dyDescent="0.75">
      <c r="F139">
        <v>134</v>
      </c>
      <c r="G139">
        <f t="shared" ca="1" si="14"/>
        <v>-1.7042847708820994</v>
      </c>
      <c r="H139">
        <f t="shared" ca="1" si="14"/>
        <v>-0.50444093676202129</v>
      </c>
      <c r="I139">
        <f t="shared" ca="1" si="15"/>
        <v>-1.7042847708820994</v>
      </c>
      <c r="J139">
        <f t="shared" ca="1" si="16"/>
        <v>-1.6118698956097668</v>
      </c>
      <c r="K139">
        <f t="shared" ca="1" si="17"/>
        <v>11.623751701314593</v>
      </c>
      <c r="L139">
        <f t="shared" ca="1" si="18"/>
        <v>13.217144328787526</v>
      </c>
      <c r="M139">
        <f t="shared" ca="1" si="19"/>
        <v>0</v>
      </c>
      <c r="N139">
        <f t="shared" ca="1" si="20"/>
        <v>0</v>
      </c>
    </row>
    <row r="140" spans="6:14" x14ac:dyDescent="0.75">
      <c r="F140">
        <v>135</v>
      </c>
      <c r="G140">
        <f t="shared" ca="1" si="14"/>
        <v>-0.88785504117977432</v>
      </c>
      <c r="H140">
        <f t="shared" ca="1" si="14"/>
        <v>-0.40768578809170436</v>
      </c>
      <c r="I140">
        <f t="shared" ca="1" si="15"/>
        <v>-0.88785504117977432</v>
      </c>
      <c r="J140">
        <f t="shared" ca="1" si="16"/>
        <v>-0.93555008297133768</v>
      </c>
      <c r="K140">
        <f t="shared" ca="1" si="17"/>
        <v>14.255716691513296</v>
      </c>
      <c r="L140">
        <f t="shared" ca="1" si="18"/>
        <v>15.651938150664929</v>
      </c>
      <c r="M140">
        <f t="shared" ca="1" si="19"/>
        <v>0</v>
      </c>
      <c r="N140">
        <f t="shared" ca="1" si="20"/>
        <v>0</v>
      </c>
    </row>
    <row r="141" spans="6:14" x14ac:dyDescent="0.75">
      <c r="F141">
        <v>136</v>
      </c>
      <c r="G141">
        <f t="shared" ca="1" si="14"/>
        <v>-1.7389015425292208E-2</v>
      </c>
      <c r="H141">
        <f t="shared" ca="1" si="14"/>
        <v>-0.81347652575535467</v>
      </c>
      <c r="I141">
        <f t="shared" ca="1" si="15"/>
        <v>-1.7389015425292208E-2</v>
      </c>
      <c r="J141">
        <f t="shared" ca="1" si="16"/>
        <v>-0.55110590770334367</v>
      </c>
      <c r="K141">
        <f t="shared" ca="1" si="17"/>
        <v>17.721427560551263</v>
      </c>
      <c r="L141">
        <f t="shared" ca="1" si="18"/>
        <v>17.230926069987795</v>
      </c>
      <c r="M141">
        <f t="shared" ca="1" si="19"/>
        <v>0</v>
      </c>
      <c r="N141">
        <f t="shared" ca="1" si="20"/>
        <v>0</v>
      </c>
    </row>
    <row r="142" spans="6:14" x14ac:dyDescent="0.75">
      <c r="F142">
        <v>137</v>
      </c>
      <c r="G142">
        <f t="shared" ca="1" si="14"/>
        <v>0.6401833798352472</v>
      </c>
      <c r="H142">
        <f t="shared" ca="1" si="14"/>
        <v>1.0389190806883601</v>
      </c>
      <c r="I142">
        <f t="shared" ca="1" si="15"/>
        <v>0.6401833798352472</v>
      </c>
      <c r="J142">
        <f t="shared" ca="1" si="16"/>
        <v>1.1673179148317474</v>
      </c>
      <c r="K142">
        <f t="shared" ca="1" si="17"/>
        <v>20.887849010763528</v>
      </c>
      <c r="L142">
        <f t="shared" ca="1" si="18"/>
        <v>26.477935201700127</v>
      </c>
      <c r="M142">
        <f t="shared" ca="1" si="19"/>
        <v>3.5173789485540397</v>
      </c>
      <c r="N142">
        <f t="shared" ca="1" si="20"/>
        <v>3.6828921062318258</v>
      </c>
    </row>
    <row r="143" spans="6:14" x14ac:dyDescent="0.75">
      <c r="F143">
        <v>138</v>
      </c>
      <c r="G143">
        <f t="shared" ca="1" si="14"/>
        <v>-0.98824953267067228</v>
      </c>
      <c r="H143">
        <f t="shared" ca="1" si="14"/>
        <v>-1.1189757472378601</v>
      </c>
      <c r="I143">
        <f t="shared" ca="1" si="15"/>
        <v>-0.98824953267067228</v>
      </c>
      <c r="J143">
        <f t="shared" ca="1" si="16"/>
        <v>-1.4813200370790165</v>
      </c>
      <c r="K143">
        <f t="shared" ca="1" si="17"/>
        <v>13.902370632958441</v>
      </c>
      <c r="L143">
        <f t="shared" ca="1" si="18"/>
        <v>13.655635100060188</v>
      </c>
      <c r="M143">
        <f t="shared" ca="1" si="19"/>
        <v>0</v>
      </c>
      <c r="N143">
        <f t="shared" ca="1" si="20"/>
        <v>0</v>
      </c>
    </row>
    <row r="144" spans="6:14" x14ac:dyDescent="0.75">
      <c r="F144">
        <v>139</v>
      </c>
      <c r="G144">
        <f t="shared" ca="1" si="14"/>
        <v>-1.6997526022089449</v>
      </c>
      <c r="H144">
        <f t="shared" ca="1" si="14"/>
        <v>0.54969333237038398</v>
      </c>
      <c r="I144">
        <f t="shared" ca="1" si="15"/>
        <v>-1.6997526022089449</v>
      </c>
      <c r="J144">
        <f t="shared" ca="1" si="16"/>
        <v>-0.91122648795610672</v>
      </c>
      <c r="K144">
        <f t="shared" ca="1" si="17"/>
        <v>11.636929366161102</v>
      </c>
      <c r="L144">
        <f t="shared" ca="1" si="18"/>
        <v>15.74740597276161</v>
      </c>
      <c r="M144">
        <f t="shared" ca="1" si="19"/>
        <v>0</v>
      </c>
      <c r="N144">
        <f t="shared" ca="1" si="20"/>
        <v>0</v>
      </c>
    </row>
    <row r="145" spans="6:14" x14ac:dyDescent="0.75">
      <c r="F145">
        <v>140</v>
      </c>
      <c r="G145">
        <f t="shared" ca="1" si="14"/>
        <v>-2.4908661324743842E-2</v>
      </c>
      <c r="H145">
        <f t="shared" ca="1" si="14"/>
        <v>-1.5633420498356674</v>
      </c>
      <c r="I145">
        <f t="shared" ca="1" si="15"/>
        <v>-2.4908661324743842E-2</v>
      </c>
      <c r="J145">
        <f t="shared" ca="1" si="16"/>
        <v>-1.0527350654923384</v>
      </c>
      <c r="K145">
        <f t="shared" ca="1" si="17"/>
        <v>17.688144140273234</v>
      </c>
      <c r="L145">
        <f t="shared" ca="1" si="18"/>
        <v>15.200046805867935</v>
      </c>
      <c r="M145">
        <f t="shared" ca="1" si="19"/>
        <v>0</v>
      </c>
      <c r="N145">
        <f t="shared" ca="1" si="20"/>
        <v>0</v>
      </c>
    </row>
    <row r="146" spans="6:14" x14ac:dyDescent="0.75">
      <c r="F146">
        <v>141</v>
      </c>
      <c r="G146">
        <f t="shared" ca="1" si="14"/>
        <v>-0.13073383963943547</v>
      </c>
      <c r="H146">
        <f t="shared" ca="1" si="14"/>
        <v>-1.4404992528509695</v>
      </c>
      <c r="I146">
        <f t="shared" ca="1" si="15"/>
        <v>-0.13073383963943547</v>
      </c>
      <c r="J146">
        <f t="shared" ca="1" si="16"/>
        <v>-1.0508510764340806</v>
      </c>
      <c r="K146">
        <f t="shared" ca="1" si="17"/>
        <v>17.226317437095268</v>
      </c>
      <c r="L146">
        <f t="shared" ca="1" si="18"/>
        <v>15.207207672576688</v>
      </c>
      <c r="M146">
        <f t="shared" ca="1" si="19"/>
        <v>0</v>
      </c>
      <c r="N146">
        <f t="shared" ca="1" si="20"/>
        <v>0</v>
      </c>
    </row>
    <row r="147" spans="6:14" x14ac:dyDescent="0.75">
      <c r="F147">
        <v>142</v>
      </c>
      <c r="G147">
        <f t="shared" ca="1" si="14"/>
        <v>1.9875536709023129</v>
      </c>
      <c r="H147">
        <f t="shared" ca="1" si="14"/>
        <v>-0.81903380035763118</v>
      </c>
      <c r="I147">
        <f t="shared" ca="1" si="15"/>
        <v>1.9875536709023129</v>
      </c>
      <c r="J147">
        <f t="shared" ca="1" si="16"/>
        <v>0.94892531540113034</v>
      </c>
      <c r="K147">
        <f t="shared" ca="1" si="17"/>
        <v>29.253820356325967</v>
      </c>
      <c r="L147">
        <f t="shared" ca="1" si="18"/>
        <v>25.071045195955254</v>
      </c>
      <c r="M147">
        <f t="shared" ca="1" si="19"/>
        <v>7.0817992812110653</v>
      </c>
      <c r="N147">
        <f t="shared" ca="1" si="20"/>
        <v>7.1624327761406121</v>
      </c>
    </row>
    <row r="148" spans="6:14" x14ac:dyDescent="0.75">
      <c r="F148">
        <v>143</v>
      </c>
      <c r="G148">
        <f t="shared" ca="1" si="14"/>
        <v>-0.50162630282036902</v>
      </c>
      <c r="H148">
        <f t="shared" ca="1" si="14"/>
        <v>9.6858210109951048E-2</v>
      </c>
      <c r="I148">
        <f t="shared" ca="1" si="15"/>
        <v>-0.50162630282036902</v>
      </c>
      <c r="J148">
        <f t="shared" ca="1" si="16"/>
        <v>-0.31215404301883359</v>
      </c>
      <c r="K148">
        <f t="shared" ca="1" si="17"/>
        <v>15.700855199729002</v>
      </c>
      <c r="L148">
        <f t="shared" ca="1" si="18"/>
        <v>18.291633377181668</v>
      </c>
      <c r="M148">
        <f t="shared" ca="1" si="19"/>
        <v>0</v>
      </c>
      <c r="N148">
        <f t="shared" ca="1" si="20"/>
        <v>0</v>
      </c>
    </row>
    <row r="149" spans="6:14" x14ac:dyDescent="0.75">
      <c r="F149">
        <v>144</v>
      </c>
      <c r="G149">
        <f t="shared" ca="1" si="14"/>
        <v>-1.9424315487913508</v>
      </c>
      <c r="H149">
        <f t="shared" ca="1" si="14"/>
        <v>-1.2671971560249444</v>
      </c>
      <c r="I149">
        <f t="shared" ca="1" si="15"/>
        <v>-1.9424315487913508</v>
      </c>
      <c r="J149">
        <f t="shared" ca="1" si="16"/>
        <v>-2.2949957958260923</v>
      </c>
      <c r="K149">
        <f t="shared" ca="1" si="17"/>
        <v>10.951910004633547</v>
      </c>
      <c r="L149">
        <f t="shared" ca="1" si="18"/>
        <v>11.142128947099273</v>
      </c>
      <c r="M149">
        <f t="shared" ca="1" si="19"/>
        <v>0</v>
      </c>
      <c r="N149">
        <f t="shared" ca="1" si="20"/>
        <v>0</v>
      </c>
    </row>
    <row r="150" spans="6:14" x14ac:dyDescent="0.75">
      <c r="F150">
        <v>145</v>
      </c>
      <c r="G150">
        <f t="shared" ca="1" si="14"/>
        <v>-0.76721119230375101</v>
      </c>
      <c r="H150">
        <f t="shared" ca="1" si="14"/>
        <v>0.54833335716572928</v>
      </c>
      <c r="I150">
        <f t="shared" ca="1" si="15"/>
        <v>-0.76721119230375101</v>
      </c>
      <c r="J150">
        <f t="shared" ca="1" si="16"/>
        <v>-0.21271996957239403</v>
      </c>
      <c r="K150">
        <f t="shared" ca="1" si="17"/>
        <v>14.692232603569614</v>
      </c>
      <c r="L150">
        <f t="shared" ca="1" si="18"/>
        <v>18.752035024386188</v>
      </c>
      <c r="M150">
        <f t="shared" ca="1" si="19"/>
        <v>0</v>
      </c>
      <c r="N150">
        <f t="shared" ca="1" si="20"/>
        <v>0</v>
      </c>
    </row>
    <row r="151" spans="6:14" x14ac:dyDescent="0.75">
      <c r="F151">
        <v>146</v>
      </c>
      <c r="G151">
        <f t="shared" ca="1" si="14"/>
        <v>-0.22767019444766864</v>
      </c>
      <c r="H151">
        <f t="shared" ca="1" si="14"/>
        <v>-0.29110100037824982</v>
      </c>
      <c r="I151">
        <f t="shared" ca="1" si="15"/>
        <v>-0.22767019444766864</v>
      </c>
      <c r="J151">
        <f t="shared" ca="1" si="16"/>
        <v>-0.3632978591864936</v>
      </c>
      <c r="K151">
        <f t="shared" ca="1" si="17"/>
        <v>16.813871147600917</v>
      </c>
      <c r="L151">
        <f t="shared" ca="1" si="18"/>
        <v>18.059246205211139</v>
      </c>
      <c r="M151">
        <f t="shared" ca="1" si="19"/>
        <v>0</v>
      </c>
      <c r="N151">
        <f t="shared" ca="1" si="20"/>
        <v>0</v>
      </c>
    </row>
    <row r="152" spans="6:14" x14ac:dyDescent="0.75">
      <c r="F152">
        <v>147</v>
      </c>
      <c r="G152">
        <f t="shared" ca="1" si="14"/>
        <v>-0.34809227216846317</v>
      </c>
      <c r="H152">
        <f t="shared" ca="1" si="14"/>
        <v>-1.1146504158256494</v>
      </c>
      <c r="I152">
        <f t="shared" ca="1" si="15"/>
        <v>-0.34809227216846317</v>
      </c>
      <c r="J152">
        <f t="shared" ca="1" si="16"/>
        <v>-0.99834115388869815</v>
      </c>
      <c r="K152">
        <f t="shared" ca="1" si="17"/>
        <v>16.315224492824488</v>
      </c>
      <c r="L152">
        <f t="shared" ca="1" si="18"/>
        <v>15.408156084231894</v>
      </c>
      <c r="M152">
        <f t="shared" ca="1" si="19"/>
        <v>0</v>
      </c>
      <c r="N152">
        <f t="shared" ca="1" si="20"/>
        <v>0</v>
      </c>
    </row>
    <row r="153" spans="6:14" x14ac:dyDescent="0.75">
      <c r="F153">
        <v>148</v>
      </c>
      <c r="G153">
        <f t="shared" ca="1" si="14"/>
        <v>-1.0397336702670916</v>
      </c>
      <c r="H153">
        <f t="shared" ca="1" si="14"/>
        <v>-0.61629834809238837</v>
      </c>
      <c r="I153">
        <f t="shared" ca="1" si="15"/>
        <v>-1.0397336702670916</v>
      </c>
      <c r="J153">
        <f t="shared" ca="1" si="16"/>
        <v>-1.1874432933184131</v>
      </c>
      <c r="K153">
        <f t="shared" ca="1" si="17"/>
        <v>13.724579375461857</v>
      </c>
      <c r="L153">
        <f t="shared" ca="1" si="18"/>
        <v>14.696677535188583</v>
      </c>
      <c r="M153">
        <f t="shared" ca="1" si="19"/>
        <v>0</v>
      </c>
      <c r="N153">
        <f t="shared" ca="1" si="20"/>
        <v>0</v>
      </c>
    </row>
    <row r="154" spans="6:14" x14ac:dyDescent="0.75">
      <c r="F154">
        <v>149</v>
      </c>
      <c r="G154">
        <f t="shared" ca="1" si="14"/>
        <v>2.0826491817146562</v>
      </c>
      <c r="H154">
        <f t="shared" ca="1" si="14"/>
        <v>-0.2535150427621477</v>
      </c>
      <c r="I154">
        <f t="shared" ca="1" si="15"/>
        <v>2.0826491817146562</v>
      </c>
      <c r="J154">
        <f t="shared" ca="1" si="16"/>
        <v>1.3943024470953551</v>
      </c>
      <c r="K154">
        <f t="shared" ca="1" si="17"/>
        <v>29.957630098224428</v>
      </c>
      <c r="L154">
        <f t="shared" ca="1" si="18"/>
        <v>28.023904702662449</v>
      </c>
      <c r="M154">
        <f t="shared" ca="1" si="19"/>
        <v>8.9746401356471317</v>
      </c>
      <c r="N154">
        <f t="shared" ca="1" si="20"/>
        <v>8.9907674004434384</v>
      </c>
    </row>
    <row r="155" spans="6:14" x14ac:dyDescent="0.75">
      <c r="F155">
        <v>150</v>
      </c>
      <c r="G155">
        <f t="shared" ca="1" si="14"/>
        <v>0.5771484016310332</v>
      </c>
      <c r="H155">
        <f t="shared" ca="1" si="14"/>
        <v>-0.67572411164531965</v>
      </c>
      <c r="I155">
        <f t="shared" ca="1" si="15"/>
        <v>0.5771484016310332</v>
      </c>
      <c r="J155">
        <f t="shared" ca="1" si="16"/>
        <v>-1.4088187352615134E-2</v>
      </c>
      <c r="K155">
        <f t="shared" ca="1" si="17"/>
        <v>20.56126278703902</v>
      </c>
      <c r="L155">
        <f t="shared" ca="1" si="18"/>
        <v>19.706730491618462</v>
      </c>
      <c r="M155">
        <f t="shared" ca="1" si="19"/>
        <v>0.12946259370880142</v>
      </c>
      <c r="N155">
        <f t="shared" ca="1" si="20"/>
        <v>0.13399663932874262</v>
      </c>
    </row>
    <row r="156" spans="6:14" x14ac:dyDescent="0.75">
      <c r="F156">
        <v>151</v>
      </c>
      <c r="G156">
        <f t="shared" ca="1" si="14"/>
        <v>0.93991516769094741</v>
      </c>
      <c r="H156">
        <f t="shared" ca="1" si="14"/>
        <v>-2.9058573720532785</v>
      </c>
      <c r="I156">
        <f t="shared" ca="1" si="15"/>
        <v>0.93991516769094741</v>
      </c>
      <c r="J156">
        <f t="shared" ca="1" si="16"/>
        <v>-1.2171076122009563</v>
      </c>
      <c r="K156">
        <f t="shared" ca="1" si="17"/>
        <v>22.513171767642561</v>
      </c>
      <c r="L156">
        <f t="shared" ca="1" si="18"/>
        <v>14.588088951437349</v>
      </c>
      <c r="M156">
        <f t="shared" ca="1" si="19"/>
        <v>0</v>
      </c>
      <c r="N156">
        <f t="shared" ca="1" si="20"/>
        <v>0</v>
      </c>
    </row>
    <row r="157" spans="6:14" x14ac:dyDescent="0.75">
      <c r="F157">
        <v>152</v>
      </c>
      <c r="G157">
        <f t="shared" ca="1" si="14"/>
        <v>0.87253545535675825</v>
      </c>
      <c r="H157">
        <f t="shared" ca="1" si="14"/>
        <v>-1.7758169780492497</v>
      </c>
      <c r="I157">
        <f t="shared" ca="1" si="15"/>
        <v>0.87253545535675825</v>
      </c>
      <c r="J157">
        <f t="shared" ca="1" si="16"/>
        <v>-0.52019093295357166</v>
      </c>
      <c r="K157">
        <f t="shared" ca="1" si="17"/>
        <v>22.137115223185965</v>
      </c>
      <c r="L157">
        <f t="shared" ca="1" si="18"/>
        <v>17.364615441044386</v>
      </c>
      <c r="M157">
        <f t="shared" ca="1" si="19"/>
        <v>0</v>
      </c>
      <c r="N157">
        <f t="shared" ca="1" si="20"/>
        <v>0</v>
      </c>
    </row>
    <row r="158" spans="6:14" x14ac:dyDescent="0.75">
      <c r="F158">
        <v>153</v>
      </c>
      <c r="G158">
        <f t="shared" ca="1" si="14"/>
        <v>2.478495685976414</v>
      </c>
      <c r="H158">
        <f t="shared" ca="1" si="14"/>
        <v>-1.3521001108660655</v>
      </c>
      <c r="I158">
        <f t="shared" ca="1" si="15"/>
        <v>2.478495685976414</v>
      </c>
      <c r="J158">
        <f t="shared" ca="1" si="16"/>
        <v>0.96454160422869273</v>
      </c>
      <c r="K158">
        <f t="shared" ca="1" si="17"/>
        <v>33.073940604516039</v>
      </c>
      <c r="L158">
        <f t="shared" ca="1" si="18"/>
        <v>25.169115679262553</v>
      </c>
      <c r="M158">
        <f t="shared" ca="1" si="19"/>
        <v>8.8520681588707433</v>
      </c>
      <c r="N158">
        <f t="shared" ca="1" si="20"/>
        <v>9.1215281418892964</v>
      </c>
    </row>
    <row r="159" spans="6:14" x14ac:dyDescent="0.75">
      <c r="F159">
        <v>154</v>
      </c>
      <c r="G159">
        <f t="shared" ca="1" si="14"/>
        <v>1.1256221395394828</v>
      </c>
      <c r="H159">
        <f t="shared" ca="1" si="14"/>
        <v>0.19760200509782516</v>
      </c>
      <c r="I159">
        <f t="shared" ca="1" si="15"/>
        <v>1.1256221395394828</v>
      </c>
      <c r="J159">
        <f t="shared" ca="1" si="16"/>
        <v>0.97491804566875273</v>
      </c>
      <c r="K159">
        <f t="shared" ca="1" si="17"/>
        <v>23.583027811479106</v>
      </c>
      <c r="L159">
        <f t="shared" ca="1" si="18"/>
        <v>25.234491902906129</v>
      </c>
      <c r="M159">
        <f t="shared" ca="1" si="19"/>
        <v>4.3947888770282155</v>
      </c>
      <c r="N159">
        <f t="shared" ca="1" si="20"/>
        <v>4.4087598571926172</v>
      </c>
    </row>
    <row r="160" spans="6:14" x14ac:dyDescent="0.75">
      <c r="F160">
        <v>155</v>
      </c>
      <c r="G160">
        <f t="shared" ca="1" si="14"/>
        <v>-0.56099593049837493</v>
      </c>
      <c r="H160">
        <f t="shared" ca="1" si="14"/>
        <v>-0.89580286766590922</v>
      </c>
      <c r="I160">
        <f t="shared" ca="1" si="15"/>
        <v>-0.56099593049837493</v>
      </c>
      <c r="J160">
        <f t="shared" ca="1" si="16"/>
        <v>-1.013264850769406</v>
      </c>
      <c r="K160">
        <f t="shared" ca="1" si="17"/>
        <v>15.469537619231799</v>
      </c>
      <c r="L160">
        <f t="shared" ca="1" si="18"/>
        <v>15.350776527457317</v>
      </c>
      <c r="M160">
        <f t="shared" ca="1" si="19"/>
        <v>0</v>
      </c>
      <c r="N160">
        <f t="shared" ca="1" si="20"/>
        <v>0</v>
      </c>
    </row>
    <row r="161" spans="6:14" x14ac:dyDescent="0.75">
      <c r="F161">
        <v>156</v>
      </c>
      <c r="G161">
        <f t="shared" ca="1" si="14"/>
        <v>-0.17197760053061378</v>
      </c>
      <c r="H161">
        <f t="shared" ca="1" si="14"/>
        <v>-1.9422319332459885</v>
      </c>
      <c r="I161">
        <f t="shared" ca="1" si="15"/>
        <v>-0.17197760053061378</v>
      </c>
      <c r="J161">
        <f t="shared" ca="1" si="16"/>
        <v>-1.4136488713422324</v>
      </c>
      <c r="K161">
        <f t="shared" ca="1" si="17"/>
        <v>17.049610480728941</v>
      </c>
      <c r="L161">
        <f t="shared" ca="1" si="18"/>
        <v>13.888623554650501</v>
      </c>
      <c r="M161">
        <f t="shared" ca="1" si="19"/>
        <v>0</v>
      </c>
      <c r="N161">
        <f t="shared" ca="1" si="20"/>
        <v>0</v>
      </c>
    </row>
    <row r="162" spans="6:14" x14ac:dyDescent="0.75">
      <c r="F162">
        <v>157</v>
      </c>
      <c r="G162">
        <f t="shared" ca="1" si="14"/>
        <v>-0.92344912021086134</v>
      </c>
      <c r="H162">
        <f t="shared" ca="1" si="14"/>
        <v>-0.38623168028698202</v>
      </c>
      <c r="I162">
        <f t="shared" ca="1" si="15"/>
        <v>-0.92344912021086134</v>
      </c>
      <c r="J162">
        <f t="shared" ca="1" si="16"/>
        <v>-0.94805508378163661</v>
      </c>
      <c r="K162">
        <f t="shared" ca="1" si="17"/>
        <v>14.129424654321085</v>
      </c>
      <c r="L162">
        <f t="shared" ca="1" si="18"/>
        <v>15.603082682849296</v>
      </c>
      <c r="M162">
        <f t="shared" ca="1" si="19"/>
        <v>0</v>
      </c>
      <c r="N162">
        <f t="shared" ca="1" si="20"/>
        <v>0</v>
      </c>
    </row>
    <row r="163" spans="6:14" x14ac:dyDescent="0.75">
      <c r="F163">
        <v>158</v>
      </c>
      <c r="G163">
        <f t="shared" ca="1" si="14"/>
        <v>-0.28621862071040943</v>
      </c>
      <c r="H163">
        <f t="shared" ca="1" si="14"/>
        <v>-0.53511091005026756</v>
      </c>
      <c r="I163">
        <f t="shared" ca="1" si="15"/>
        <v>-0.28621862071040943</v>
      </c>
      <c r="J163">
        <f t="shared" ca="1" si="16"/>
        <v>-0.56860656349042249</v>
      </c>
      <c r="K163">
        <f t="shared" ca="1" si="17"/>
        <v>16.569557111030058</v>
      </c>
      <c r="L163">
        <f t="shared" ca="1" si="18"/>
        <v>17.155702620932335</v>
      </c>
      <c r="M163">
        <f t="shared" ca="1" si="19"/>
        <v>0</v>
      </c>
      <c r="N163">
        <f t="shared" ca="1" si="20"/>
        <v>0</v>
      </c>
    </row>
    <row r="164" spans="6:14" x14ac:dyDescent="0.75">
      <c r="F164">
        <v>159</v>
      </c>
      <c r="G164">
        <f t="shared" ca="1" si="14"/>
        <v>1.1941641513148011</v>
      </c>
      <c r="H164">
        <f t="shared" ca="1" si="14"/>
        <v>-1.3335114843288511</v>
      </c>
      <c r="I164">
        <f t="shared" ca="1" si="15"/>
        <v>1.1941641513148011</v>
      </c>
      <c r="J164">
        <f t="shared" ca="1" si="16"/>
        <v>1.3588173990414232E-2</v>
      </c>
      <c r="K164">
        <f t="shared" ca="1" si="17"/>
        <v>23.990617003703839</v>
      </c>
      <c r="L164">
        <f t="shared" ca="1" si="18"/>
        <v>19.843555948096625</v>
      </c>
      <c r="M164">
        <f t="shared" ca="1" si="19"/>
        <v>1.8187797720760592</v>
      </c>
      <c r="N164">
        <f t="shared" ca="1" si="20"/>
        <v>1.9170864759002342</v>
      </c>
    </row>
    <row r="165" spans="6:14" x14ac:dyDescent="0.75">
      <c r="F165">
        <v>160</v>
      </c>
      <c r="G165">
        <f t="shared" ca="1" si="14"/>
        <v>1.9737946167798293</v>
      </c>
      <c r="H165">
        <f t="shared" ca="1" si="14"/>
        <v>-0.66183104165342954</v>
      </c>
      <c r="I165">
        <f t="shared" ca="1" si="15"/>
        <v>1.9737946167798293</v>
      </c>
      <c r="J165">
        <f t="shared" ca="1" si="16"/>
        <v>1.0425858760454207</v>
      </c>
      <c r="K165">
        <f t="shared" ca="1" si="17"/>
        <v>29.153366998877448</v>
      </c>
      <c r="L165">
        <f t="shared" ca="1" si="18"/>
        <v>25.665014027288624</v>
      </c>
      <c r="M165">
        <f t="shared" ca="1" si="19"/>
        <v>7.3536391174717899</v>
      </c>
      <c r="N165">
        <f t="shared" ca="1" si="20"/>
        <v>7.4091905130830362</v>
      </c>
    </row>
    <row r="166" spans="6:14" x14ac:dyDescent="0.75">
      <c r="F166">
        <v>161</v>
      </c>
      <c r="G166">
        <f t="shared" ca="1" si="14"/>
        <v>-0.83240507972158495</v>
      </c>
      <c r="H166">
        <f t="shared" ca="1" si="14"/>
        <v>1.6945085095536123</v>
      </c>
      <c r="I166">
        <f t="shared" ca="1" si="15"/>
        <v>-0.83240507972158495</v>
      </c>
      <c r="J166">
        <f t="shared" ca="1" si="16"/>
        <v>0.49650821789920518</v>
      </c>
      <c r="K166">
        <f t="shared" ca="1" si="17"/>
        <v>14.454712529009319</v>
      </c>
      <c r="L166">
        <f t="shared" ca="1" si="18"/>
        <v>22.389885753483384</v>
      </c>
      <c r="M166">
        <f t="shared" ca="1" si="19"/>
        <v>0</v>
      </c>
      <c r="N166">
        <f t="shared" ca="1" si="20"/>
        <v>0</v>
      </c>
    </row>
    <row r="167" spans="6:14" x14ac:dyDescent="0.75">
      <c r="F167">
        <v>162</v>
      </c>
      <c r="G167">
        <f t="shared" ca="1" si="14"/>
        <v>-0.14178435826900657</v>
      </c>
      <c r="H167">
        <f t="shared" ca="1" si="14"/>
        <v>-0.59625718981298825</v>
      </c>
      <c r="I167">
        <f t="shared" ca="1" si="15"/>
        <v>-0.14178435826900657</v>
      </c>
      <c r="J167">
        <f t="shared" ca="1" si="16"/>
        <v>-0.5007253291216055</v>
      </c>
      <c r="K167">
        <f t="shared" ca="1" si="17"/>
        <v>17.178793177845822</v>
      </c>
      <c r="L167">
        <f t="shared" ca="1" si="18"/>
        <v>17.449324569381083</v>
      </c>
      <c r="M167">
        <f t="shared" ca="1" si="19"/>
        <v>0</v>
      </c>
      <c r="N167">
        <f t="shared" ca="1" si="20"/>
        <v>0</v>
      </c>
    </row>
    <row r="168" spans="6:14" x14ac:dyDescent="0.75">
      <c r="F168">
        <v>163</v>
      </c>
      <c r="G168">
        <f t="shared" ca="1" si="14"/>
        <v>-0.10720731475541759</v>
      </c>
      <c r="H168">
        <f t="shared" ca="1" si="14"/>
        <v>-0.72100248904750308</v>
      </c>
      <c r="I168">
        <f t="shared" ca="1" si="15"/>
        <v>-0.10720731475541759</v>
      </c>
      <c r="J168">
        <f t="shared" ca="1" si="16"/>
        <v>-0.5573038062361293</v>
      </c>
      <c r="K168">
        <f t="shared" ca="1" si="17"/>
        <v>17.327934828625207</v>
      </c>
      <c r="L168">
        <f t="shared" ca="1" si="18"/>
        <v>17.204247861077427</v>
      </c>
      <c r="M168">
        <f t="shared" ca="1" si="19"/>
        <v>0</v>
      </c>
      <c r="N168">
        <f t="shared" ca="1" si="20"/>
        <v>0</v>
      </c>
    </row>
    <row r="169" spans="6:14" x14ac:dyDescent="0.75">
      <c r="F169">
        <v>164</v>
      </c>
      <c r="G169">
        <f t="shared" ca="1" si="14"/>
        <v>-0.59389110659487665</v>
      </c>
      <c r="H169">
        <f t="shared" ca="1" si="14"/>
        <v>0.63190263775076361</v>
      </c>
      <c r="I169">
        <f t="shared" ca="1" si="15"/>
        <v>-0.59389110659487665</v>
      </c>
      <c r="J169">
        <f t="shared" ca="1" si="16"/>
        <v>-2.7454021872593493E-2</v>
      </c>
      <c r="K169">
        <f t="shared" ca="1" si="17"/>
        <v>15.342841005678002</v>
      </c>
      <c r="L169">
        <f t="shared" ca="1" si="18"/>
        <v>19.64099116074236</v>
      </c>
      <c r="M169">
        <f t="shared" ca="1" si="19"/>
        <v>0</v>
      </c>
      <c r="N169">
        <f t="shared" ca="1" si="20"/>
        <v>0</v>
      </c>
    </row>
    <row r="170" spans="6:14" x14ac:dyDescent="0.75">
      <c r="F170">
        <v>165</v>
      </c>
      <c r="G170">
        <f t="shared" ca="1" si="14"/>
        <v>-0.72155723609435374</v>
      </c>
      <c r="H170">
        <f t="shared" ca="1" si="14"/>
        <v>-0.56412916681234082</v>
      </c>
      <c r="I170">
        <f t="shared" ca="1" si="15"/>
        <v>-0.72155723609435374</v>
      </c>
      <c r="J170">
        <f t="shared" ca="1" si="16"/>
        <v>-0.91430429774664679</v>
      </c>
      <c r="K170">
        <f t="shared" ca="1" si="17"/>
        <v>14.860882852627526</v>
      </c>
      <c r="L170">
        <f t="shared" ca="1" si="18"/>
        <v>15.735293753178063</v>
      </c>
      <c r="M170">
        <f t="shared" ca="1" si="19"/>
        <v>0</v>
      </c>
      <c r="N170">
        <f t="shared" ca="1" si="20"/>
        <v>0</v>
      </c>
    </row>
    <row r="171" spans="6:14" x14ac:dyDescent="0.75">
      <c r="F171">
        <v>166</v>
      </c>
      <c r="G171">
        <f t="shared" ca="1" si="14"/>
        <v>0.11879080898626536</v>
      </c>
      <c r="H171">
        <f t="shared" ca="1" si="14"/>
        <v>-0.95573125508101631</v>
      </c>
      <c r="I171">
        <f t="shared" ca="1" si="15"/>
        <v>0.11879080898626536</v>
      </c>
      <c r="J171">
        <f t="shared" ca="1" si="16"/>
        <v>-0.54306369854930236</v>
      </c>
      <c r="K171">
        <f t="shared" ca="1" si="17"/>
        <v>18.335140421325178</v>
      </c>
      <c r="L171">
        <f t="shared" ca="1" si="18"/>
        <v>17.265604597645726</v>
      </c>
      <c r="M171">
        <f t="shared" ca="1" si="19"/>
        <v>0</v>
      </c>
      <c r="N171">
        <f t="shared" ca="1" si="20"/>
        <v>0</v>
      </c>
    </row>
    <row r="172" spans="6:14" x14ac:dyDescent="0.75">
      <c r="F172">
        <v>167</v>
      </c>
      <c r="G172">
        <f t="shared" ca="1" si="14"/>
        <v>8.3008358738970913E-3</v>
      </c>
      <c r="H172">
        <f t="shared" ca="1" si="14"/>
        <v>0.98996344021429106</v>
      </c>
      <c r="I172">
        <f t="shared" ca="1" si="15"/>
        <v>8.3008358738970913E-3</v>
      </c>
      <c r="J172">
        <f t="shared" ca="1" si="16"/>
        <v>0.66102489436866607</v>
      </c>
      <c r="K172">
        <f t="shared" ca="1" si="17"/>
        <v>17.835609040937964</v>
      </c>
      <c r="L172">
        <f t="shared" ca="1" si="18"/>
        <v>23.329962931291512</v>
      </c>
      <c r="M172">
        <f t="shared" ca="1" si="19"/>
        <v>0.39862980158448025</v>
      </c>
      <c r="N172">
        <f t="shared" ca="1" si="20"/>
        <v>0.58278598611473598</v>
      </c>
    </row>
    <row r="173" spans="6:14" x14ac:dyDescent="0.75">
      <c r="F173">
        <v>168</v>
      </c>
      <c r="G173">
        <f t="shared" ca="1" si="14"/>
        <v>1.2580444641149371</v>
      </c>
      <c r="H173">
        <f t="shared" ca="1" si="14"/>
        <v>-0.61672536212855766</v>
      </c>
      <c r="I173">
        <f t="shared" ca="1" si="15"/>
        <v>1.2580444641149371</v>
      </c>
      <c r="J173">
        <f t="shared" ca="1" si="16"/>
        <v>0.5356078642315989</v>
      </c>
      <c r="K173">
        <f t="shared" ca="1" si="17"/>
        <v>24.376824708669378</v>
      </c>
      <c r="L173">
        <f t="shared" ca="1" si="18"/>
        <v>22.609818065342683</v>
      </c>
      <c r="M173">
        <f t="shared" ca="1" si="19"/>
        <v>3.4767027427994002</v>
      </c>
      <c r="N173">
        <f t="shared" ca="1" si="20"/>
        <v>3.4933213870060307</v>
      </c>
    </row>
    <row r="174" spans="6:14" x14ac:dyDescent="0.75">
      <c r="F174">
        <v>169</v>
      </c>
      <c r="G174">
        <f t="shared" ca="1" si="14"/>
        <v>-0.6387734627630095</v>
      </c>
      <c r="H174">
        <f t="shared" ca="1" si="14"/>
        <v>1.6414088760904253</v>
      </c>
      <c r="I174">
        <f t="shared" ca="1" si="15"/>
        <v>-0.6387734627630095</v>
      </c>
      <c r="J174">
        <f t="shared" ca="1" si="16"/>
        <v>0.60660982440506772</v>
      </c>
      <c r="K174">
        <f t="shared" ca="1" si="17"/>
        <v>15.171647533936738</v>
      </c>
      <c r="L174">
        <f t="shared" ca="1" si="18"/>
        <v>23.014736534673041</v>
      </c>
      <c r="M174">
        <f t="shared" ca="1" si="19"/>
        <v>0</v>
      </c>
      <c r="N174">
        <f t="shared" ca="1" si="20"/>
        <v>0</v>
      </c>
    </row>
    <row r="175" spans="6:14" x14ac:dyDescent="0.75">
      <c r="F175">
        <v>170</v>
      </c>
      <c r="G175">
        <f t="shared" ca="1" si="14"/>
        <v>2.7819814579176425</v>
      </c>
      <c r="H175">
        <f t="shared" ca="1" si="14"/>
        <v>-0.79844602660168107</v>
      </c>
      <c r="I175">
        <f t="shared" ca="1" si="15"/>
        <v>2.7819814579176425</v>
      </c>
      <c r="J175">
        <f t="shared" ca="1" si="16"/>
        <v>1.5583636880143044</v>
      </c>
      <c r="K175">
        <f t="shared" ca="1" si="17"/>
        <v>35.680956760030739</v>
      </c>
      <c r="L175">
        <f t="shared" ca="1" si="18"/>
        <v>29.197211132662929</v>
      </c>
      <c r="M175">
        <f t="shared" ca="1" si="19"/>
        <v>12.276685516608332</v>
      </c>
      <c r="N175">
        <f t="shared" ca="1" si="20"/>
        <v>12.439083946346834</v>
      </c>
    </row>
    <row r="176" spans="6:14" x14ac:dyDescent="0.75">
      <c r="F176">
        <v>171</v>
      </c>
      <c r="G176">
        <f t="shared" ca="1" si="14"/>
        <v>-0.10473454813107519</v>
      </c>
      <c r="H176">
        <f t="shared" ca="1" si="14"/>
        <v>-2.6347719327495453E-2</v>
      </c>
      <c r="I176">
        <f t="shared" ca="1" si="15"/>
        <v>-0.10473454813107519</v>
      </c>
      <c r="J176">
        <f t="shared" ca="1" si="16"/>
        <v>-9.5978289336877132E-2</v>
      </c>
      <c r="K176">
        <f t="shared" ca="1" si="17"/>
        <v>17.338650125065637</v>
      </c>
      <c r="L176">
        <f t="shared" ca="1" si="18"/>
        <v>19.3073856952754</v>
      </c>
      <c r="M176">
        <f t="shared" ca="1" si="19"/>
        <v>0</v>
      </c>
      <c r="N176">
        <f t="shared" ca="1" si="20"/>
        <v>0</v>
      </c>
    </row>
    <row r="177" spans="6:14" x14ac:dyDescent="0.75">
      <c r="F177">
        <v>172</v>
      </c>
      <c r="G177">
        <f t="shared" ca="1" si="14"/>
        <v>0.65349474967086607</v>
      </c>
      <c r="H177">
        <f t="shared" ca="1" si="14"/>
        <v>-0.11892122378076049</v>
      </c>
      <c r="I177">
        <f t="shared" ca="1" si="15"/>
        <v>0.65349474967086607</v>
      </c>
      <c r="J177">
        <f t="shared" ca="1" si="16"/>
        <v>0.4114620663203114</v>
      </c>
      <c r="K177">
        <f t="shared" ca="1" si="17"/>
        <v>20.957476271596736</v>
      </c>
      <c r="L177">
        <f t="shared" ca="1" si="18"/>
        <v>21.918867380211836</v>
      </c>
      <c r="M177">
        <f t="shared" ca="1" si="19"/>
        <v>1.4327819711083052</v>
      </c>
      <c r="N177">
        <f t="shared" ca="1" si="20"/>
        <v>1.4381718259042842</v>
      </c>
    </row>
    <row r="178" spans="6:14" x14ac:dyDescent="0.75">
      <c r="F178">
        <v>173</v>
      </c>
      <c r="G178">
        <f t="shared" ca="1" si="14"/>
        <v>0.36425054232667781</v>
      </c>
      <c r="H178">
        <f t="shared" ca="1" si="14"/>
        <v>1.6737748286303893</v>
      </c>
      <c r="I178">
        <f t="shared" ca="1" si="15"/>
        <v>0.36425054232667781</v>
      </c>
      <c r="J178">
        <f t="shared" ca="1" si="16"/>
        <v>1.3802858935639493</v>
      </c>
      <c r="K178">
        <f t="shared" ca="1" si="17"/>
        <v>19.495514110267401</v>
      </c>
      <c r="L178">
        <f t="shared" ca="1" si="18"/>
        <v>27.92587691433112</v>
      </c>
      <c r="M178">
        <f t="shared" ca="1" si="19"/>
        <v>3.3330093949523167</v>
      </c>
      <c r="N178">
        <f t="shared" ca="1" si="20"/>
        <v>3.7106955122992602</v>
      </c>
    </row>
    <row r="179" spans="6:14" x14ac:dyDescent="0.75">
      <c r="F179">
        <v>174</v>
      </c>
      <c r="G179">
        <f t="shared" ca="1" si="14"/>
        <v>-0.73408256357462498</v>
      </c>
      <c r="H179">
        <f t="shared" ca="1" si="14"/>
        <v>0.22966740717210607</v>
      </c>
      <c r="I179">
        <f t="shared" ca="1" si="15"/>
        <v>-0.73408256357462498</v>
      </c>
      <c r="J179">
        <f t="shared" ca="1" si="16"/>
        <v>-0.39865121177236751</v>
      </c>
      <c r="K179">
        <f t="shared" ca="1" si="17"/>
        <v>14.814421277802639</v>
      </c>
      <c r="L179">
        <f t="shared" ca="1" si="18"/>
        <v>17.900335767128109</v>
      </c>
      <c r="M179">
        <f t="shared" ca="1" si="19"/>
        <v>0</v>
      </c>
      <c r="N179">
        <f t="shared" ca="1" si="20"/>
        <v>0</v>
      </c>
    </row>
    <row r="180" spans="6:14" x14ac:dyDescent="0.75">
      <c r="F180">
        <v>175</v>
      </c>
      <c r="G180">
        <f t="shared" ca="1" si="14"/>
        <v>1.881742161300078</v>
      </c>
      <c r="H180">
        <f t="shared" ca="1" si="14"/>
        <v>0.88410688027032935</v>
      </c>
      <c r="I180">
        <f t="shared" ca="1" si="15"/>
        <v>1.881742161300078</v>
      </c>
      <c r="J180">
        <f t="shared" ca="1" si="16"/>
        <v>1.9960883553741708</v>
      </c>
      <c r="K180">
        <f t="shared" ca="1" si="17"/>
        <v>28.490118225522153</v>
      </c>
      <c r="L180">
        <f t="shared" ca="1" si="18"/>
        <v>32.57367225007944</v>
      </c>
      <c r="M180">
        <f t="shared" ca="1" si="19"/>
        <v>10.463548274030284</v>
      </c>
      <c r="N180">
        <f t="shared" ca="1" si="20"/>
        <v>10.531895237800796</v>
      </c>
    </row>
    <row r="181" spans="6:14" x14ac:dyDescent="0.75">
      <c r="F181">
        <v>176</v>
      </c>
      <c r="G181">
        <f t="shared" ca="1" si="14"/>
        <v>-0.33764864811717443</v>
      </c>
      <c r="H181">
        <f t="shared" ca="1" si="14"/>
        <v>-2.1710504642015618</v>
      </c>
      <c r="I181">
        <f t="shared" ca="1" si="15"/>
        <v>-0.33764864811717443</v>
      </c>
      <c r="J181">
        <f t="shared" ca="1" si="16"/>
        <v>-1.6892513891000485</v>
      </c>
      <c r="K181">
        <f t="shared" ca="1" si="17"/>
        <v>16.357877668039212</v>
      </c>
      <c r="L181">
        <f t="shared" ca="1" si="18"/>
        <v>12.963911080224776</v>
      </c>
      <c r="M181">
        <f t="shared" ca="1" si="19"/>
        <v>0</v>
      </c>
      <c r="N181">
        <f t="shared" ca="1" si="20"/>
        <v>0</v>
      </c>
    </row>
    <row r="182" spans="6:14" x14ac:dyDescent="0.75">
      <c r="F182">
        <v>177</v>
      </c>
      <c r="G182">
        <f t="shared" ca="1" si="14"/>
        <v>0.68512838753443639</v>
      </c>
      <c r="H182">
        <f t="shared" ca="1" si="14"/>
        <v>-0.62059856639614852</v>
      </c>
      <c r="I182">
        <f t="shared" ca="1" si="15"/>
        <v>0.68512838753443639</v>
      </c>
      <c r="J182">
        <f t="shared" ca="1" si="16"/>
        <v>0.10335892297897348</v>
      </c>
      <c r="K182">
        <f t="shared" ca="1" si="17"/>
        <v>21.12387367748649</v>
      </c>
      <c r="L182">
        <f t="shared" ca="1" si="18"/>
        <v>20.29393360710737</v>
      </c>
      <c r="M182">
        <f t="shared" ca="1" si="19"/>
        <v>0.70474558973941726</v>
      </c>
      <c r="N182">
        <f t="shared" ca="1" si="20"/>
        <v>0.70890364229693148</v>
      </c>
    </row>
    <row r="183" spans="6:14" x14ac:dyDescent="0.75">
      <c r="F183">
        <v>178</v>
      </c>
      <c r="G183">
        <f t="shared" ca="1" si="14"/>
        <v>1.8672886458432327</v>
      </c>
      <c r="H183">
        <f t="shared" ca="1" si="14"/>
        <v>-0.36160480284255475</v>
      </c>
      <c r="I183">
        <f t="shared" ca="1" si="15"/>
        <v>1.8672886458432327</v>
      </c>
      <c r="J183">
        <f t="shared" ca="1" si="16"/>
        <v>1.1612873890804392</v>
      </c>
      <c r="K183">
        <f t="shared" ca="1" si="17"/>
        <v>28.387358401382492</v>
      </c>
      <c r="L183">
        <f t="shared" ca="1" si="18"/>
        <v>26.438046310609874</v>
      </c>
      <c r="M183">
        <f t="shared" ca="1" si="19"/>
        <v>7.395369974717088</v>
      </c>
      <c r="N183">
        <f t="shared" ca="1" si="20"/>
        <v>7.4127023559961813</v>
      </c>
    </row>
    <row r="184" spans="6:14" x14ac:dyDescent="0.75">
      <c r="F184">
        <v>179</v>
      </c>
      <c r="G184">
        <f t="shared" ca="1" si="14"/>
        <v>0.45132152620986349</v>
      </c>
      <c r="H184">
        <f t="shared" ca="1" si="14"/>
        <v>0.19122732660173627</v>
      </c>
      <c r="I184">
        <f t="shared" ca="1" si="15"/>
        <v>0.45132152620986349</v>
      </c>
      <c r="J184">
        <f t="shared" ca="1" si="16"/>
        <v>0.46497613217437772</v>
      </c>
      <c r="K184">
        <f t="shared" ca="1" si="17"/>
        <v>19.924540032148361</v>
      </c>
      <c r="L184">
        <f t="shared" ca="1" si="18"/>
        <v>22.214079656273743</v>
      </c>
      <c r="M184">
        <f t="shared" ca="1" si="19"/>
        <v>1.0381871697339626</v>
      </c>
      <c r="N184">
        <f t="shared" ca="1" si="20"/>
        <v>1.0693098442110518</v>
      </c>
    </row>
    <row r="185" spans="6:14" x14ac:dyDescent="0.75">
      <c r="F185">
        <v>180</v>
      </c>
      <c r="G185">
        <f t="shared" ca="1" si="14"/>
        <v>-0.38819589942293947</v>
      </c>
      <c r="H185">
        <f t="shared" ca="1" si="14"/>
        <v>0.31007261221486732</v>
      </c>
      <c r="I185">
        <f t="shared" ca="1" si="15"/>
        <v>-0.38819589942293947</v>
      </c>
      <c r="J185">
        <f t="shared" ca="1" si="16"/>
        <v>-8.6053169494027693E-2</v>
      </c>
      <c r="K185">
        <f t="shared" ca="1" si="17"/>
        <v>16.152466832333008</v>
      </c>
      <c r="L185">
        <f t="shared" ca="1" si="18"/>
        <v>19.355352209059731</v>
      </c>
      <c r="M185">
        <f t="shared" ca="1" si="19"/>
        <v>0</v>
      </c>
      <c r="N185">
        <f t="shared" ca="1" si="20"/>
        <v>0</v>
      </c>
    </row>
    <row r="186" spans="6:14" x14ac:dyDescent="0.75">
      <c r="F186">
        <v>181</v>
      </c>
      <c r="G186">
        <f t="shared" ca="1" si="14"/>
        <v>6.4218595891308045E-2</v>
      </c>
      <c r="H186">
        <f t="shared" ca="1" si="14"/>
        <v>-0.51632127389401994</v>
      </c>
      <c r="I186">
        <f t="shared" ca="1" si="15"/>
        <v>6.4218595891308045E-2</v>
      </c>
      <c r="J186">
        <f t="shared" ca="1" si="16"/>
        <v>-0.2933504749154297</v>
      </c>
      <c r="K186">
        <f t="shared" ca="1" si="17"/>
        <v>18.086691776517661</v>
      </c>
      <c r="L186">
        <f t="shared" ca="1" si="18"/>
        <v>18.377822795518409</v>
      </c>
      <c r="M186">
        <f t="shared" ca="1" si="19"/>
        <v>0</v>
      </c>
      <c r="N186">
        <f t="shared" ca="1" si="20"/>
        <v>0</v>
      </c>
    </row>
    <row r="187" spans="6:14" x14ac:dyDescent="0.75">
      <c r="F187">
        <v>182</v>
      </c>
      <c r="G187">
        <f t="shared" ca="1" si="14"/>
        <v>-0.84035759220027872</v>
      </c>
      <c r="H187">
        <f t="shared" ca="1" si="14"/>
        <v>1.6742961247163708</v>
      </c>
      <c r="I187">
        <f t="shared" ca="1" si="15"/>
        <v>-0.84035759220027872</v>
      </c>
      <c r="J187">
        <f t="shared" ca="1" si="16"/>
        <v>0.47717459761946635</v>
      </c>
      <c r="K187">
        <f t="shared" ca="1" si="17"/>
        <v>14.426003256880691</v>
      </c>
      <c r="L187">
        <f t="shared" ca="1" si="18"/>
        <v>22.281927479376865</v>
      </c>
      <c r="M187">
        <f t="shared" ca="1" si="19"/>
        <v>0</v>
      </c>
      <c r="N187">
        <f t="shared" ca="1" si="20"/>
        <v>0</v>
      </c>
    </row>
    <row r="188" spans="6:14" x14ac:dyDescent="0.75">
      <c r="F188">
        <v>183</v>
      </c>
      <c r="G188">
        <f t="shared" ca="1" si="14"/>
        <v>1.3463951410858153</v>
      </c>
      <c r="H188">
        <f t="shared" ca="1" si="14"/>
        <v>0.28951954885852038</v>
      </c>
      <c r="I188">
        <f t="shared" ca="1" si="15"/>
        <v>1.3463951410858153</v>
      </c>
      <c r="J188">
        <f t="shared" ca="1" si="16"/>
        <v>1.2012955373071763</v>
      </c>
      <c r="K188">
        <f t="shared" ca="1" si="17"/>
        <v>24.921242274232245</v>
      </c>
      <c r="L188">
        <f t="shared" ca="1" si="18"/>
        <v>26.703807490524618</v>
      </c>
      <c r="M188">
        <f t="shared" ca="1" si="19"/>
        <v>5.797132711133262</v>
      </c>
      <c r="N188">
        <f t="shared" ca="1" si="20"/>
        <v>5.8125248823784332</v>
      </c>
    </row>
    <row r="189" spans="6:14" x14ac:dyDescent="0.75">
      <c r="F189">
        <v>184</v>
      </c>
      <c r="G189">
        <f t="shared" ca="1" si="14"/>
        <v>1.5138698786354809</v>
      </c>
      <c r="H189">
        <f t="shared" ca="1" si="14"/>
        <v>-2.1491136559807731</v>
      </c>
      <c r="I189">
        <f t="shared" ca="1" si="15"/>
        <v>1.5138698786354809</v>
      </c>
      <c r="J189">
        <f t="shared" ca="1" si="16"/>
        <v>-0.2861026592578757</v>
      </c>
      <c r="K189">
        <f t="shared" ca="1" si="17"/>
        <v>25.986813273037495</v>
      </c>
      <c r="L189">
        <f t="shared" ca="1" si="18"/>
        <v>18.411152750522891</v>
      </c>
      <c r="M189">
        <f t="shared" ca="1" si="19"/>
        <v>1.873435685077208</v>
      </c>
      <c r="N189">
        <f t="shared" ca="1" si="20"/>
        <v>2.198983011780193</v>
      </c>
    </row>
    <row r="190" spans="6:14" x14ac:dyDescent="0.75">
      <c r="F190">
        <v>185</v>
      </c>
      <c r="G190">
        <f t="shared" ca="1" si="14"/>
        <v>0.74568556738481506</v>
      </c>
      <c r="H190">
        <f t="shared" ca="1" si="14"/>
        <v>-0.17653720363898853</v>
      </c>
      <c r="I190">
        <f t="shared" ca="1" si="15"/>
        <v>0.74568556738481506</v>
      </c>
      <c r="J190">
        <f t="shared" ca="1" si="16"/>
        <v>0.44249579104372866</v>
      </c>
      <c r="K190">
        <f t="shared" ca="1" si="17"/>
        <v>21.446107271968199</v>
      </c>
      <c r="L190">
        <f t="shared" ca="1" si="18"/>
        <v>22.089584797675311</v>
      </c>
      <c r="M190">
        <f t="shared" ca="1" si="19"/>
        <v>1.7654681815986351</v>
      </c>
      <c r="N190">
        <f t="shared" ca="1" si="20"/>
        <v>1.7678460348217548</v>
      </c>
    </row>
    <row r="191" spans="6:14" x14ac:dyDescent="0.75">
      <c r="F191">
        <v>186</v>
      </c>
      <c r="G191">
        <f t="shared" ca="1" si="14"/>
        <v>1.3345255062655301</v>
      </c>
      <c r="H191">
        <f t="shared" ca="1" si="14"/>
        <v>-0.310290825815635</v>
      </c>
      <c r="I191">
        <f t="shared" ca="1" si="15"/>
        <v>1.3345255062655301</v>
      </c>
      <c r="J191">
        <f t="shared" ca="1" si="16"/>
        <v>0.79565603989588984</v>
      </c>
      <c r="K191">
        <f t="shared" ca="1" si="17"/>
        <v>24.847400376695923</v>
      </c>
      <c r="L191">
        <f t="shared" ca="1" si="18"/>
        <v>24.128561988740749</v>
      </c>
      <c r="M191">
        <f t="shared" ca="1" si="19"/>
        <v>4.4853433761539847</v>
      </c>
      <c r="N191">
        <f t="shared" ca="1" si="20"/>
        <v>4.487981182718336</v>
      </c>
    </row>
    <row r="192" spans="6:14" x14ac:dyDescent="0.75">
      <c r="F192">
        <v>187</v>
      </c>
      <c r="G192">
        <f t="shared" ca="1" si="14"/>
        <v>0.64303199752087159</v>
      </c>
      <c r="H192">
        <f t="shared" ca="1" si="14"/>
        <v>-0.71161246335061701</v>
      </c>
      <c r="I192">
        <f t="shared" ca="1" si="15"/>
        <v>0.64303199752087159</v>
      </c>
      <c r="J192">
        <f t="shared" ca="1" si="16"/>
        <v>1.1586596170704178E-2</v>
      </c>
      <c r="K192">
        <f t="shared" ca="1" si="17"/>
        <v>20.902729682829499</v>
      </c>
      <c r="L192">
        <f t="shared" ca="1" si="18"/>
        <v>19.833628826679551</v>
      </c>
      <c r="M192">
        <f t="shared" ca="1" si="19"/>
        <v>0.36116357170330105</v>
      </c>
      <c r="N192">
        <f t="shared" ca="1" si="20"/>
        <v>0.36817925475452284</v>
      </c>
    </row>
    <row r="193" spans="6:14" x14ac:dyDescent="0.75">
      <c r="F193">
        <v>188</v>
      </c>
      <c r="G193">
        <f t="shared" ca="1" si="14"/>
        <v>0.6651778637182707</v>
      </c>
      <c r="H193">
        <f t="shared" ca="1" si="14"/>
        <v>-8.7055488869419893E-5</v>
      </c>
      <c r="I193">
        <f t="shared" ca="1" si="15"/>
        <v>0.6651778637182707</v>
      </c>
      <c r="J193">
        <f t="shared" ca="1" si="16"/>
        <v>0.49882581599525017</v>
      </c>
      <c r="K193">
        <f t="shared" ca="1" si="17"/>
        <v>21.018777898610836</v>
      </c>
      <c r="L193">
        <f t="shared" ca="1" si="18"/>
        <v>22.402862201542511</v>
      </c>
      <c r="M193">
        <f t="shared" ca="1" si="19"/>
        <v>1.6997876696387486</v>
      </c>
      <c r="N193">
        <f t="shared" ca="1" si="20"/>
        <v>1.7108200500766735</v>
      </c>
    </row>
    <row r="194" spans="6:14" x14ac:dyDescent="0.75">
      <c r="F194">
        <v>189</v>
      </c>
      <c r="G194">
        <f t="shared" ca="1" si="14"/>
        <v>-1.1552899344833656</v>
      </c>
      <c r="H194">
        <f t="shared" ca="1" si="14"/>
        <v>1.0688223698679491</v>
      </c>
      <c r="I194">
        <f t="shared" ca="1" si="15"/>
        <v>-1.1552899344833656</v>
      </c>
      <c r="J194">
        <f t="shared" ca="1" si="16"/>
        <v>-0.15950790426920192</v>
      </c>
      <c r="K194">
        <f t="shared" ca="1" si="17"/>
        <v>13.333761457933209</v>
      </c>
      <c r="L194">
        <f t="shared" ca="1" si="18"/>
        <v>19.003160310886265</v>
      </c>
      <c r="M194">
        <f t="shared" ca="1" si="19"/>
        <v>0</v>
      </c>
      <c r="N194">
        <f t="shared" ca="1" si="20"/>
        <v>0</v>
      </c>
    </row>
    <row r="195" spans="6:14" x14ac:dyDescent="0.75">
      <c r="F195">
        <v>190</v>
      </c>
      <c r="G195">
        <f t="shared" ca="1" si="14"/>
        <v>-0.57134086895728997</v>
      </c>
      <c r="H195">
        <f t="shared" ca="1" si="14"/>
        <v>1.9471793506121204</v>
      </c>
      <c r="I195">
        <f t="shared" ca="1" si="15"/>
        <v>-0.57134086895728997</v>
      </c>
      <c r="J195">
        <f t="shared" ca="1" si="16"/>
        <v>0.8594324282220116</v>
      </c>
      <c r="K195">
        <f t="shared" ca="1" si="17"/>
        <v>15.429581455844435</v>
      </c>
      <c r="L195">
        <f t="shared" ca="1" si="18"/>
        <v>24.516353400344109</v>
      </c>
      <c r="M195">
        <f t="shared" ca="1" si="19"/>
        <v>0</v>
      </c>
      <c r="N195">
        <f t="shared" ca="1" si="20"/>
        <v>0</v>
      </c>
    </row>
    <row r="196" spans="6:14" x14ac:dyDescent="0.75">
      <c r="F196">
        <v>191</v>
      </c>
      <c r="G196">
        <f t="shared" ca="1" si="14"/>
        <v>1.4781995040849023</v>
      </c>
      <c r="H196">
        <f t="shared" ca="1" si="14"/>
        <v>-0.27987495781323191</v>
      </c>
      <c r="I196">
        <f t="shared" ca="1" si="15"/>
        <v>1.4781995040849023</v>
      </c>
      <c r="J196">
        <f t="shared" ca="1" si="16"/>
        <v>0.92352974392155052</v>
      </c>
      <c r="K196">
        <f t="shared" ca="1" si="17"/>
        <v>25.756103648571422</v>
      </c>
      <c r="L196">
        <f t="shared" ca="1" si="18"/>
        <v>24.912376035595457</v>
      </c>
      <c r="M196">
        <f t="shared" ca="1" si="19"/>
        <v>5.3307271767903153</v>
      </c>
      <c r="N196">
        <f t="shared" ca="1" si="20"/>
        <v>5.3342398420834414</v>
      </c>
    </row>
    <row r="197" spans="6:14" x14ac:dyDescent="0.75">
      <c r="F197">
        <v>192</v>
      </c>
      <c r="G197">
        <f t="shared" ca="1" si="14"/>
        <v>-0.34800973337285968</v>
      </c>
      <c r="H197">
        <f t="shared" ca="1" si="14"/>
        <v>-0.43322710185716951</v>
      </c>
      <c r="I197">
        <f t="shared" ca="1" si="15"/>
        <v>-0.34800973337285968</v>
      </c>
      <c r="J197">
        <f t="shared" ca="1" si="16"/>
        <v>-0.54756009321147459</v>
      </c>
      <c r="K197">
        <f t="shared" ca="1" si="17"/>
        <v>16.315561156042854</v>
      </c>
      <c r="L197">
        <f t="shared" ca="1" si="18"/>
        <v>17.246207258861574</v>
      </c>
      <c r="M197">
        <f t="shared" ca="1" si="19"/>
        <v>0</v>
      </c>
      <c r="N197">
        <f t="shared" ca="1" si="20"/>
        <v>0</v>
      </c>
    </row>
    <row r="198" spans="6:14" x14ac:dyDescent="0.75">
      <c r="F198">
        <v>193</v>
      </c>
      <c r="G198">
        <f t="shared" ca="1" si="14"/>
        <v>-0.44298010704182073</v>
      </c>
      <c r="H198">
        <f t="shared" ca="1" si="14"/>
        <v>-7.2698793969155864E-2</v>
      </c>
      <c r="I198">
        <f t="shared" ca="1" si="15"/>
        <v>-0.44298010704182073</v>
      </c>
      <c r="J198">
        <f t="shared" ca="1" si="16"/>
        <v>-0.38032081264554274</v>
      </c>
      <c r="K198">
        <f t="shared" ca="1" si="17"/>
        <v>15.932749870231968</v>
      </c>
      <c r="L198">
        <f t="shared" ca="1" si="18"/>
        <v>17.982554084845912</v>
      </c>
      <c r="M198">
        <f t="shared" ca="1" si="19"/>
        <v>0</v>
      </c>
      <c r="N198">
        <f t="shared" ca="1" si="20"/>
        <v>0</v>
      </c>
    </row>
    <row r="199" spans="6:14" x14ac:dyDescent="0.75">
      <c r="F199">
        <v>194</v>
      </c>
      <c r="G199">
        <f t="shared" ref="G199:H262" ca="1" si="21">NORMSINV(RAND())</f>
        <v>0.6719780353304976</v>
      </c>
      <c r="H199">
        <f t="shared" ca="1" si="21"/>
        <v>1.9994160534938168</v>
      </c>
      <c r="I199">
        <f t="shared" ref="I199:I262" ca="1" si="22">G199</f>
        <v>0.6719780353304976</v>
      </c>
      <c r="J199">
        <f t="shared" ref="J199:J262" ca="1" si="23">G199*$C$8+SQRT(1-$C$8^2)*H199</f>
        <v>1.8264729377215871</v>
      </c>
      <c r="K199">
        <f t="shared" ref="K199:K262" ca="1" si="24">C$3*EXP(($C$5-0.5*C$4^2)*$C$6+C$4*SQRT($C$6)*I199)</f>
        <v>21.054541113694881</v>
      </c>
      <c r="L199">
        <f t="shared" ref="L199:L262" ca="1" si="25">D$3*EXP(($C$5-0.5*D$4^2)*$C$6+D$4*SQRT($C$6)*J199)</f>
        <v>31.221298557252709</v>
      </c>
      <c r="M199">
        <f t="shared" ref="M199:M262" ca="1" si="26">MAX(SQRT(K199*L199)-$C$7,0)</f>
        <v>5.638839952240815</v>
      </c>
      <c r="N199">
        <f t="shared" ref="N199:N262" ca="1" si="27">MAX((K199+L199)*0.5-$C$7,0)</f>
        <v>6.1379198354737952</v>
      </c>
    </row>
    <row r="200" spans="6:14" x14ac:dyDescent="0.75">
      <c r="F200">
        <v>195</v>
      </c>
      <c r="G200">
        <f t="shared" ca="1" si="21"/>
        <v>-1.0190973927586509</v>
      </c>
      <c r="H200">
        <f t="shared" ca="1" si="21"/>
        <v>2.6288435158223851</v>
      </c>
      <c r="I200">
        <f t="shared" ca="1" si="22"/>
        <v>-1.0190973927586509</v>
      </c>
      <c r="J200">
        <f t="shared" ca="1" si="23"/>
        <v>0.97449350007369273</v>
      </c>
      <c r="K200">
        <f t="shared" ca="1" si="24"/>
        <v>13.79556839381331</v>
      </c>
      <c r="L200">
        <f t="shared" ca="1" si="25"/>
        <v>25.231813746938322</v>
      </c>
      <c r="M200">
        <f t="shared" ca="1" si="26"/>
        <v>0</v>
      </c>
      <c r="N200">
        <f t="shared" ca="1" si="27"/>
        <v>0</v>
      </c>
    </row>
    <row r="201" spans="6:14" x14ac:dyDescent="0.75">
      <c r="F201">
        <v>196</v>
      </c>
      <c r="G201">
        <f t="shared" ca="1" si="21"/>
        <v>1.2584148271619291</v>
      </c>
      <c r="H201">
        <f t="shared" ca="1" si="21"/>
        <v>1.1458927501005967</v>
      </c>
      <c r="I201">
        <f t="shared" ca="1" si="22"/>
        <v>1.2584148271619291</v>
      </c>
      <c r="J201">
        <f t="shared" ca="1" si="23"/>
        <v>1.7017479318509625</v>
      </c>
      <c r="K201">
        <f t="shared" ca="1" si="24"/>
        <v>24.379081881933239</v>
      </c>
      <c r="L201">
        <f t="shared" ca="1" si="25"/>
        <v>30.262800636811239</v>
      </c>
      <c r="M201">
        <f t="shared" ca="1" si="26"/>
        <v>7.1620929735070753</v>
      </c>
      <c r="N201">
        <f t="shared" ca="1" si="27"/>
        <v>7.3209412593722405</v>
      </c>
    </row>
    <row r="202" spans="6:14" x14ac:dyDescent="0.75">
      <c r="F202">
        <v>197</v>
      </c>
      <c r="G202">
        <f t="shared" ca="1" si="21"/>
        <v>0.72679222691199419</v>
      </c>
      <c r="H202">
        <f t="shared" ca="1" si="21"/>
        <v>0.63522542265503168</v>
      </c>
      <c r="I202">
        <f t="shared" ca="1" si="22"/>
        <v>0.72679222691199419</v>
      </c>
      <c r="J202">
        <f t="shared" ca="1" si="23"/>
        <v>0.96525629388677281</v>
      </c>
      <c r="K202">
        <f t="shared" ca="1" si="24"/>
        <v>21.345048974328094</v>
      </c>
      <c r="L202">
        <f t="shared" ca="1" si="25"/>
        <v>25.173613107703531</v>
      </c>
      <c r="M202">
        <f t="shared" ca="1" si="26"/>
        <v>3.1804228745879328</v>
      </c>
      <c r="N202">
        <f t="shared" ca="1" si="27"/>
        <v>3.2593310410158125</v>
      </c>
    </row>
    <row r="203" spans="6:14" x14ac:dyDescent="0.75">
      <c r="F203">
        <v>198</v>
      </c>
      <c r="G203">
        <f t="shared" ca="1" si="21"/>
        <v>-1.6311115602599509</v>
      </c>
      <c r="H203">
        <f t="shared" ca="1" si="21"/>
        <v>-0.4357205969414048</v>
      </c>
      <c r="I203">
        <f t="shared" ca="1" si="22"/>
        <v>-1.6311115602599509</v>
      </c>
      <c r="J203">
        <f t="shared" ca="1" si="23"/>
        <v>-1.5115357553488551</v>
      </c>
      <c r="K203">
        <f t="shared" ca="1" si="24"/>
        <v>11.838345337995577</v>
      </c>
      <c r="L203">
        <f t="shared" ca="1" si="25"/>
        <v>13.552870023055583</v>
      </c>
      <c r="M203">
        <f t="shared" ca="1" si="26"/>
        <v>0</v>
      </c>
      <c r="N203">
        <f t="shared" ca="1" si="27"/>
        <v>0</v>
      </c>
    </row>
    <row r="204" spans="6:14" x14ac:dyDescent="0.75">
      <c r="F204">
        <v>199</v>
      </c>
      <c r="G204">
        <f t="shared" ca="1" si="21"/>
        <v>-0.53532042443339767</v>
      </c>
      <c r="H204">
        <f t="shared" ca="1" si="21"/>
        <v>0.8791493461857256</v>
      </c>
      <c r="I204">
        <f t="shared" ca="1" si="22"/>
        <v>-0.53532042443339767</v>
      </c>
      <c r="J204">
        <f t="shared" ca="1" si="23"/>
        <v>0.18001231549806707</v>
      </c>
      <c r="K204">
        <f t="shared" ca="1" si="24"/>
        <v>15.569154041697894</v>
      </c>
      <c r="L204">
        <f t="shared" ca="1" si="25"/>
        <v>20.686583549387095</v>
      </c>
      <c r="M204">
        <f t="shared" ca="1" si="26"/>
        <v>0</v>
      </c>
      <c r="N204">
        <f t="shared" ca="1" si="27"/>
        <v>0</v>
      </c>
    </row>
    <row r="205" spans="6:14" x14ac:dyDescent="0.75">
      <c r="F205">
        <v>200</v>
      </c>
      <c r="G205">
        <f t="shared" ca="1" si="21"/>
        <v>0.25700955084618493</v>
      </c>
      <c r="H205">
        <f t="shared" ca="1" si="21"/>
        <v>-0.86261260164786746</v>
      </c>
      <c r="I205">
        <f t="shared" ca="1" si="22"/>
        <v>0.25700955084618493</v>
      </c>
      <c r="J205">
        <f t="shared" ca="1" si="23"/>
        <v>-0.37780744230303204</v>
      </c>
      <c r="K205">
        <f t="shared" ca="1" si="24"/>
        <v>18.979778930331598</v>
      </c>
      <c r="L205">
        <f t="shared" ca="1" si="25"/>
        <v>17.993856840005101</v>
      </c>
      <c r="M205">
        <f t="shared" ca="1" si="26"/>
        <v>0</v>
      </c>
      <c r="N205">
        <f t="shared" ca="1" si="27"/>
        <v>0</v>
      </c>
    </row>
    <row r="206" spans="6:14" x14ac:dyDescent="0.75">
      <c r="F206">
        <v>201</v>
      </c>
      <c r="G206">
        <f t="shared" ca="1" si="21"/>
        <v>-0.85871404322913192</v>
      </c>
      <c r="H206">
        <f t="shared" ca="1" si="21"/>
        <v>1.8351571190177312</v>
      </c>
      <c r="I206">
        <f t="shared" ca="1" si="22"/>
        <v>-0.85871404322913192</v>
      </c>
      <c r="J206">
        <f t="shared" ca="1" si="23"/>
        <v>0.56980680599082079</v>
      </c>
      <c r="K206">
        <f t="shared" ca="1" si="24"/>
        <v>14.359952374690995</v>
      </c>
      <c r="L206">
        <f t="shared" ca="1" si="25"/>
        <v>22.80395475422624</v>
      </c>
      <c r="M206">
        <f t="shared" ca="1" si="26"/>
        <v>0</v>
      </c>
      <c r="N206">
        <f t="shared" ca="1" si="27"/>
        <v>0</v>
      </c>
    </row>
    <row r="207" spans="6:14" x14ac:dyDescent="0.75">
      <c r="F207">
        <v>202</v>
      </c>
      <c r="G207">
        <f t="shared" ca="1" si="21"/>
        <v>0.48468501476825954</v>
      </c>
      <c r="H207">
        <f t="shared" ca="1" si="21"/>
        <v>-1.315923527756063</v>
      </c>
      <c r="I207">
        <f t="shared" ca="1" si="22"/>
        <v>0.48468501476825954</v>
      </c>
      <c r="J207">
        <f t="shared" ca="1" si="23"/>
        <v>-0.50688783862914155</v>
      </c>
      <c r="K207">
        <f t="shared" ca="1" si="24"/>
        <v>20.091423080576021</v>
      </c>
      <c r="L207">
        <f t="shared" ca="1" si="25"/>
        <v>17.422462359882232</v>
      </c>
      <c r="M207">
        <f t="shared" ca="1" si="26"/>
        <v>0</v>
      </c>
      <c r="N207">
        <f t="shared" ca="1" si="27"/>
        <v>0</v>
      </c>
    </row>
    <row r="208" spans="6:14" x14ac:dyDescent="0.75">
      <c r="F208">
        <v>203</v>
      </c>
      <c r="G208">
        <f t="shared" ca="1" si="21"/>
        <v>0.15594195301285446</v>
      </c>
      <c r="H208">
        <f t="shared" ca="1" si="21"/>
        <v>1.5313149504146899</v>
      </c>
      <c r="I208">
        <f t="shared" ca="1" si="22"/>
        <v>0.15594195301285446</v>
      </c>
      <c r="J208">
        <f t="shared" ca="1" si="23"/>
        <v>1.1298260991877596</v>
      </c>
      <c r="K208">
        <f t="shared" ca="1" si="24"/>
        <v>18.506226557807715</v>
      </c>
      <c r="L208">
        <f t="shared" ca="1" si="25"/>
        <v>26.230918183374627</v>
      </c>
      <c r="M208">
        <f t="shared" ca="1" si="26"/>
        <v>2.0325966404518176</v>
      </c>
      <c r="N208">
        <f t="shared" ca="1" si="27"/>
        <v>2.3685723705911705</v>
      </c>
    </row>
    <row r="209" spans="6:14" x14ac:dyDescent="0.75">
      <c r="F209">
        <v>204</v>
      </c>
      <c r="G209">
        <f t="shared" ca="1" si="21"/>
        <v>0.58728435395787704</v>
      </c>
      <c r="H209">
        <f t="shared" ca="1" si="21"/>
        <v>-5.2154364613494396E-2</v>
      </c>
      <c r="I209">
        <f t="shared" ca="1" si="22"/>
        <v>0.58728435395787704</v>
      </c>
      <c r="J209">
        <f t="shared" ca="1" si="23"/>
        <v>0.40596639582993438</v>
      </c>
      <c r="K209">
        <f t="shared" ca="1" si="24"/>
        <v>20.613430850597283</v>
      </c>
      <c r="L209">
        <f t="shared" ca="1" si="25"/>
        <v>21.888773340150763</v>
      </c>
      <c r="M209">
        <f t="shared" ca="1" si="26"/>
        <v>1.2415327990141769</v>
      </c>
      <c r="N209">
        <f t="shared" ca="1" si="27"/>
        <v>1.2511020953740228</v>
      </c>
    </row>
    <row r="210" spans="6:14" x14ac:dyDescent="0.75">
      <c r="F210">
        <v>205</v>
      </c>
      <c r="G210">
        <f t="shared" ca="1" si="21"/>
        <v>-0.28565830851587753</v>
      </c>
      <c r="H210">
        <f t="shared" ca="1" si="21"/>
        <v>-0.5822215628329519</v>
      </c>
      <c r="I210">
        <f t="shared" ca="1" si="22"/>
        <v>-0.28565830851587753</v>
      </c>
      <c r="J210">
        <f t="shared" ca="1" si="23"/>
        <v>-0.59934709718574752</v>
      </c>
      <c r="K210">
        <f t="shared" ca="1" si="24"/>
        <v>16.571878304827237</v>
      </c>
      <c r="L210">
        <f t="shared" ca="1" si="25"/>
        <v>17.024364080830924</v>
      </c>
      <c r="M210">
        <f t="shared" ca="1" si="26"/>
        <v>0</v>
      </c>
      <c r="N210">
        <f t="shared" ca="1" si="27"/>
        <v>0</v>
      </c>
    </row>
    <row r="211" spans="6:14" x14ac:dyDescent="0.75">
      <c r="F211">
        <v>206</v>
      </c>
      <c r="G211">
        <f t="shared" ca="1" si="21"/>
        <v>-0.98732454095164335</v>
      </c>
      <c r="H211">
        <f t="shared" ca="1" si="21"/>
        <v>1.7551541678716676</v>
      </c>
      <c r="I211">
        <f t="shared" ca="1" si="22"/>
        <v>-0.98732454095164335</v>
      </c>
      <c r="J211">
        <f t="shared" ca="1" si="23"/>
        <v>0.42043195447800374</v>
      </c>
      <c r="K211">
        <f t="shared" ca="1" si="24"/>
        <v>13.905585899133525</v>
      </c>
      <c r="L211">
        <f t="shared" ca="1" si="25"/>
        <v>21.968074980160512</v>
      </c>
      <c r="M211">
        <f t="shared" ca="1" si="26"/>
        <v>0</v>
      </c>
      <c r="N211">
        <f t="shared" ca="1" si="27"/>
        <v>0</v>
      </c>
    </row>
    <row r="212" spans="6:14" x14ac:dyDescent="0.75">
      <c r="F212">
        <v>207</v>
      </c>
      <c r="G212">
        <f t="shared" ca="1" si="21"/>
        <v>-1.582724343030345</v>
      </c>
      <c r="H212">
        <f t="shared" ca="1" si="21"/>
        <v>3.1304131142266529</v>
      </c>
      <c r="I212">
        <f t="shared" ca="1" si="22"/>
        <v>-1.582724343030345</v>
      </c>
      <c r="J212">
        <f t="shared" ca="1" si="23"/>
        <v>0.88353039301198022</v>
      </c>
      <c r="K212">
        <f t="shared" ca="1" si="24"/>
        <v>11.982421156451021</v>
      </c>
      <c r="L212">
        <f t="shared" ca="1" si="25"/>
        <v>24.664497754710077</v>
      </c>
      <c r="M212">
        <f t="shared" ca="1" si="26"/>
        <v>0</v>
      </c>
      <c r="N212">
        <f t="shared" ca="1" si="27"/>
        <v>0</v>
      </c>
    </row>
    <row r="213" spans="6:14" x14ac:dyDescent="0.75">
      <c r="F213">
        <v>208</v>
      </c>
      <c r="G213">
        <f t="shared" ca="1" si="21"/>
        <v>0.36580419124015418</v>
      </c>
      <c r="H213">
        <f t="shared" ca="1" si="21"/>
        <v>-0.317029999188086</v>
      </c>
      <c r="I213">
        <f t="shared" ca="1" si="22"/>
        <v>0.36580419124015418</v>
      </c>
      <c r="J213">
        <f t="shared" ca="1" si="23"/>
        <v>6.465750943044446E-2</v>
      </c>
      <c r="K213">
        <f t="shared" ca="1" si="24"/>
        <v>19.50308787712278</v>
      </c>
      <c r="L213">
        <f t="shared" ca="1" si="25"/>
        <v>20.09852945431237</v>
      </c>
      <c r="M213">
        <f t="shared" ca="1" si="26"/>
        <v>0</v>
      </c>
      <c r="N213">
        <f t="shared" ca="1" si="27"/>
        <v>0</v>
      </c>
    </row>
    <row r="214" spans="6:14" x14ac:dyDescent="0.75">
      <c r="F214">
        <v>209</v>
      </c>
      <c r="G214">
        <f t="shared" ca="1" si="21"/>
        <v>0.7722124322479168</v>
      </c>
      <c r="H214">
        <f t="shared" ca="1" si="21"/>
        <v>-1.4614312729628669</v>
      </c>
      <c r="I214">
        <f t="shared" ca="1" si="22"/>
        <v>0.7722124322479168</v>
      </c>
      <c r="J214">
        <f t="shared" ca="1" si="23"/>
        <v>-0.38748660243213706</v>
      </c>
      <c r="K214">
        <f t="shared" ca="1" si="24"/>
        <v>21.588804409809871</v>
      </c>
      <c r="L214">
        <f t="shared" ca="1" si="25"/>
        <v>17.950368122584173</v>
      </c>
      <c r="M214">
        <f t="shared" ca="1" si="26"/>
        <v>0</v>
      </c>
      <c r="N214">
        <f t="shared" ca="1" si="27"/>
        <v>0</v>
      </c>
    </row>
    <row r="215" spans="6:14" x14ac:dyDescent="0.75">
      <c r="F215">
        <v>210</v>
      </c>
      <c r="G215">
        <f t="shared" ca="1" si="21"/>
        <v>4.9814806642866132E-2</v>
      </c>
      <c r="H215">
        <f t="shared" ca="1" si="21"/>
        <v>-1.2082954482227259</v>
      </c>
      <c r="I215">
        <f t="shared" ca="1" si="22"/>
        <v>4.9814806642866132E-2</v>
      </c>
      <c r="J215">
        <f t="shared" ca="1" si="23"/>
        <v>-0.76185121159001401</v>
      </c>
      <c r="K215">
        <f t="shared" ca="1" si="24"/>
        <v>18.021679675205785</v>
      </c>
      <c r="L215">
        <f t="shared" ca="1" si="25"/>
        <v>16.346592578782321</v>
      </c>
      <c r="M215">
        <f t="shared" ca="1" si="26"/>
        <v>0</v>
      </c>
      <c r="N215">
        <f t="shared" ca="1" si="27"/>
        <v>0</v>
      </c>
    </row>
    <row r="216" spans="6:14" x14ac:dyDescent="0.75">
      <c r="F216">
        <v>211</v>
      </c>
      <c r="G216">
        <f t="shared" ca="1" si="21"/>
        <v>1.4876753949286023</v>
      </c>
      <c r="H216">
        <f t="shared" ca="1" si="21"/>
        <v>-0.58233147257900808</v>
      </c>
      <c r="I216">
        <f t="shared" ca="1" si="22"/>
        <v>1.4876753949286023</v>
      </c>
      <c r="J216">
        <f t="shared" ca="1" si="23"/>
        <v>0.73058048193393077</v>
      </c>
      <c r="K216">
        <f t="shared" ca="1" si="24"/>
        <v>25.817191484393756</v>
      </c>
      <c r="L216">
        <f t="shared" ca="1" si="25"/>
        <v>23.739192968997941</v>
      </c>
      <c r="M216">
        <f t="shared" ca="1" si="26"/>
        <v>4.7563989821943586</v>
      </c>
      <c r="N216">
        <f t="shared" ca="1" si="27"/>
        <v>4.7781922266958503</v>
      </c>
    </row>
    <row r="217" spans="6:14" x14ac:dyDescent="0.75">
      <c r="F217">
        <v>212</v>
      </c>
      <c r="G217">
        <f t="shared" ca="1" si="21"/>
        <v>-0.75857843888013499</v>
      </c>
      <c r="H217">
        <f t="shared" ca="1" si="21"/>
        <v>-1.6565473436826976</v>
      </c>
      <c r="I217">
        <f t="shared" ca="1" si="22"/>
        <v>-0.75857843888013499</v>
      </c>
      <c r="J217">
        <f t="shared" ca="1" si="23"/>
        <v>-1.6646369057573667</v>
      </c>
      <c r="K217">
        <f t="shared" ca="1" si="24"/>
        <v>14.723975450096829</v>
      </c>
      <c r="L217">
        <f t="shared" ca="1" si="25"/>
        <v>13.043932030339837</v>
      </c>
      <c r="M217">
        <f t="shared" ca="1" si="26"/>
        <v>0</v>
      </c>
      <c r="N217">
        <f t="shared" ca="1" si="27"/>
        <v>0</v>
      </c>
    </row>
    <row r="218" spans="6:14" x14ac:dyDescent="0.75">
      <c r="F218">
        <v>213</v>
      </c>
      <c r="G218">
        <f t="shared" ca="1" si="21"/>
        <v>-7.5081203681581665E-2</v>
      </c>
      <c r="H218">
        <f t="shared" ca="1" si="21"/>
        <v>-0.18747008311410501</v>
      </c>
      <c r="I218">
        <f t="shared" ca="1" si="22"/>
        <v>-7.5081203681581665E-2</v>
      </c>
      <c r="J218">
        <f t="shared" ca="1" si="23"/>
        <v>-0.18031070730731902</v>
      </c>
      <c r="K218">
        <f t="shared" ca="1" si="24"/>
        <v>17.467664990597203</v>
      </c>
      <c r="L218">
        <f t="shared" ca="1" si="25"/>
        <v>18.904587107668458</v>
      </c>
      <c r="M218">
        <f t="shared" ca="1" si="26"/>
        <v>0</v>
      </c>
      <c r="N218">
        <f t="shared" ca="1" si="27"/>
        <v>0</v>
      </c>
    </row>
    <row r="219" spans="6:14" x14ac:dyDescent="0.75">
      <c r="F219">
        <v>214</v>
      </c>
      <c r="G219">
        <f t="shared" ca="1" si="21"/>
        <v>-5.9319381432992813E-2</v>
      </c>
      <c r="H219">
        <f t="shared" ca="1" si="21"/>
        <v>-1.6494934772606522</v>
      </c>
      <c r="I219">
        <f t="shared" ca="1" si="22"/>
        <v>-5.9319381432992813E-2</v>
      </c>
      <c r="J219">
        <f t="shared" ca="1" si="23"/>
        <v>-1.13552691858846</v>
      </c>
      <c r="K219">
        <f t="shared" ca="1" si="24"/>
        <v>17.536631338443836</v>
      </c>
      <c r="L219">
        <f t="shared" ca="1" si="25"/>
        <v>14.888670340843191</v>
      </c>
      <c r="M219">
        <f t="shared" ca="1" si="26"/>
        <v>0</v>
      </c>
      <c r="N219">
        <f t="shared" ca="1" si="27"/>
        <v>0</v>
      </c>
    </row>
    <row r="220" spans="6:14" x14ac:dyDescent="0.75">
      <c r="F220">
        <v>215</v>
      </c>
      <c r="G220">
        <f t="shared" ca="1" si="21"/>
        <v>-0.21071795900927492</v>
      </c>
      <c r="H220">
        <f t="shared" ca="1" si="21"/>
        <v>-1.3813100884275527</v>
      </c>
      <c r="I220">
        <f t="shared" ca="1" si="22"/>
        <v>-0.21071795900927492</v>
      </c>
      <c r="J220">
        <f t="shared" ca="1" si="23"/>
        <v>-1.0716892136179421</v>
      </c>
      <c r="K220">
        <f t="shared" ca="1" si="24"/>
        <v>16.885280534892569</v>
      </c>
      <c r="L220">
        <f t="shared" ca="1" si="25"/>
        <v>15.128191200874056</v>
      </c>
      <c r="M220">
        <f t="shared" ca="1" si="26"/>
        <v>0</v>
      </c>
      <c r="N220">
        <f t="shared" ca="1" si="27"/>
        <v>0</v>
      </c>
    </row>
    <row r="221" spans="6:14" x14ac:dyDescent="0.75">
      <c r="F221">
        <v>216</v>
      </c>
      <c r="G221">
        <f t="shared" ca="1" si="21"/>
        <v>1.2652207531007182</v>
      </c>
      <c r="H221">
        <f t="shared" ca="1" si="21"/>
        <v>-0.92533751954192456</v>
      </c>
      <c r="I221">
        <f t="shared" ca="1" si="22"/>
        <v>1.2652207531007182</v>
      </c>
      <c r="J221">
        <f t="shared" ca="1" si="23"/>
        <v>0.33686232594921295</v>
      </c>
      <c r="K221">
        <f t="shared" ca="1" si="24"/>
        <v>24.420597747591795</v>
      </c>
      <c r="L221">
        <f t="shared" ca="1" si="25"/>
        <v>21.513870250134531</v>
      </c>
      <c r="M221">
        <f t="shared" ca="1" si="26"/>
        <v>2.9212035323718872</v>
      </c>
      <c r="N221">
        <f t="shared" ca="1" si="27"/>
        <v>2.9672339988631649</v>
      </c>
    </row>
    <row r="222" spans="6:14" x14ac:dyDescent="0.75">
      <c r="F222">
        <v>217</v>
      </c>
      <c r="G222">
        <f t="shared" ca="1" si="21"/>
        <v>8.7920184477017271E-2</v>
      </c>
      <c r="H222">
        <f t="shared" ca="1" si="21"/>
        <v>-1.2476169516171563E-2</v>
      </c>
      <c r="I222">
        <f t="shared" ca="1" si="22"/>
        <v>8.7920184477017271E-2</v>
      </c>
      <c r="J222">
        <f t="shared" ca="1" si="23"/>
        <v>5.7687927894144203E-2</v>
      </c>
      <c r="K222">
        <f t="shared" ca="1" si="24"/>
        <v>18.194180751293139</v>
      </c>
      <c r="L222">
        <f t="shared" ca="1" si="25"/>
        <v>20.063540360634207</v>
      </c>
      <c r="M222">
        <f t="shared" ca="1" si="26"/>
        <v>0</v>
      </c>
      <c r="N222">
        <f t="shared" ca="1" si="27"/>
        <v>0</v>
      </c>
    </row>
    <row r="223" spans="6:14" x14ac:dyDescent="0.75">
      <c r="F223">
        <v>218</v>
      </c>
      <c r="G223">
        <f t="shared" ca="1" si="21"/>
        <v>0.72627646384819788</v>
      </c>
      <c r="H223">
        <f t="shared" ca="1" si="21"/>
        <v>1.6475866978714839</v>
      </c>
      <c r="I223">
        <f t="shared" ca="1" si="22"/>
        <v>0.72627646384819788</v>
      </c>
      <c r="J223">
        <f t="shared" ca="1" si="23"/>
        <v>1.634483514382663</v>
      </c>
      <c r="K223">
        <f t="shared" ca="1" si="24"/>
        <v>21.34229690479491</v>
      </c>
      <c r="L223">
        <f t="shared" ca="1" si="25"/>
        <v>29.758153216722889</v>
      </c>
      <c r="M223">
        <f t="shared" ca="1" si="26"/>
        <v>5.2013361012799812</v>
      </c>
      <c r="N223">
        <f t="shared" ca="1" si="27"/>
        <v>5.5502250607588977</v>
      </c>
    </row>
    <row r="224" spans="6:14" x14ac:dyDescent="0.75">
      <c r="F224">
        <v>219</v>
      </c>
      <c r="G224">
        <f t="shared" ca="1" si="21"/>
        <v>-0.2385639748567118</v>
      </c>
      <c r="H224">
        <f t="shared" ca="1" si="21"/>
        <v>-2.7453479772118299</v>
      </c>
      <c r="I224">
        <f t="shared" ca="1" si="22"/>
        <v>-0.2385639748567118</v>
      </c>
      <c r="J224">
        <f t="shared" ca="1" si="23"/>
        <v>-1.9947999836517141</v>
      </c>
      <c r="K224">
        <f t="shared" ca="1" si="24"/>
        <v>16.768141791534475</v>
      </c>
      <c r="L224">
        <f t="shared" ca="1" si="25"/>
        <v>12.010512135924591</v>
      </c>
      <c r="M224">
        <f t="shared" ca="1" si="26"/>
        <v>0</v>
      </c>
      <c r="N224">
        <f t="shared" ca="1" si="27"/>
        <v>0</v>
      </c>
    </row>
    <row r="225" spans="6:14" x14ac:dyDescent="0.75">
      <c r="F225">
        <v>220</v>
      </c>
      <c r="G225">
        <f t="shared" ca="1" si="21"/>
        <v>1.2286374552663908</v>
      </c>
      <c r="H225">
        <f t="shared" ca="1" si="21"/>
        <v>-0.34137474383493438</v>
      </c>
      <c r="I225">
        <f t="shared" ca="1" si="22"/>
        <v>1.2286374552663908</v>
      </c>
      <c r="J225">
        <f t="shared" ca="1" si="23"/>
        <v>0.69567992243338894</v>
      </c>
      <c r="K225">
        <f t="shared" ca="1" si="24"/>
        <v>24.19826948478951</v>
      </c>
      <c r="L225">
        <f t="shared" ca="1" si="25"/>
        <v>23.532966176926251</v>
      </c>
      <c r="M225">
        <f t="shared" ca="1" si="26"/>
        <v>3.8632993805487459</v>
      </c>
      <c r="N225">
        <f t="shared" ca="1" si="27"/>
        <v>3.8656178308578788</v>
      </c>
    </row>
    <row r="226" spans="6:14" x14ac:dyDescent="0.75">
      <c r="F226">
        <v>221</v>
      </c>
      <c r="G226">
        <f t="shared" ca="1" si="21"/>
        <v>1.5669768960471375</v>
      </c>
      <c r="H226">
        <f t="shared" ca="1" si="21"/>
        <v>1.2857829800753129</v>
      </c>
      <c r="I226">
        <f t="shared" ca="1" si="22"/>
        <v>1.5669768960471375</v>
      </c>
      <c r="J226">
        <f t="shared" ca="1" si="23"/>
        <v>2.0256981733550523</v>
      </c>
      <c r="K226">
        <f t="shared" ca="1" si="24"/>
        <v>26.334134355720714</v>
      </c>
      <c r="L226">
        <f t="shared" ca="1" si="25"/>
        <v>32.815692041751532</v>
      </c>
      <c r="M226">
        <f t="shared" ca="1" si="26"/>
        <v>9.3968168889667325</v>
      </c>
      <c r="N226">
        <f t="shared" ca="1" si="27"/>
        <v>9.5749131987361231</v>
      </c>
    </row>
    <row r="227" spans="6:14" x14ac:dyDescent="0.75">
      <c r="F227">
        <v>222</v>
      </c>
      <c r="G227">
        <f t="shared" ca="1" si="21"/>
        <v>1.5798377770748342</v>
      </c>
      <c r="H227">
        <f t="shared" ca="1" si="21"/>
        <v>-0.8167941713080572</v>
      </c>
      <c r="I227">
        <f t="shared" ca="1" si="22"/>
        <v>1.5798377770748342</v>
      </c>
      <c r="J227">
        <f t="shared" ca="1" si="23"/>
        <v>0.64461977040407359</v>
      </c>
      <c r="K227">
        <f t="shared" ca="1" si="24"/>
        <v>26.418940660366012</v>
      </c>
      <c r="L227">
        <f t="shared" ca="1" si="25"/>
        <v>23.234476140721391</v>
      </c>
      <c r="M227">
        <f t="shared" ca="1" si="26"/>
        <v>4.775597801796998</v>
      </c>
      <c r="N227">
        <f t="shared" ca="1" si="27"/>
        <v>4.8267084005437013</v>
      </c>
    </row>
    <row r="228" spans="6:14" x14ac:dyDescent="0.75">
      <c r="F228">
        <v>223</v>
      </c>
      <c r="G228">
        <f t="shared" ca="1" si="21"/>
        <v>0.40961256806793106</v>
      </c>
      <c r="H228">
        <f t="shared" ca="1" si="21"/>
        <v>-0.83488827536689214</v>
      </c>
      <c r="I228">
        <f t="shared" ca="1" si="22"/>
        <v>0.40961256806793106</v>
      </c>
      <c r="J228">
        <f t="shared" ca="1" si="23"/>
        <v>-0.24501726123515416</v>
      </c>
      <c r="K228">
        <f t="shared" ca="1" si="24"/>
        <v>19.717861496527995</v>
      </c>
      <c r="L228">
        <f t="shared" ca="1" si="25"/>
        <v>18.601234662960955</v>
      </c>
      <c r="M228">
        <f t="shared" ca="1" si="26"/>
        <v>0</v>
      </c>
      <c r="N228">
        <f t="shared" ca="1" si="27"/>
        <v>0</v>
      </c>
    </row>
    <row r="229" spans="6:14" x14ac:dyDescent="0.75">
      <c r="F229">
        <v>224</v>
      </c>
      <c r="G229">
        <f t="shared" ca="1" si="21"/>
        <v>-0.85625392834918668</v>
      </c>
      <c r="H229">
        <f t="shared" ca="1" si="21"/>
        <v>-0.3547801372818834</v>
      </c>
      <c r="I229">
        <f t="shared" ca="1" si="22"/>
        <v>-0.85625392834918668</v>
      </c>
      <c r="J229">
        <f t="shared" ca="1" si="23"/>
        <v>-0.87685544960019468</v>
      </c>
      <c r="K229">
        <f t="shared" ca="1" si="24"/>
        <v>14.368786874276072</v>
      </c>
      <c r="L229">
        <f t="shared" ca="1" si="25"/>
        <v>15.883302674111498</v>
      </c>
      <c r="M229">
        <f t="shared" ca="1" si="26"/>
        <v>0</v>
      </c>
      <c r="N229">
        <f t="shared" ca="1" si="27"/>
        <v>0</v>
      </c>
    </row>
    <row r="230" spans="6:14" x14ac:dyDescent="0.75">
      <c r="F230">
        <v>225</v>
      </c>
      <c r="G230">
        <f t="shared" ca="1" si="21"/>
        <v>0.30311759093884433</v>
      </c>
      <c r="H230">
        <f t="shared" ca="1" si="21"/>
        <v>-0.92013452625403047</v>
      </c>
      <c r="I230">
        <f t="shared" ca="1" si="22"/>
        <v>0.30311759093884433</v>
      </c>
      <c r="J230">
        <f t="shared" ca="1" si="23"/>
        <v>-0.38127358909396608</v>
      </c>
      <c r="K230">
        <f t="shared" ca="1" si="24"/>
        <v>19.199824831464156</v>
      </c>
      <c r="L230">
        <f t="shared" ca="1" si="25"/>
        <v>17.97827125643478</v>
      </c>
      <c r="M230">
        <f t="shared" ca="1" si="26"/>
        <v>0</v>
      </c>
      <c r="N230">
        <f t="shared" ca="1" si="27"/>
        <v>0</v>
      </c>
    </row>
    <row r="231" spans="6:14" x14ac:dyDescent="0.75">
      <c r="F231">
        <v>226</v>
      </c>
      <c r="G231">
        <f t="shared" ca="1" si="21"/>
        <v>0.56773536497822985</v>
      </c>
      <c r="H231">
        <f t="shared" ca="1" si="21"/>
        <v>-1.0899988099479294</v>
      </c>
      <c r="I231">
        <f t="shared" ca="1" si="22"/>
        <v>0.56773536497822985</v>
      </c>
      <c r="J231">
        <f t="shared" ca="1" si="23"/>
        <v>-0.29516492138597206</v>
      </c>
      <c r="K231">
        <f t="shared" ca="1" si="24"/>
        <v>20.512933694721298</v>
      </c>
      <c r="L231">
        <f t="shared" ca="1" si="25"/>
        <v>18.369488292048224</v>
      </c>
      <c r="M231">
        <f t="shared" ca="1" si="26"/>
        <v>0</v>
      </c>
      <c r="N231">
        <f t="shared" ca="1" si="27"/>
        <v>0</v>
      </c>
    </row>
    <row r="232" spans="6:14" x14ac:dyDescent="0.75">
      <c r="F232">
        <v>227</v>
      </c>
      <c r="G232">
        <f t="shared" ca="1" si="21"/>
        <v>0.98377283121028647</v>
      </c>
      <c r="H232">
        <f t="shared" ca="1" si="21"/>
        <v>-0.68871646003842357</v>
      </c>
      <c r="I232">
        <f t="shared" ca="1" si="22"/>
        <v>0.98377283121028647</v>
      </c>
      <c r="J232">
        <f t="shared" ca="1" si="23"/>
        <v>0.28228650413310913</v>
      </c>
      <c r="K232">
        <f t="shared" ca="1" si="24"/>
        <v>22.761373754045231</v>
      </c>
      <c r="L232">
        <f t="shared" ca="1" si="25"/>
        <v>21.222329370879361</v>
      </c>
      <c r="M232">
        <f t="shared" ca="1" si="26"/>
        <v>1.978384170407903</v>
      </c>
      <c r="N232">
        <f t="shared" ca="1" si="27"/>
        <v>1.9918515624622941</v>
      </c>
    </row>
    <row r="233" spans="6:14" x14ac:dyDescent="0.75">
      <c r="F233">
        <v>228</v>
      </c>
      <c r="G233">
        <f t="shared" ca="1" si="21"/>
        <v>0.9956170920525238</v>
      </c>
      <c r="H233">
        <f t="shared" ca="1" si="21"/>
        <v>0.51028686327329453</v>
      </c>
      <c r="I233">
        <f t="shared" ca="1" si="22"/>
        <v>0.9956170920525238</v>
      </c>
      <c r="J233">
        <f t="shared" ca="1" si="23"/>
        <v>1.0842358534204819</v>
      </c>
      <c r="K233">
        <f t="shared" ca="1" si="24"/>
        <v>22.828871549381791</v>
      </c>
      <c r="L233">
        <f t="shared" ca="1" si="25"/>
        <v>25.933646983151931</v>
      </c>
      <c r="M233">
        <f t="shared" ca="1" si="26"/>
        <v>4.3317877638571396</v>
      </c>
      <c r="N233">
        <f t="shared" ca="1" si="27"/>
        <v>4.3812592662668592</v>
      </c>
    </row>
    <row r="234" spans="6:14" x14ac:dyDescent="0.75">
      <c r="F234">
        <v>229</v>
      </c>
      <c r="G234">
        <f t="shared" ca="1" si="21"/>
        <v>0.55906777235431393</v>
      </c>
      <c r="H234">
        <f t="shared" ca="1" si="21"/>
        <v>-1.4129416468000486</v>
      </c>
      <c r="I234">
        <f t="shared" ca="1" si="22"/>
        <v>0.55906777235431393</v>
      </c>
      <c r="J234">
        <f t="shared" ca="1" si="23"/>
        <v>-0.51527222435401221</v>
      </c>
      <c r="K234">
        <f t="shared" ca="1" si="24"/>
        <v>20.468532380461152</v>
      </c>
      <c r="L234">
        <f t="shared" ca="1" si="25"/>
        <v>17.385981445820487</v>
      </c>
      <c r="M234">
        <f t="shared" ca="1" si="26"/>
        <v>0</v>
      </c>
      <c r="N234">
        <f t="shared" ca="1" si="27"/>
        <v>0</v>
      </c>
    </row>
    <row r="235" spans="6:14" x14ac:dyDescent="0.75">
      <c r="F235">
        <v>230</v>
      </c>
      <c r="G235">
        <f t="shared" ca="1" si="21"/>
        <v>-2.8166670980810639E-2</v>
      </c>
      <c r="H235">
        <f t="shared" ca="1" si="21"/>
        <v>0.94767448309989555</v>
      </c>
      <c r="I235">
        <f t="shared" ca="1" si="22"/>
        <v>-2.8166670980810639E-2</v>
      </c>
      <c r="J235">
        <f t="shared" ca="1" si="23"/>
        <v>0.60570274829539383</v>
      </c>
      <c r="K235">
        <f t="shared" ca="1" si="24"/>
        <v>17.673742969861703</v>
      </c>
      <c r="L235">
        <f t="shared" ca="1" si="25"/>
        <v>23.009518096965166</v>
      </c>
      <c r="M235">
        <f t="shared" ca="1" si="26"/>
        <v>0.16591948575972282</v>
      </c>
      <c r="N235">
        <f t="shared" ca="1" si="27"/>
        <v>0.34163053341343641</v>
      </c>
    </row>
    <row r="236" spans="6:14" x14ac:dyDescent="0.75">
      <c r="F236">
        <v>231</v>
      </c>
      <c r="G236">
        <f t="shared" ca="1" si="21"/>
        <v>-0.48402518906907638</v>
      </c>
      <c r="H236">
        <f t="shared" ca="1" si="21"/>
        <v>-1.3212645390955982</v>
      </c>
      <c r="I236">
        <f t="shared" ca="1" si="22"/>
        <v>-0.48402518906907638</v>
      </c>
      <c r="J236">
        <f t="shared" ca="1" si="23"/>
        <v>-1.2369532384456401</v>
      </c>
      <c r="K236">
        <f t="shared" ca="1" si="24"/>
        <v>15.770095561032303</v>
      </c>
      <c r="L236">
        <f t="shared" ca="1" si="25"/>
        <v>14.515890761584977</v>
      </c>
      <c r="M236">
        <f t="shared" ca="1" si="26"/>
        <v>0</v>
      </c>
      <c r="N236">
        <f t="shared" ca="1" si="27"/>
        <v>0</v>
      </c>
    </row>
    <row r="237" spans="6:14" x14ac:dyDescent="0.75">
      <c r="F237">
        <v>232</v>
      </c>
      <c r="G237">
        <f t="shared" ca="1" si="21"/>
        <v>-0.18698801061065726</v>
      </c>
      <c r="H237">
        <f t="shared" ca="1" si="21"/>
        <v>-1.2867424886091134</v>
      </c>
      <c r="I237">
        <f t="shared" ca="1" si="22"/>
        <v>-0.18698801061065726</v>
      </c>
      <c r="J237">
        <f t="shared" ca="1" si="23"/>
        <v>-0.99134116451801191</v>
      </c>
      <c r="K237">
        <f t="shared" ca="1" si="24"/>
        <v>16.985749965978478</v>
      </c>
      <c r="L237">
        <f t="shared" ca="1" si="25"/>
        <v>15.435143923871095</v>
      </c>
      <c r="M237">
        <f t="shared" ca="1" si="26"/>
        <v>0</v>
      </c>
      <c r="N237">
        <f t="shared" ca="1" si="27"/>
        <v>0</v>
      </c>
    </row>
    <row r="238" spans="6:14" x14ac:dyDescent="0.75">
      <c r="F238">
        <v>233</v>
      </c>
      <c r="G238">
        <f t="shared" ca="1" si="21"/>
        <v>-0.28151885918192576</v>
      </c>
      <c r="H238">
        <f t="shared" ca="1" si="21"/>
        <v>1.1748845690933354</v>
      </c>
      <c r="I238">
        <f t="shared" ca="1" si="22"/>
        <v>-0.28151885918192576</v>
      </c>
      <c r="J238">
        <f t="shared" ca="1" si="23"/>
        <v>0.56597395287061791</v>
      </c>
      <c r="K238">
        <f t="shared" ca="1" si="24"/>
        <v>16.58903679428596</v>
      </c>
      <c r="L238">
        <f t="shared" ca="1" si="25"/>
        <v>22.782114167584268</v>
      </c>
      <c r="M238">
        <f t="shared" ca="1" si="26"/>
        <v>0</v>
      </c>
      <c r="N238">
        <f t="shared" ca="1" si="27"/>
        <v>0</v>
      </c>
    </row>
    <row r="239" spans="6:14" x14ac:dyDescent="0.75">
      <c r="F239">
        <v>234</v>
      </c>
      <c r="G239">
        <f t="shared" ca="1" si="21"/>
        <v>1.0864734466798787</v>
      </c>
      <c r="H239">
        <f t="shared" ca="1" si="21"/>
        <v>0.51540458088833774</v>
      </c>
      <c r="I239">
        <f t="shared" ca="1" si="22"/>
        <v>1.0864734466798787</v>
      </c>
      <c r="J239">
        <f t="shared" ca="1" si="23"/>
        <v>1.1557631714134129</v>
      </c>
      <c r="K239">
        <f t="shared" ca="1" si="24"/>
        <v>23.353342451992155</v>
      </c>
      <c r="L239">
        <f t="shared" ca="1" si="25"/>
        <v>26.401559131171716</v>
      </c>
      <c r="M239">
        <f t="shared" ca="1" si="26"/>
        <v>4.8307199182136777</v>
      </c>
      <c r="N239">
        <f t="shared" ca="1" si="27"/>
        <v>4.8774507915819356</v>
      </c>
    </row>
    <row r="240" spans="6:14" x14ac:dyDescent="0.75">
      <c r="F240">
        <v>235</v>
      </c>
      <c r="G240">
        <f t="shared" ca="1" si="21"/>
        <v>-3.6388764455822654E-2</v>
      </c>
      <c r="H240">
        <f t="shared" ca="1" si="21"/>
        <v>0.23547306351694658</v>
      </c>
      <c r="I240">
        <f t="shared" ca="1" si="22"/>
        <v>-3.6388764455822654E-2</v>
      </c>
      <c r="J240">
        <f t="shared" ca="1" si="23"/>
        <v>0.12845921828822227</v>
      </c>
      <c r="K240">
        <f t="shared" ca="1" si="24"/>
        <v>17.637451489944503</v>
      </c>
      <c r="L240">
        <f t="shared" ca="1" si="25"/>
        <v>20.421679928353175</v>
      </c>
      <c r="M240">
        <f t="shared" ca="1" si="26"/>
        <v>0</v>
      </c>
      <c r="N240">
        <f t="shared" ca="1" si="27"/>
        <v>0</v>
      </c>
    </row>
    <row r="241" spans="6:14" x14ac:dyDescent="0.75">
      <c r="F241">
        <v>236</v>
      </c>
      <c r="G241">
        <f t="shared" ca="1" si="21"/>
        <v>-0.21507172134629665</v>
      </c>
      <c r="H241">
        <f t="shared" ca="1" si="21"/>
        <v>2.3028356620530017</v>
      </c>
      <c r="I241">
        <f t="shared" ca="1" si="22"/>
        <v>-0.21507172134629665</v>
      </c>
      <c r="J241">
        <f t="shared" ca="1" si="23"/>
        <v>1.3618788270010334</v>
      </c>
      <c r="K241">
        <f t="shared" ca="1" si="24"/>
        <v>16.866911908674425</v>
      </c>
      <c r="L241">
        <f t="shared" ca="1" si="25"/>
        <v>27.79766377526289</v>
      </c>
      <c r="M241">
        <f t="shared" ca="1" si="26"/>
        <v>1.6531925166777519</v>
      </c>
      <c r="N241">
        <f t="shared" ca="1" si="27"/>
        <v>2.3322878419686575</v>
      </c>
    </row>
    <row r="242" spans="6:14" x14ac:dyDescent="0.75">
      <c r="F242">
        <v>237</v>
      </c>
      <c r="G242">
        <f t="shared" ca="1" si="21"/>
        <v>0.22105829716807179</v>
      </c>
      <c r="H242">
        <f t="shared" ca="1" si="21"/>
        <v>-2.1389933777029988</v>
      </c>
      <c r="I242">
        <f t="shared" ca="1" si="22"/>
        <v>0.22105829716807179</v>
      </c>
      <c r="J242">
        <f t="shared" ca="1" si="23"/>
        <v>-1.2490174104779928</v>
      </c>
      <c r="K242">
        <f t="shared" ca="1" si="24"/>
        <v>18.809956527793567</v>
      </c>
      <c r="L242">
        <f t="shared" ca="1" si="25"/>
        <v>14.472176166434391</v>
      </c>
      <c r="M242">
        <f t="shared" ca="1" si="26"/>
        <v>0</v>
      </c>
      <c r="N242">
        <f t="shared" ca="1" si="27"/>
        <v>0</v>
      </c>
    </row>
    <row r="243" spans="6:14" x14ac:dyDescent="0.75">
      <c r="F243">
        <v>238</v>
      </c>
      <c r="G243">
        <f t="shared" ca="1" si="21"/>
        <v>0.43717381357451607</v>
      </c>
      <c r="H243">
        <f t="shared" ca="1" si="21"/>
        <v>1.1335938198693671</v>
      </c>
      <c r="I243">
        <f t="shared" ca="1" si="22"/>
        <v>0.43717381357451607</v>
      </c>
      <c r="J243">
        <f t="shared" ca="1" si="23"/>
        <v>1.077682193964411</v>
      </c>
      <c r="K243">
        <f t="shared" ca="1" si="24"/>
        <v>19.854192845265985</v>
      </c>
      <c r="L243">
        <f t="shared" ca="1" si="25"/>
        <v>25.891191699637588</v>
      </c>
      <c r="M243">
        <f t="shared" ca="1" si="26"/>
        <v>2.6726423911804922</v>
      </c>
      <c r="N243">
        <f t="shared" ca="1" si="27"/>
        <v>2.8726922724517863</v>
      </c>
    </row>
    <row r="244" spans="6:14" x14ac:dyDescent="0.75">
      <c r="F244">
        <v>239</v>
      </c>
      <c r="G244">
        <f t="shared" ca="1" si="21"/>
        <v>0.34912766518964589</v>
      </c>
      <c r="H244">
        <f t="shared" ca="1" si="21"/>
        <v>-1.0896604214475194</v>
      </c>
      <c r="I244">
        <f t="shared" ca="1" si="22"/>
        <v>0.34912766518964589</v>
      </c>
      <c r="J244">
        <f t="shared" ca="1" si="23"/>
        <v>-0.45889687327275774</v>
      </c>
      <c r="K244">
        <f t="shared" ca="1" si="24"/>
        <v>19.421946201550412</v>
      </c>
      <c r="L244">
        <f t="shared" ca="1" si="25"/>
        <v>17.632751531797606</v>
      </c>
      <c r="M244">
        <f t="shared" ca="1" si="26"/>
        <v>0</v>
      </c>
      <c r="N244">
        <f t="shared" ca="1" si="27"/>
        <v>0</v>
      </c>
    </row>
    <row r="245" spans="6:14" x14ac:dyDescent="0.75">
      <c r="F245">
        <v>240</v>
      </c>
      <c r="G245">
        <f t="shared" ca="1" si="21"/>
        <v>-1.6489636176866673</v>
      </c>
      <c r="H245">
        <f t="shared" ca="1" si="21"/>
        <v>0.62302153208202582</v>
      </c>
      <c r="I245">
        <f t="shared" ca="1" si="22"/>
        <v>-1.6489636176866673</v>
      </c>
      <c r="J245">
        <f t="shared" ca="1" si="23"/>
        <v>-0.82463270443312808</v>
      </c>
      <c r="K245">
        <f t="shared" ca="1" si="24"/>
        <v>11.78562835861424</v>
      </c>
      <c r="L245">
        <f t="shared" ca="1" si="25"/>
        <v>16.092029663346967</v>
      </c>
      <c r="M245">
        <f t="shared" ca="1" si="26"/>
        <v>0</v>
      </c>
      <c r="N245">
        <f t="shared" ca="1" si="27"/>
        <v>0</v>
      </c>
    </row>
    <row r="246" spans="6:14" x14ac:dyDescent="0.75">
      <c r="F246">
        <v>241</v>
      </c>
      <c r="G246">
        <f t="shared" ca="1" si="21"/>
        <v>0.2789966917632164</v>
      </c>
      <c r="H246">
        <f t="shared" ca="1" si="21"/>
        <v>0.79190783880630367</v>
      </c>
      <c r="I246">
        <f t="shared" ca="1" si="22"/>
        <v>0.2789966917632164</v>
      </c>
      <c r="J246">
        <f t="shared" ca="1" si="23"/>
        <v>0.73304531951343843</v>
      </c>
      <c r="K246">
        <f t="shared" ca="1" si="24"/>
        <v>19.084393958572704</v>
      </c>
      <c r="L246">
        <f t="shared" ca="1" si="25"/>
        <v>23.753825790710312</v>
      </c>
      <c r="M246">
        <f t="shared" ca="1" si="26"/>
        <v>1.2914858432477736</v>
      </c>
      <c r="N246">
        <f t="shared" ca="1" si="27"/>
        <v>1.4191098746415065</v>
      </c>
    </row>
    <row r="247" spans="6:14" x14ac:dyDescent="0.75">
      <c r="F247">
        <v>242</v>
      </c>
      <c r="G247">
        <f t="shared" ca="1" si="21"/>
        <v>2.5140542658706382</v>
      </c>
      <c r="H247">
        <f t="shared" ca="1" si="21"/>
        <v>2.1361381000644943</v>
      </c>
      <c r="I247">
        <f t="shared" ca="1" si="22"/>
        <v>2.5140542658706382</v>
      </c>
      <c r="J247">
        <f t="shared" ca="1" si="23"/>
        <v>3.2984632441181434</v>
      </c>
      <c r="K247">
        <f t="shared" ca="1" si="24"/>
        <v>33.369266922562375</v>
      </c>
      <c r="L247">
        <f t="shared" ca="1" si="25"/>
        <v>45.109735347769295</v>
      </c>
      <c r="M247">
        <f t="shared" ca="1" si="26"/>
        <v>18.797922619978777</v>
      </c>
      <c r="N247">
        <f t="shared" ca="1" si="27"/>
        <v>19.239501135165838</v>
      </c>
    </row>
    <row r="248" spans="6:14" x14ac:dyDescent="0.75">
      <c r="F248">
        <v>243</v>
      </c>
      <c r="G248">
        <f t="shared" ca="1" si="21"/>
        <v>-1.3443697402602155</v>
      </c>
      <c r="H248">
        <f t="shared" ca="1" si="21"/>
        <v>-0.42011624929915792</v>
      </c>
      <c r="I248">
        <f t="shared" ca="1" si="22"/>
        <v>-1.3443697402602155</v>
      </c>
      <c r="J248">
        <f t="shared" ca="1" si="23"/>
        <v>-1.286158084540858</v>
      </c>
      <c r="K248">
        <f t="shared" ca="1" si="24"/>
        <v>12.718140025771449</v>
      </c>
      <c r="L248">
        <f t="shared" ca="1" si="25"/>
        <v>14.33842150021071</v>
      </c>
      <c r="M248">
        <f t="shared" ca="1" si="26"/>
        <v>0</v>
      </c>
      <c r="N248">
        <f t="shared" ca="1" si="27"/>
        <v>0</v>
      </c>
    </row>
    <row r="249" spans="6:14" x14ac:dyDescent="0.75">
      <c r="F249">
        <v>244</v>
      </c>
      <c r="G249">
        <f t="shared" ca="1" si="21"/>
        <v>0.35612245233821882</v>
      </c>
      <c r="H249">
        <f t="shared" ca="1" si="21"/>
        <v>-0.27472704925009389</v>
      </c>
      <c r="I249">
        <f t="shared" ca="1" si="22"/>
        <v>0.35612245233821882</v>
      </c>
      <c r="J249">
        <f t="shared" ca="1" si="23"/>
        <v>8.53769765690785E-2</v>
      </c>
      <c r="K249">
        <f t="shared" ca="1" si="24"/>
        <v>19.455939009367704</v>
      </c>
      <c r="L249">
        <f t="shared" ca="1" si="25"/>
        <v>20.202907257631338</v>
      </c>
      <c r="M249">
        <f t="shared" ca="1" si="26"/>
        <v>0</v>
      </c>
      <c r="N249">
        <f t="shared" ca="1" si="27"/>
        <v>0</v>
      </c>
    </row>
    <row r="250" spans="6:14" x14ac:dyDescent="0.75">
      <c r="F250">
        <v>245</v>
      </c>
      <c r="G250">
        <f t="shared" ca="1" si="21"/>
        <v>-0.23608236859804355</v>
      </c>
      <c r="H250">
        <f t="shared" ca="1" si="21"/>
        <v>0.25525146988609337</v>
      </c>
      <c r="I250">
        <f t="shared" ca="1" si="22"/>
        <v>-0.23608236859804355</v>
      </c>
      <c r="J250">
        <f t="shared" ca="1" si="23"/>
        <v>-8.2287986729588092E-3</v>
      </c>
      <c r="K250">
        <f t="shared" ca="1" si="24"/>
        <v>16.778548000618922</v>
      </c>
      <c r="L250">
        <f t="shared" ca="1" si="25"/>
        <v>19.73561899346176</v>
      </c>
      <c r="M250">
        <f t="shared" ca="1" si="26"/>
        <v>0</v>
      </c>
      <c r="N250">
        <f t="shared" ca="1" si="27"/>
        <v>0</v>
      </c>
    </row>
    <row r="251" spans="6:14" x14ac:dyDescent="0.75">
      <c r="F251">
        <v>246</v>
      </c>
      <c r="G251">
        <f t="shared" ca="1" si="21"/>
        <v>2.6325955634801601</v>
      </c>
      <c r="H251">
        <f t="shared" ca="1" si="21"/>
        <v>-0.2360462676607534</v>
      </c>
      <c r="I251">
        <f t="shared" ca="1" si="22"/>
        <v>2.6325955634801601</v>
      </c>
      <c r="J251">
        <f t="shared" ca="1" si="23"/>
        <v>1.8183167420762847</v>
      </c>
      <c r="K251">
        <f t="shared" ca="1" si="24"/>
        <v>34.372975123934758</v>
      </c>
      <c r="L251">
        <f t="shared" ca="1" si="25"/>
        <v>31.157701663043163</v>
      </c>
      <c r="M251">
        <f t="shared" ca="1" si="26"/>
        <v>12.725875147698702</v>
      </c>
      <c r="N251">
        <f t="shared" ca="1" si="27"/>
        <v>12.76533839348896</v>
      </c>
    </row>
    <row r="252" spans="6:14" x14ac:dyDescent="0.75">
      <c r="F252">
        <v>247</v>
      </c>
      <c r="G252">
        <f t="shared" ca="1" si="21"/>
        <v>-1.2698872679277964</v>
      </c>
      <c r="H252">
        <f t="shared" ca="1" si="21"/>
        <v>-1.2649142675986125</v>
      </c>
      <c r="I252">
        <f t="shared" ca="1" si="22"/>
        <v>-1.2698872679277964</v>
      </c>
      <c r="J252">
        <f t="shared" ca="1" si="23"/>
        <v>-1.7890775964166812</v>
      </c>
      <c r="K252">
        <f t="shared" ca="1" si="24"/>
        <v>12.957178267098861</v>
      </c>
      <c r="L252">
        <f t="shared" ca="1" si="25"/>
        <v>12.644380338459786</v>
      </c>
      <c r="M252">
        <f t="shared" ca="1" si="26"/>
        <v>0</v>
      </c>
      <c r="N252">
        <f t="shared" ca="1" si="27"/>
        <v>0</v>
      </c>
    </row>
    <row r="253" spans="6:14" x14ac:dyDescent="0.75">
      <c r="F253">
        <v>248</v>
      </c>
      <c r="G253">
        <f t="shared" ca="1" si="21"/>
        <v>-0.27577375887876632</v>
      </c>
      <c r="H253">
        <f t="shared" ca="1" si="21"/>
        <v>1.3319367758823741</v>
      </c>
      <c r="I253">
        <f t="shared" ca="1" si="22"/>
        <v>-0.27577375887876632</v>
      </c>
      <c r="J253">
        <f t="shared" ca="1" si="23"/>
        <v>0.67416304860240905</v>
      </c>
      <c r="K253">
        <f t="shared" ca="1" si="24"/>
        <v>16.612880333206412</v>
      </c>
      <c r="L253">
        <f t="shared" ca="1" si="25"/>
        <v>23.406717076077047</v>
      </c>
      <c r="M253">
        <f t="shared" ca="1" si="26"/>
        <v>0</v>
      </c>
      <c r="N253">
        <f t="shared" ca="1" si="27"/>
        <v>9.7987046417316037E-3</v>
      </c>
    </row>
    <row r="254" spans="6:14" x14ac:dyDescent="0.75">
      <c r="F254">
        <v>249</v>
      </c>
      <c r="G254">
        <f t="shared" ca="1" si="21"/>
        <v>2.2032182989350804E-2</v>
      </c>
      <c r="H254">
        <f t="shared" ca="1" si="21"/>
        <v>-0.72426181779581866</v>
      </c>
      <c r="I254">
        <f t="shared" ca="1" si="22"/>
        <v>2.2032182989350804E-2</v>
      </c>
      <c r="J254">
        <f t="shared" ca="1" si="23"/>
        <v>-0.4625300262548146</v>
      </c>
      <c r="K254">
        <f t="shared" ca="1" si="24"/>
        <v>17.896940986676807</v>
      </c>
      <c r="L254">
        <f t="shared" ca="1" si="25"/>
        <v>17.616743182043713</v>
      </c>
      <c r="M254">
        <f t="shared" ca="1" si="26"/>
        <v>0</v>
      </c>
      <c r="N254">
        <f t="shared" ca="1" si="27"/>
        <v>0</v>
      </c>
    </row>
    <row r="255" spans="6:14" x14ac:dyDescent="0.75">
      <c r="F255">
        <v>250</v>
      </c>
      <c r="G255">
        <f t="shared" ca="1" si="21"/>
        <v>0.41653894275119646</v>
      </c>
      <c r="H255">
        <f t="shared" ca="1" si="21"/>
        <v>-0.13727071175507152</v>
      </c>
      <c r="I255">
        <f t="shared" ca="1" si="22"/>
        <v>0.41653894275119646</v>
      </c>
      <c r="J255">
        <f t="shared" ca="1" si="23"/>
        <v>0.22160816566420982</v>
      </c>
      <c r="K255">
        <f t="shared" ca="1" si="24"/>
        <v>19.752034398949473</v>
      </c>
      <c r="L255">
        <f t="shared" ca="1" si="25"/>
        <v>20.902824951285169</v>
      </c>
      <c r="M255">
        <f t="shared" ca="1" si="26"/>
        <v>0.31928437403748688</v>
      </c>
      <c r="N255">
        <f t="shared" ca="1" si="27"/>
        <v>0.32742967511732246</v>
      </c>
    </row>
    <row r="256" spans="6:14" x14ac:dyDescent="0.75">
      <c r="F256">
        <v>251</v>
      </c>
      <c r="G256">
        <f t="shared" ca="1" si="21"/>
        <v>1.5048862573440887</v>
      </c>
      <c r="H256">
        <f t="shared" ca="1" si="21"/>
        <v>-0.7579047953963125</v>
      </c>
      <c r="I256">
        <f t="shared" ca="1" si="22"/>
        <v>1.5048862573440887</v>
      </c>
      <c r="J256">
        <f t="shared" ca="1" si="23"/>
        <v>0.62735779148758308</v>
      </c>
      <c r="K256">
        <f t="shared" ca="1" si="24"/>
        <v>25.928514841667599</v>
      </c>
      <c r="L256">
        <f t="shared" ca="1" si="25"/>
        <v>23.134423924085723</v>
      </c>
      <c r="M256">
        <f t="shared" ca="1" si="26"/>
        <v>4.4916568257250944</v>
      </c>
      <c r="N256">
        <f t="shared" ca="1" si="27"/>
        <v>4.5314693828766615</v>
      </c>
    </row>
    <row r="257" spans="6:14" x14ac:dyDescent="0.75">
      <c r="F257">
        <v>252</v>
      </c>
      <c r="G257">
        <f t="shared" ca="1" si="21"/>
        <v>-0.65194321207808215</v>
      </c>
      <c r="H257">
        <f t="shared" ca="1" si="21"/>
        <v>1.4782898174514152</v>
      </c>
      <c r="I257">
        <f t="shared" ca="1" si="22"/>
        <v>-0.65194321207808215</v>
      </c>
      <c r="J257">
        <f t="shared" ca="1" si="23"/>
        <v>0.48883939660531744</v>
      </c>
      <c r="K257">
        <f t="shared" ca="1" si="24"/>
        <v>15.121777976502745</v>
      </c>
      <c r="L257">
        <f t="shared" ca="1" si="25"/>
        <v>22.347000868026132</v>
      </c>
      <c r="M257">
        <f t="shared" ca="1" si="26"/>
        <v>0</v>
      </c>
      <c r="N257">
        <f t="shared" ca="1" si="27"/>
        <v>0</v>
      </c>
    </row>
    <row r="258" spans="6:14" x14ac:dyDescent="0.75">
      <c r="F258">
        <v>253</v>
      </c>
      <c r="G258">
        <f t="shared" ca="1" si="21"/>
        <v>0.7447763263260998</v>
      </c>
      <c r="H258">
        <f t="shared" ca="1" si="21"/>
        <v>-1.3485087876136286</v>
      </c>
      <c r="I258">
        <f t="shared" ca="1" si="22"/>
        <v>0.7447763263260998</v>
      </c>
      <c r="J258">
        <f t="shared" ca="1" si="23"/>
        <v>-0.33337247845814499</v>
      </c>
      <c r="K258">
        <f t="shared" ca="1" si="24"/>
        <v>21.441232905665611</v>
      </c>
      <c r="L258">
        <f t="shared" ca="1" si="25"/>
        <v>18.194860315252846</v>
      </c>
      <c r="M258">
        <f t="shared" ca="1" si="26"/>
        <v>0</v>
      </c>
      <c r="N258">
        <f t="shared" ca="1" si="27"/>
        <v>0</v>
      </c>
    </row>
    <row r="259" spans="6:14" x14ac:dyDescent="0.75">
      <c r="F259">
        <v>254</v>
      </c>
      <c r="G259">
        <f t="shared" ca="1" si="21"/>
        <v>-1.8256690719030999</v>
      </c>
      <c r="H259">
        <f t="shared" ca="1" si="21"/>
        <v>-0.96437894017444981</v>
      </c>
      <c r="I259">
        <f t="shared" ca="1" si="22"/>
        <v>-1.8256690719030999</v>
      </c>
      <c r="J259">
        <f t="shared" ca="1" si="23"/>
        <v>-2.0071285152597325</v>
      </c>
      <c r="K259">
        <f t="shared" ca="1" si="24"/>
        <v>11.276314792748234</v>
      </c>
      <c r="L259">
        <f t="shared" ca="1" si="25"/>
        <v>11.973551129926259</v>
      </c>
      <c r="M259">
        <f t="shared" ca="1" si="26"/>
        <v>0</v>
      </c>
      <c r="N259">
        <f t="shared" ca="1" si="27"/>
        <v>0</v>
      </c>
    </row>
    <row r="260" spans="6:14" x14ac:dyDescent="0.75">
      <c r="F260">
        <v>255</v>
      </c>
      <c r="G260">
        <f t="shared" ca="1" si="21"/>
        <v>-1.7011386341525652</v>
      </c>
      <c r="H260">
        <f t="shared" ca="1" si="21"/>
        <v>-0.81839021937080869</v>
      </c>
      <c r="I260">
        <f t="shared" ca="1" si="22"/>
        <v>-1.7011386341525652</v>
      </c>
      <c r="J260">
        <f t="shared" ca="1" si="23"/>
        <v>-1.8171682245801126</v>
      </c>
      <c r="K260">
        <f t="shared" ca="1" si="24"/>
        <v>11.632897775733792</v>
      </c>
      <c r="L260">
        <f t="shared" ca="1" si="25"/>
        <v>12.555894259202987</v>
      </c>
      <c r="M260">
        <f t="shared" ca="1" si="26"/>
        <v>0</v>
      </c>
      <c r="N260">
        <f t="shared" ca="1" si="27"/>
        <v>0</v>
      </c>
    </row>
    <row r="261" spans="6:14" x14ac:dyDescent="0.75">
      <c r="F261">
        <v>256</v>
      </c>
      <c r="G261">
        <f t="shared" ca="1" si="21"/>
        <v>-0.22177287631933221</v>
      </c>
      <c r="H261">
        <f t="shared" ca="1" si="21"/>
        <v>0.8670077924384193</v>
      </c>
      <c r="I261">
        <f t="shared" ca="1" si="22"/>
        <v>-0.22177287631933221</v>
      </c>
      <c r="J261">
        <f t="shared" ca="1" si="23"/>
        <v>0.40714209364729198</v>
      </c>
      <c r="K261">
        <f t="shared" ca="1" si="24"/>
        <v>16.838678617081356</v>
      </c>
      <c r="L261">
        <f t="shared" ca="1" si="25"/>
        <v>21.895207931506473</v>
      </c>
      <c r="M261">
        <f t="shared" ca="1" si="26"/>
        <v>0</v>
      </c>
      <c r="N261">
        <f t="shared" ca="1" si="27"/>
        <v>0</v>
      </c>
    </row>
    <row r="262" spans="6:14" x14ac:dyDescent="0.75">
      <c r="F262">
        <v>257</v>
      </c>
      <c r="G262">
        <f t="shared" ca="1" si="21"/>
        <v>-1.649240698255692</v>
      </c>
      <c r="H262">
        <f t="shared" ca="1" si="21"/>
        <v>2.1721740597577819</v>
      </c>
      <c r="I262">
        <f t="shared" ca="1" si="22"/>
        <v>-1.649240698255692</v>
      </c>
      <c r="J262">
        <f t="shared" ca="1" si="23"/>
        <v>0.1998275679243926</v>
      </c>
      <c r="K262">
        <f t="shared" ca="1" si="24"/>
        <v>11.784811994736408</v>
      </c>
      <c r="L262">
        <f t="shared" ca="1" si="25"/>
        <v>20.789315264875228</v>
      </c>
      <c r="M262">
        <f t="shared" ca="1" si="26"/>
        <v>0</v>
      </c>
      <c r="N262">
        <f t="shared" ca="1" si="27"/>
        <v>0</v>
      </c>
    </row>
    <row r="263" spans="6:14" x14ac:dyDescent="0.75">
      <c r="F263">
        <v>258</v>
      </c>
      <c r="G263">
        <f t="shared" ref="G263:H326" ca="1" si="28">NORMSINV(RAND())</f>
        <v>-1.1344070948128617</v>
      </c>
      <c r="H263">
        <f t="shared" ca="1" si="28"/>
        <v>1.0847474119041243</v>
      </c>
      <c r="I263">
        <f t="shared" ref="I263:I326" ca="1" si="29">G263</f>
        <v>-1.1344070948128617</v>
      </c>
      <c r="J263">
        <f t="shared" ref="J263:J326" ca="1" si="30">G263*$C$8+SQRT(1-$C$8^2)*H263</f>
        <v>-0.1333123493048316</v>
      </c>
      <c r="K263">
        <f t="shared" ref="K263:K326" ca="1" si="31">C$3*EXP(($C$5-0.5*C$4^2)*$C$6+C$4*SQRT($C$6)*I263)</f>
        <v>13.403555186497695</v>
      </c>
      <c r="L263">
        <f t="shared" ref="L263:L326" ca="1" si="32">D$3*EXP(($C$5-0.5*D$4^2)*$C$6+D$4*SQRT($C$6)*J263)</f>
        <v>19.128018287749356</v>
      </c>
      <c r="M263">
        <f t="shared" ref="M263:M326" ca="1" si="33">MAX(SQRT(K263*L263)-$C$7,0)</f>
        <v>0</v>
      </c>
      <c r="N263">
        <f t="shared" ref="N263:N326" ca="1" si="34">MAX((K263+L263)*0.5-$C$7,0)</f>
        <v>0</v>
      </c>
    </row>
    <row r="264" spans="6:14" x14ac:dyDescent="0.75">
      <c r="F264">
        <v>259</v>
      </c>
      <c r="G264">
        <f t="shared" ca="1" si="28"/>
        <v>-0.25632674245352244</v>
      </c>
      <c r="H264">
        <f t="shared" ca="1" si="28"/>
        <v>-1.7206472422772883</v>
      </c>
      <c r="I264">
        <f t="shared" ca="1" si="29"/>
        <v>-0.25632674245352244</v>
      </c>
      <c r="J264">
        <f t="shared" ca="1" si="30"/>
        <v>-1.3303462311238436</v>
      </c>
      <c r="K264">
        <f t="shared" ca="1" si="31"/>
        <v>16.693844727394776</v>
      </c>
      <c r="L264">
        <f t="shared" ca="1" si="32"/>
        <v>14.180896128722091</v>
      </c>
      <c r="M264">
        <f t="shared" ca="1" si="33"/>
        <v>0</v>
      </c>
      <c r="N264">
        <f t="shared" ca="1" si="34"/>
        <v>0</v>
      </c>
    </row>
    <row r="265" spans="6:14" x14ac:dyDescent="0.75">
      <c r="F265">
        <v>260</v>
      </c>
      <c r="G265">
        <f t="shared" ca="1" si="28"/>
        <v>-0.4665575936392849</v>
      </c>
      <c r="H265">
        <f t="shared" ca="1" si="28"/>
        <v>-0.13401101071874877</v>
      </c>
      <c r="I265">
        <f t="shared" ca="1" si="29"/>
        <v>-0.4665575936392849</v>
      </c>
      <c r="J265">
        <f t="shared" ca="1" si="30"/>
        <v>-0.43855814705601881</v>
      </c>
      <c r="K265">
        <f t="shared" ca="1" si="31"/>
        <v>15.839112558765532</v>
      </c>
      <c r="L265">
        <f t="shared" ca="1" si="32"/>
        <v>17.722636783544047</v>
      </c>
      <c r="M265">
        <f t="shared" ca="1" si="33"/>
        <v>0</v>
      </c>
      <c r="N265">
        <f t="shared" ca="1" si="34"/>
        <v>0</v>
      </c>
    </row>
    <row r="266" spans="6:14" x14ac:dyDescent="0.75">
      <c r="F266">
        <v>261</v>
      </c>
      <c r="G266">
        <f t="shared" ca="1" si="28"/>
        <v>-0.12882646330555966</v>
      </c>
      <c r="H266">
        <f t="shared" ca="1" si="28"/>
        <v>-0.91585591639816055</v>
      </c>
      <c r="I266">
        <f t="shared" ca="1" si="29"/>
        <v>-0.12882646330555966</v>
      </c>
      <c r="J266">
        <f t="shared" ca="1" si="30"/>
        <v>-0.70240159536834357</v>
      </c>
      <c r="K266">
        <f t="shared" ca="1" si="31"/>
        <v>17.234533663418876</v>
      </c>
      <c r="L266">
        <f t="shared" ca="1" si="32"/>
        <v>16.591356628218801</v>
      </c>
      <c r="M266">
        <f t="shared" ca="1" si="33"/>
        <v>0</v>
      </c>
      <c r="N266">
        <f t="shared" ca="1" si="34"/>
        <v>0</v>
      </c>
    </row>
    <row r="267" spans="6:14" x14ac:dyDescent="0.75">
      <c r="F267">
        <v>262</v>
      </c>
      <c r="G267">
        <f t="shared" ca="1" si="28"/>
        <v>0.85456362199880376</v>
      </c>
      <c r="H267">
        <f t="shared" ca="1" si="28"/>
        <v>1.3163542495710965</v>
      </c>
      <c r="I267">
        <f t="shared" ca="1" si="29"/>
        <v>0.85456362199880376</v>
      </c>
      <c r="J267">
        <f t="shared" ca="1" si="30"/>
        <v>1.5116092119061464</v>
      </c>
      <c r="K267">
        <f t="shared" ca="1" si="31"/>
        <v>22.03787718984691</v>
      </c>
      <c r="L267">
        <f t="shared" ca="1" si="32"/>
        <v>28.857922823868563</v>
      </c>
      <c r="M267">
        <f t="shared" ca="1" si="33"/>
        <v>5.2183932705177618</v>
      </c>
      <c r="N267">
        <f t="shared" ca="1" si="34"/>
        <v>5.4479000068577363</v>
      </c>
    </row>
    <row r="268" spans="6:14" x14ac:dyDescent="0.75">
      <c r="F268">
        <v>263</v>
      </c>
      <c r="G268">
        <f t="shared" ca="1" si="28"/>
        <v>-1.2166175073123369</v>
      </c>
      <c r="H268">
        <f t="shared" ca="1" si="28"/>
        <v>-2.2486293452633699E-2</v>
      </c>
      <c r="I268">
        <f t="shared" ca="1" si="29"/>
        <v>-1.2166175073123369</v>
      </c>
      <c r="J268">
        <f t="shared" ca="1" si="30"/>
        <v>-0.92733641558007485</v>
      </c>
      <c r="K268">
        <f t="shared" ca="1" si="31"/>
        <v>13.130888835935359</v>
      </c>
      <c r="L268">
        <f t="shared" ca="1" si="32"/>
        <v>15.68411112512354</v>
      </c>
      <c r="M268">
        <f t="shared" ca="1" si="33"/>
        <v>0</v>
      </c>
      <c r="N268">
        <f t="shared" ca="1" si="34"/>
        <v>0</v>
      </c>
    </row>
    <row r="269" spans="6:14" x14ac:dyDescent="0.75">
      <c r="F269">
        <v>264</v>
      </c>
      <c r="G269">
        <f t="shared" ca="1" si="28"/>
        <v>0.19266092155951153</v>
      </c>
      <c r="H269">
        <f t="shared" ca="1" si="28"/>
        <v>-0.98279067868736358</v>
      </c>
      <c r="I269">
        <f t="shared" ca="1" si="29"/>
        <v>0.19266092155951153</v>
      </c>
      <c r="J269">
        <f t="shared" ca="1" si="30"/>
        <v>-0.5055592404901541</v>
      </c>
      <c r="K269">
        <f t="shared" ca="1" si="31"/>
        <v>18.67689107520518</v>
      </c>
      <c r="L269">
        <f t="shared" ca="1" si="32"/>
        <v>17.428250183807513</v>
      </c>
      <c r="M269">
        <f t="shared" ca="1" si="33"/>
        <v>0</v>
      </c>
      <c r="N269">
        <f t="shared" ca="1" si="34"/>
        <v>0</v>
      </c>
    </row>
    <row r="270" spans="6:14" x14ac:dyDescent="0.75">
      <c r="F270">
        <v>265</v>
      </c>
      <c r="G270">
        <f t="shared" ca="1" si="28"/>
        <v>2.2192319680485491</v>
      </c>
      <c r="H270">
        <f t="shared" ca="1" si="28"/>
        <v>-1.953959186761695</v>
      </c>
      <c r="I270">
        <f t="shared" ca="1" si="29"/>
        <v>2.2192319680485491</v>
      </c>
      <c r="J270">
        <f t="shared" ca="1" si="30"/>
        <v>0.37200145600104784</v>
      </c>
      <c r="K270">
        <f t="shared" ca="1" si="31"/>
        <v>30.998218959282788</v>
      </c>
      <c r="L270">
        <f t="shared" ca="1" si="32"/>
        <v>21.703697496045322</v>
      </c>
      <c r="M270">
        <f t="shared" ca="1" si="33"/>
        <v>5.9379252680018801</v>
      </c>
      <c r="N270">
        <f t="shared" ca="1" si="34"/>
        <v>6.350958227664055</v>
      </c>
    </row>
    <row r="271" spans="6:14" x14ac:dyDescent="0.75">
      <c r="F271">
        <v>266</v>
      </c>
      <c r="G271">
        <f t="shared" ca="1" si="28"/>
        <v>1.6928491733954913</v>
      </c>
      <c r="H271">
        <f t="shared" ca="1" si="28"/>
        <v>0.50400635818534278</v>
      </c>
      <c r="I271">
        <f t="shared" ca="1" si="29"/>
        <v>1.6928491733954913</v>
      </c>
      <c r="J271">
        <f t="shared" ca="1" si="30"/>
        <v>1.6030057507850586</v>
      </c>
      <c r="K271">
        <f t="shared" ca="1" si="31"/>
        <v>27.175995118830883</v>
      </c>
      <c r="L271">
        <f t="shared" ca="1" si="32"/>
        <v>29.524892209347406</v>
      </c>
      <c r="M271">
        <f t="shared" ca="1" si="33"/>
        <v>8.3261068021221938</v>
      </c>
      <c r="N271">
        <f t="shared" ca="1" si="34"/>
        <v>8.3504436640891448</v>
      </c>
    </row>
    <row r="272" spans="6:14" x14ac:dyDescent="0.75">
      <c r="F272">
        <v>267</v>
      </c>
      <c r="G272">
        <f t="shared" ca="1" si="28"/>
        <v>-0.11644168110721523</v>
      </c>
      <c r="H272">
        <f t="shared" ca="1" si="28"/>
        <v>0.96478863362663481</v>
      </c>
      <c r="I272">
        <f t="shared" ca="1" si="29"/>
        <v>-0.11644168110721523</v>
      </c>
      <c r="J272">
        <f t="shared" ca="1" si="30"/>
        <v>0.5508164372490596</v>
      </c>
      <c r="K272">
        <f t="shared" ca="1" si="31"/>
        <v>17.287977843968847</v>
      </c>
      <c r="L272">
        <f t="shared" ca="1" si="32"/>
        <v>22.695947466984677</v>
      </c>
      <c r="M272">
        <f t="shared" ca="1" si="33"/>
        <v>0</v>
      </c>
      <c r="N272">
        <f t="shared" ca="1" si="34"/>
        <v>0</v>
      </c>
    </row>
    <row r="273" spans="6:14" x14ac:dyDescent="0.75">
      <c r="F273">
        <v>268</v>
      </c>
      <c r="G273">
        <f t="shared" ca="1" si="28"/>
        <v>-1.6035191227967374</v>
      </c>
      <c r="H273">
        <f t="shared" ca="1" si="28"/>
        <v>-1.1417752072428886</v>
      </c>
      <c r="I273">
        <f t="shared" ca="1" si="29"/>
        <v>-1.6035191227967374</v>
      </c>
      <c r="J273">
        <f t="shared" ca="1" si="30"/>
        <v>-1.9578526549735322</v>
      </c>
      <c r="K273">
        <f t="shared" ca="1" si="31"/>
        <v>11.920289844996395</v>
      </c>
      <c r="L273">
        <f t="shared" ca="1" si="32"/>
        <v>12.121965164834574</v>
      </c>
      <c r="M273">
        <f t="shared" ca="1" si="33"/>
        <v>0</v>
      </c>
      <c r="N273">
        <f t="shared" ca="1" si="34"/>
        <v>0</v>
      </c>
    </row>
    <row r="274" spans="6:14" x14ac:dyDescent="0.75">
      <c r="F274">
        <v>269</v>
      </c>
      <c r="G274">
        <f t="shared" ca="1" si="28"/>
        <v>0.20317529225044761</v>
      </c>
      <c r="H274">
        <f t="shared" ca="1" si="28"/>
        <v>-0.39123134564467071</v>
      </c>
      <c r="I274">
        <f t="shared" ca="1" si="29"/>
        <v>0.20317529225044761</v>
      </c>
      <c r="J274">
        <f t="shared" ca="1" si="30"/>
        <v>-0.10639374222940221</v>
      </c>
      <c r="K274">
        <f t="shared" ca="1" si="31"/>
        <v>18.726049594792048</v>
      </c>
      <c r="L274">
        <f t="shared" ca="1" si="32"/>
        <v>19.257177299993817</v>
      </c>
      <c r="M274">
        <f t="shared" ca="1" si="33"/>
        <v>0</v>
      </c>
      <c r="N274">
        <f t="shared" ca="1" si="34"/>
        <v>0</v>
      </c>
    </row>
    <row r="275" spans="6:14" x14ac:dyDescent="0.75">
      <c r="F275">
        <v>270</v>
      </c>
      <c r="G275">
        <f t="shared" ca="1" si="28"/>
        <v>-0.72134088810254504</v>
      </c>
      <c r="H275">
        <f t="shared" ca="1" si="28"/>
        <v>-1.810425372747785</v>
      </c>
      <c r="I275">
        <f t="shared" ca="1" si="29"/>
        <v>-0.72134088810254504</v>
      </c>
      <c r="J275">
        <f t="shared" ca="1" si="30"/>
        <v>-1.7384894919599221</v>
      </c>
      <c r="K275">
        <f t="shared" ca="1" si="31"/>
        <v>14.861686654905373</v>
      </c>
      <c r="L275">
        <f t="shared" ca="1" si="32"/>
        <v>12.805309640328522</v>
      </c>
      <c r="M275">
        <f t="shared" ca="1" si="33"/>
        <v>0</v>
      </c>
      <c r="N275">
        <f t="shared" ca="1" si="34"/>
        <v>0</v>
      </c>
    </row>
    <row r="276" spans="6:14" x14ac:dyDescent="0.75">
      <c r="F276">
        <v>271</v>
      </c>
      <c r="G276">
        <f t="shared" ca="1" si="28"/>
        <v>1.4266021628294696</v>
      </c>
      <c r="H276">
        <f t="shared" ca="1" si="28"/>
        <v>1.7151416671193078</v>
      </c>
      <c r="I276">
        <f t="shared" ca="1" si="29"/>
        <v>1.4266021628294696</v>
      </c>
      <c r="J276">
        <f t="shared" ca="1" si="30"/>
        <v>2.2044112007327064</v>
      </c>
      <c r="K276">
        <f t="shared" ca="1" si="31"/>
        <v>25.426000662998248</v>
      </c>
      <c r="L276">
        <f t="shared" ca="1" si="32"/>
        <v>34.315085697583996</v>
      </c>
      <c r="M276">
        <f t="shared" ca="1" si="33"/>
        <v>9.5380329693365411</v>
      </c>
      <c r="N276">
        <f t="shared" ca="1" si="34"/>
        <v>9.8705431802911221</v>
      </c>
    </row>
    <row r="277" spans="6:14" x14ac:dyDescent="0.75">
      <c r="F277">
        <v>272</v>
      </c>
      <c r="G277">
        <f t="shared" ca="1" si="28"/>
        <v>-0.86713501784431424</v>
      </c>
      <c r="H277">
        <f t="shared" ca="1" si="28"/>
        <v>-1.5361791694763736</v>
      </c>
      <c r="I277">
        <f t="shared" ca="1" si="29"/>
        <v>-0.86713501784431424</v>
      </c>
      <c r="J277">
        <f t="shared" ca="1" si="30"/>
        <v>-1.6664382763012928</v>
      </c>
      <c r="K277">
        <f t="shared" ca="1" si="31"/>
        <v>14.329752975785588</v>
      </c>
      <c r="L277">
        <f t="shared" ca="1" si="32"/>
        <v>13.038059114117273</v>
      </c>
      <c r="M277">
        <f t="shared" ca="1" si="33"/>
        <v>0</v>
      </c>
      <c r="N277">
        <f t="shared" ca="1" si="34"/>
        <v>0</v>
      </c>
    </row>
    <row r="278" spans="6:14" x14ac:dyDescent="0.75">
      <c r="F278">
        <v>273</v>
      </c>
      <c r="G278">
        <f t="shared" ca="1" si="28"/>
        <v>-1.3393135187453105</v>
      </c>
      <c r="H278">
        <f t="shared" ca="1" si="28"/>
        <v>-0.77003416634873656</v>
      </c>
      <c r="I278">
        <f t="shared" ca="1" si="29"/>
        <v>-1.3393135187453105</v>
      </c>
      <c r="J278">
        <f t="shared" ca="1" si="30"/>
        <v>-1.5138148653544077</v>
      </c>
      <c r="K278">
        <f t="shared" ca="1" si="31"/>
        <v>12.73422662411202</v>
      </c>
      <c r="L278">
        <f t="shared" ca="1" si="32"/>
        <v>13.545150102164678</v>
      </c>
      <c r="M278">
        <f t="shared" ca="1" si="33"/>
        <v>0</v>
      </c>
      <c r="N278">
        <f t="shared" ca="1" si="34"/>
        <v>0</v>
      </c>
    </row>
    <row r="279" spans="6:14" x14ac:dyDescent="0.75">
      <c r="F279">
        <v>274</v>
      </c>
      <c r="G279">
        <f t="shared" ca="1" si="28"/>
        <v>-0.26342754349218039</v>
      </c>
      <c r="H279">
        <f t="shared" ca="1" si="28"/>
        <v>-0.37392035652988737</v>
      </c>
      <c r="I279">
        <f t="shared" ca="1" si="29"/>
        <v>-0.26342754349218039</v>
      </c>
      <c r="J279">
        <f t="shared" ca="1" si="30"/>
        <v>-0.44489572599980742</v>
      </c>
      <c r="K279">
        <f t="shared" ca="1" si="31"/>
        <v>16.664236098298499</v>
      </c>
      <c r="L279">
        <f t="shared" ca="1" si="32"/>
        <v>17.694579364000404</v>
      </c>
      <c r="M279">
        <f t="shared" ca="1" si="33"/>
        <v>0</v>
      </c>
      <c r="N279">
        <f t="shared" ca="1" si="34"/>
        <v>0</v>
      </c>
    </row>
    <row r="280" spans="6:14" x14ac:dyDescent="0.75">
      <c r="F280">
        <v>275</v>
      </c>
      <c r="G280">
        <f t="shared" ca="1" si="28"/>
        <v>-1.2951955417833958</v>
      </c>
      <c r="H280">
        <f t="shared" ca="1" si="28"/>
        <v>0.29197308222482427</v>
      </c>
      <c r="I280">
        <f t="shared" ca="1" si="29"/>
        <v>-1.2951955417833958</v>
      </c>
      <c r="J280">
        <f t="shared" ca="1" si="30"/>
        <v>-0.77827461506457229</v>
      </c>
      <c r="K280">
        <f t="shared" ca="1" si="31"/>
        <v>12.875456116548264</v>
      </c>
      <c r="L280">
        <f t="shared" ca="1" si="32"/>
        <v>16.279613504582898</v>
      </c>
      <c r="M280">
        <f t="shared" ca="1" si="33"/>
        <v>0</v>
      </c>
      <c r="N280">
        <f t="shared" ca="1" si="34"/>
        <v>0</v>
      </c>
    </row>
    <row r="281" spans="6:14" x14ac:dyDescent="0.75">
      <c r="F281">
        <v>276</v>
      </c>
      <c r="G281">
        <f t="shared" ca="1" si="28"/>
        <v>-1.4111164273620236</v>
      </c>
      <c r="H281">
        <f t="shared" ca="1" si="28"/>
        <v>1.2937530229270102</v>
      </c>
      <c r="I281">
        <f t="shared" ca="1" si="29"/>
        <v>-1.4111164273620236</v>
      </c>
      <c r="J281">
        <f t="shared" ca="1" si="30"/>
        <v>-0.20260013137078892</v>
      </c>
      <c r="K281">
        <f t="shared" ca="1" si="31"/>
        <v>12.507677441101659</v>
      </c>
      <c r="L281">
        <f t="shared" ca="1" si="32"/>
        <v>18.799536978159271</v>
      </c>
      <c r="M281">
        <f t="shared" ca="1" si="33"/>
        <v>0</v>
      </c>
      <c r="N281">
        <f t="shared" ca="1" si="34"/>
        <v>0</v>
      </c>
    </row>
    <row r="282" spans="6:14" x14ac:dyDescent="0.75">
      <c r="F282">
        <v>277</v>
      </c>
      <c r="G282">
        <f t="shared" ca="1" si="28"/>
        <v>0.49282869643446187</v>
      </c>
      <c r="H282">
        <f t="shared" ca="1" si="28"/>
        <v>-0.64456615813421403</v>
      </c>
      <c r="I282">
        <f t="shared" ca="1" si="29"/>
        <v>0.49282869643446187</v>
      </c>
      <c r="J282">
        <f t="shared" ca="1" si="30"/>
        <v>-5.6718917162019378E-2</v>
      </c>
      <c r="K282">
        <f t="shared" ca="1" si="31"/>
        <v>20.13236928648822</v>
      </c>
      <c r="L282">
        <f t="shared" ca="1" si="32"/>
        <v>19.497817656656444</v>
      </c>
      <c r="M282">
        <f t="shared" ca="1" si="33"/>
        <v>0</v>
      </c>
      <c r="N282">
        <f t="shared" ca="1" si="34"/>
        <v>0</v>
      </c>
    </row>
    <row r="283" spans="6:14" x14ac:dyDescent="0.75">
      <c r="F283">
        <v>278</v>
      </c>
      <c r="G283">
        <f t="shared" ca="1" si="28"/>
        <v>-1.7437418389575237</v>
      </c>
      <c r="H283">
        <f t="shared" ca="1" si="28"/>
        <v>0.50356738489966968</v>
      </c>
      <c r="I283">
        <f t="shared" ca="1" si="29"/>
        <v>-1.7437418389575237</v>
      </c>
      <c r="J283">
        <f t="shared" ca="1" si="30"/>
        <v>-0.97472786201622563</v>
      </c>
      <c r="K283">
        <f t="shared" ca="1" si="31"/>
        <v>11.509655573272083</v>
      </c>
      <c r="L283">
        <f t="shared" ca="1" si="32"/>
        <v>15.499384416157678</v>
      </c>
      <c r="M283">
        <f t="shared" ca="1" si="33"/>
        <v>0</v>
      </c>
      <c r="N283">
        <f t="shared" ca="1" si="34"/>
        <v>0</v>
      </c>
    </row>
    <row r="284" spans="6:14" x14ac:dyDescent="0.75">
      <c r="F284">
        <v>279</v>
      </c>
      <c r="G284">
        <f t="shared" ca="1" si="28"/>
        <v>1.6650979677896751</v>
      </c>
      <c r="H284">
        <f t="shared" ca="1" si="28"/>
        <v>-1.3220934160641493</v>
      </c>
      <c r="I284">
        <f t="shared" ca="1" si="29"/>
        <v>1.6650979677896751</v>
      </c>
      <c r="J284">
        <f t="shared" ca="1" si="30"/>
        <v>0.37434087861685961</v>
      </c>
      <c r="K284">
        <f t="shared" ca="1" si="31"/>
        <v>26.988105984200086</v>
      </c>
      <c r="L284">
        <f t="shared" ca="1" si="32"/>
        <v>21.716394738902771</v>
      </c>
      <c r="M284">
        <f t="shared" ca="1" si="33"/>
        <v>4.2091793088537628</v>
      </c>
      <c r="N284">
        <f t="shared" ca="1" si="34"/>
        <v>4.3522503615514267</v>
      </c>
    </row>
    <row r="285" spans="6:14" x14ac:dyDescent="0.75">
      <c r="F285">
        <v>280</v>
      </c>
      <c r="G285">
        <f t="shared" ca="1" si="28"/>
        <v>-1.3215175176467795</v>
      </c>
      <c r="H285">
        <f t="shared" ca="1" si="28"/>
        <v>-0.13359416408632252</v>
      </c>
      <c r="I285">
        <f t="shared" ca="1" si="29"/>
        <v>-1.3215175176467795</v>
      </c>
      <c r="J285">
        <f t="shared" ca="1" si="30"/>
        <v>-1.0795023719305761</v>
      </c>
      <c r="K285">
        <f t="shared" ca="1" si="31"/>
        <v>12.79100741708368</v>
      </c>
      <c r="L285">
        <f t="shared" ca="1" si="32"/>
        <v>15.098670303481629</v>
      </c>
      <c r="M285">
        <f t="shared" ca="1" si="33"/>
        <v>0</v>
      </c>
      <c r="N285">
        <f t="shared" ca="1" si="34"/>
        <v>0</v>
      </c>
    </row>
    <row r="286" spans="6:14" x14ac:dyDescent="0.75">
      <c r="F286">
        <v>281</v>
      </c>
      <c r="G286">
        <f t="shared" ca="1" si="28"/>
        <v>-1.0176001275604782</v>
      </c>
      <c r="H286">
        <f t="shared" ca="1" si="28"/>
        <v>-8.6364951887600086E-2</v>
      </c>
      <c r="I286">
        <f t="shared" ca="1" si="29"/>
        <v>-1.0176001275604782</v>
      </c>
      <c r="J286">
        <f t="shared" ca="1" si="30"/>
        <v>-0.82032514184202066</v>
      </c>
      <c r="K286">
        <f t="shared" ca="1" si="31"/>
        <v>13.800733266512291</v>
      </c>
      <c r="L286">
        <f t="shared" ca="1" si="32"/>
        <v>16.109368353856368</v>
      </c>
      <c r="M286">
        <f t="shared" ca="1" si="33"/>
        <v>0</v>
      </c>
      <c r="N286">
        <f t="shared" ca="1" si="34"/>
        <v>0</v>
      </c>
    </row>
    <row r="287" spans="6:14" x14ac:dyDescent="0.75">
      <c r="F287">
        <v>282</v>
      </c>
      <c r="G287">
        <f t="shared" ca="1" si="28"/>
        <v>-0.66476448517813991</v>
      </c>
      <c r="H287">
        <f t="shared" ca="1" si="28"/>
        <v>-0.55822640316812377</v>
      </c>
      <c r="I287">
        <f t="shared" ca="1" si="29"/>
        <v>-0.66476448517813991</v>
      </c>
      <c r="J287">
        <f t="shared" ca="1" si="30"/>
        <v>-0.86780542339683853</v>
      </c>
      <c r="K287">
        <f t="shared" ca="1" si="31"/>
        <v>15.073385463339672</v>
      </c>
      <c r="L287">
        <f t="shared" ca="1" si="32"/>
        <v>15.919279433941135</v>
      </c>
      <c r="M287">
        <f t="shared" ca="1" si="33"/>
        <v>0</v>
      </c>
      <c r="N287">
        <f t="shared" ca="1" si="34"/>
        <v>0</v>
      </c>
    </row>
    <row r="288" spans="6:14" x14ac:dyDescent="0.75">
      <c r="F288">
        <v>283</v>
      </c>
      <c r="G288">
        <f t="shared" ca="1" si="28"/>
        <v>-1.4718954467113998</v>
      </c>
      <c r="H288">
        <f t="shared" ca="1" si="28"/>
        <v>-0.32309060117297661</v>
      </c>
      <c r="I288">
        <f t="shared" ca="1" si="29"/>
        <v>-1.4718954467113998</v>
      </c>
      <c r="J288">
        <f t="shared" ca="1" si="30"/>
        <v>-1.3176259304450622</v>
      </c>
      <c r="K288">
        <f t="shared" ca="1" si="31"/>
        <v>12.319062953188659</v>
      </c>
      <c r="L288">
        <f t="shared" ca="1" si="32"/>
        <v>14.226064225291301</v>
      </c>
      <c r="M288">
        <f t="shared" ca="1" si="33"/>
        <v>0</v>
      </c>
      <c r="N288">
        <f t="shared" ca="1" si="34"/>
        <v>0</v>
      </c>
    </row>
    <row r="289" spans="6:14" x14ac:dyDescent="0.75">
      <c r="F289">
        <v>284</v>
      </c>
      <c r="G289">
        <f t="shared" ca="1" si="28"/>
        <v>-0.20914140550889973</v>
      </c>
      <c r="H289">
        <f t="shared" ca="1" si="28"/>
        <v>0.24787841093725191</v>
      </c>
      <c r="I289">
        <f t="shared" ca="1" si="29"/>
        <v>-0.20914140550889973</v>
      </c>
      <c r="J289">
        <f t="shared" ca="1" si="30"/>
        <v>7.1001035487855968E-3</v>
      </c>
      <c r="K289">
        <f t="shared" ca="1" si="31"/>
        <v>16.891936983620365</v>
      </c>
      <c r="L289">
        <f t="shared" ca="1" si="32"/>
        <v>19.811395440401668</v>
      </c>
      <c r="M289">
        <f t="shared" ca="1" si="33"/>
        <v>0</v>
      </c>
      <c r="N289">
        <f t="shared" ca="1" si="34"/>
        <v>0</v>
      </c>
    </row>
    <row r="290" spans="6:14" x14ac:dyDescent="0.75">
      <c r="F290">
        <v>285</v>
      </c>
      <c r="G290">
        <f t="shared" ca="1" si="28"/>
        <v>-0.62745953645925501</v>
      </c>
      <c r="H290">
        <f t="shared" ca="1" si="28"/>
        <v>0.67094781557591299</v>
      </c>
      <c r="I290">
        <f t="shared" ca="1" si="29"/>
        <v>-0.62745953645925501</v>
      </c>
      <c r="J290">
        <f t="shared" ca="1" si="30"/>
        <v>-2.6804386665467528E-2</v>
      </c>
      <c r="K290">
        <f t="shared" ca="1" si="31"/>
        <v>15.21462100564953</v>
      </c>
      <c r="L290">
        <f t="shared" ca="1" si="32"/>
        <v>19.644181289628069</v>
      </c>
      <c r="M290">
        <f t="shared" ca="1" si="33"/>
        <v>0</v>
      </c>
      <c r="N290">
        <f t="shared" ca="1" si="34"/>
        <v>0</v>
      </c>
    </row>
    <row r="291" spans="6:14" x14ac:dyDescent="0.75">
      <c r="F291">
        <v>286</v>
      </c>
      <c r="G291">
        <f t="shared" ca="1" si="28"/>
        <v>0.42163051153137088</v>
      </c>
      <c r="H291">
        <f t="shared" ca="1" si="28"/>
        <v>-0.52536241907025294</v>
      </c>
      <c r="I291">
        <f t="shared" ca="1" si="29"/>
        <v>0.42163051153137088</v>
      </c>
      <c r="J291">
        <f t="shared" ca="1" si="30"/>
        <v>-3.1271693611268525E-2</v>
      </c>
      <c r="K291">
        <f t="shared" ca="1" si="31"/>
        <v>19.77719261782546</v>
      </c>
      <c r="L291">
        <f t="shared" ca="1" si="32"/>
        <v>19.622254389301524</v>
      </c>
      <c r="M291">
        <f t="shared" ca="1" si="33"/>
        <v>0</v>
      </c>
      <c r="N291">
        <f t="shared" ca="1" si="34"/>
        <v>0</v>
      </c>
    </row>
    <row r="292" spans="6:14" x14ac:dyDescent="0.75">
      <c r="F292">
        <v>287</v>
      </c>
      <c r="G292">
        <f t="shared" ca="1" si="28"/>
        <v>-0.61960987792062605</v>
      </c>
      <c r="H292">
        <f t="shared" ca="1" si="28"/>
        <v>1.1300610904193407</v>
      </c>
      <c r="I292">
        <f t="shared" ca="1" si="29"/>
        <v>-0.61960987792062605</v>
      </c>
      <c r="J292">
        <f t="shared" ca="1" si="30"/>
        <v>0.28275774444954338</v>
      </c>
      <c r="K292">
        <f t="shared" ca="1" si="31"/>
        <v>15.244507716039385</v>
      </c>
      <c r="L292">
        <f t="shared" ca="1" si="32"/>
        <v>21.224829722461827</v>
      </c>
      <c r="M292">
        <f t="shared" ca="1" si="33"/>
        <v>0</v>
      </c>
      <c r="N292">
        <f t="shared" ca="1" si="34"/>
        <v>0</v>
      </c>
    </row>
    <row r="293" spans="6:14" x14ac:dyDescent="0.75">
      <c r="F293">
        <v>288</v>
      </c>
      <c r="G293">
        <f t="shared" ca="1" si="28"/>
        <v>1.2886973870412004</v>
      </c>
      <c r="H293">
        <f t="shared" ca="1" si="28"/>
        <v>1.0548754889519143</v>
      </c>
      <c r="I293">
        <f t="shared" ca="1" si="29"/>
        <v>1.2886973870412004</v>
      </c>
      <c r="J293">
        <f t="shared" ca="1" si="30"/>
        <v>1.6642575922570075</v>
      </c>
      <c r="K293">
        <f t="shared" ca="1" si="31"/>
        <v>24.564347538580776</v>
      </c>
      <c r="L293">
        <f t="shared" ca="1" si="32"/>
        <v>29.98048504865864</v>
      </c>
      <c r="M293">
        <f t="shared" ca="1" si="33"/>
        <v>7.1376316967873166</v>
      </c>
      <c r="N293">
        <f t="shared" ca="1" si="34"/>
        <v>7.2724162936197061</v>
      </c>
    </row>
    <row r="294" spans="6:14" x14ac:dyDescent="0.75">
      <c r="F294">
        <v>289</v>
      </c>
      <c r="G294">
        <f t="shared" ca="1" si="28"/>
        <v>0.3094822403326537</v>
      </c>
      <c r="H294">
        <f t="shared" ca="1" si="28"/>
        <v>0.62484642168967885</v>
      </c>
      <c r="I294">
        <f t="shared" ca="1" si="29"/>
        <v>0.3094822403326537</v>
      </c>
      <c r="J294">
        <f t="shared" ca="1" si="30"/>
        <v>0.64540874009936178</v>
      </c>
      <c r="K294">
        <f t="shared" ca="1" si="31"/>
        <v>19.230399187764473</v>
      </c>
      <c r="L294">
        <f t="shared" ca="1" si="32"/>
        <v>23.239059417105036</v>
      </c>
      <c r="M294">
        <f t="shared" ca="1" si="33"/>
        <v>1.1399240618103228</v>
      </c>
      <c r="N294">
        <f t="shared" ca="1" si="34"/>
        <v>1.2347293024347543</v>
      </c>
    </row>
    <row r="295" spans="6:14" x14ac:dyDescent="0.75">
      <c r="F295">
        <v>290</v>
      </c>
      <c r="G295">
        <f t="shared" ca="1" si="28"/>
        <v>-1.2832025260606497</v>
      </c>
      <c r="H295">
        <f t="shared" ca="1" si="28"/>
        <v>-1.2997742427533707</v>
      </c>
      <c r="I295">
        <f t="shared" ca="1" si="29"/>
        <v>-1.2832025260606497</v>
      </c>
      <c r="J295">
        <f t="shared" ca="1" si="30"/>
        <v>-1.8221217462586663</v>
      </c>
      <c r="K295">
        <f t="shared" ca="1" si="31"/>
        <v>12.914117933468747</v>
      </c>
      <c r="L295">
        <f t="shared" ca="1" si="32"/>
        <v>12.540354909400515</v>
      </c>
      <c r="M295">
        <f t="shared" ca="1" si="33"/>
        <v>0</v>
      </c>
      <c r="N295">
        <f t="shared" ca="1" si="34"/>
        <v>0</v>
      </c>
    </row>
    <row r="296" spans="6:14" x14ac:dyDescent="0.75">
      <c r="F296">
        <v>291</v>
      </c>
      <c r="G296">
        <f t="shared" ca="1" si="28"/>
        <v>0.93156364717866003</v>
      </c>
      <c r="H296">
        <f t="shared" ca="1" si="28"/>
        <v>0.63833047894156147</v>
      </c>
      <c r="I296">
        <f t="shared" ca="1" si="29"/>
        <v>0.93156364717866003</v>
      </c>
      <c r="J296">
        <f t="shared" ca="1" si="30"/>
        <v>1.1208886607720261</v>
      </c>
      <c r="K296">
        <f t="shared" ca="1" si="31"/>
        <v>22.466215999754006</v>
      </c>
      <c r="L296">
        <f t="shared" ca="1" si="32"/>
        <v>26.172374307802954</v>
      </c>
      <c r="M296">
        <f t="shared" ca="1" si="33"/>
        <v>4.2485920091355709</v>
      </c>
      <c r="N296">
        <f t="shared" ca="1" si="34"/>
        <v>4.3192951537784801</v>
      </c>
    </row>
    <row r="297" spans="6:14" x14ac:dyDescent="0.75">
      <c r="F297">
        <v>292</v>
      </c>
      <c r="G297">
        <f t="shared" ca="1" si="28"/>
        <v>-1.1633640370514609</v>
      </c>
      <c r="H297">
        <f t="shared" ca="1" si="28"/>
        <v>-1.4976826231992426</v>
      </c>
      <c r="I297">
        <f t="shared" ca="1" si="29"/>
        <v>-1.1633640370514609</v>
      </c>
      <c r="J297">
        <f t="shared" ca="1" si="30"/>
        <v>-1.8631469687606086</v>
      </c>
      <c r="K297">
        <f t="shared" ca="1" si="31"/>
        <v>13.306874064101958</v>
      </c>
      <c r="L297">
        <f t="shared" ca="1" si="32"/>
        <v>12.412394518930691</v>
      </c>
      <c r="M297">
        <f t="shared" ca="1" si="33"/>
        <v>0</v>
      </c>
      <c r="N297">
        <f t="shared" ca="1" si="34"/>
        <v>0</v>
      </c>
    </row>
    <row r="298" spans="6:14" x14ac:dyDescent="0.75">
      <c r="F298">
        <v>293</v>
      </c>
      <c r="G298">
        <f t="shared" ca="1" si="28"/>
        <v>2.2863542368716483</v>
      </c>
      <c r="H298">
        <f t="shared" ca="1" si="28"/>
        <v>0.75167113238737537</v>
      </c>
      <c r="I298">
        <f t="shared" ca="1" si="29"/>
        <v>2.2863542368716483</v>
      </c>
      <c r="J298">
        <f t="shared" ca="1" si="30"/>
        <v>2.211949398654562</v>
      </c>
      <c r="K298">
        <f t="shared" ca="1" si="31"/>
        <v>31.522775525154685</v>
      </c>
      <c r="L298">
        <f t="shared" ca="1" si="32"/>
        <v>34.379815148276421</v>
      </c>
      <c r="M298">
        <f t="shared" ca="1" si="33"/>
        <v>12.920315847747119</v>
      </c>
      <c r="N298">
        <f t="shared" ca="1" si="34"/>
        <v>12.951295336715553</v>
      </c>
    </row>
    <row r="299" spans="6:14" x14ac:dyDescent="0.75">
      <c r="F299">
        <v>294</v>
      </c>
      <c r="G299">
        <f t="shared" ca="1" si="28"/>
        <v>0.16811537588450659</v>
      </c>
      <c r="H299">
        <f t="shared" ca="1" si="28"/>
        <v>-4.1674590477252235E-2</v>
      </c>
      <c r="I299">
        <f t="shared" ca="1" si="29"/>
        <v>0.16811537588450659</v>
      </c>
      <c r="J299">
        <f t="shared" ca="1" si="30"/>
        <v>9.8521381315062426E-2</v>
      </c>
      <c r="K299">
        <f t="shared" ca="1" si="31"/>
        <v>18.562633377691604</v>
      </c>
      <c r="L299">
        <f t="shared" ca="1" si="32"/>
        <v>20.269405254875469</v>
      </c>
      <c r="M299">
        <f t="shared" ca="1" si="33"/>
        <v>0</v>
      </c>
      <c r="N299">
        <f t="shared" ca="1" si="34"/>
        <v>0</v>
      </c>
    </row>
    <row r="300" spans="6:14" x14ac:dyDescent="0.75">
      <c r="F300">
        <v>295</v>
      </c>
      <c r="G300">
        <f t="shared" ca="1" si="28"/>
        <v>-7.4044834810170782E-2</v>
      </c>
      <c r="H300">
        <f t="shared" ca="1" si="28"/>
        <v>-1.4496002462539339</v>
      </c>
      <c r="I300">
        <f t="shared" ca="1" si="29"/>
        <v>-7.4044834810170782E-2</v>
      </c>
      <c r="J300">
        <f t="shared" ca="1" si="30"/>
        <v>-1.0143540641191029</v>
      </c>
      <c r="K300">
        <f t="shared" ca="1" si="31"/>
        <v>17.472191313002462</v>
      </c>
      <c r="L300">
        <f t="shared" ca="1" si="32"/>
        <v>15.346597028848372</v>
      </c>
      <c r="M300">
        <f t="shared" ca="1" si="33"/>
        <v>0</v>
      </c>
      <c r="N300">
        <f t="shared" ca="1" si="34"/>
        <v>0</v>
      </c>
    </row>
    <row r="301" spans="6:14" x14ac:dyDescent="0.75">
      <c r="F301">
        <v>296</v>
      </c>
      <c r="G301">
        <f t="shared" ca="1" si="28"/>
        <v>0.705316348060258</v>
      </c>
      <c r="H301">
        <f t="shared" ca="1" si="28"/>
        <v>-0.72000130598480006</v>
      </c>
      <c r="I301">
        <f t="shared" ca="1" si="29"/>
        <v>0.705316348060258</v>
      </c>
      <c r="J301">
        <f t="shared" ca="1" si="30"/>
        <v>5.2751161225817966E-2</v>
      </c>
      <c r="K301">
        <f t="shared" ca="1" si="31"/>
        <v>21.230755147462361</v>
      </c>
      <c r="L301">
        <f t="shared" ca="1" si="32"/>
        <v>20.038793380708441</v>
      </c>
      <c r="M301">
        <f t="shared" ca="1" si="33"/>
        <v>0.62616580260156951</v>
      </c>
      <c r="N301">
        <f t="shared" ca="1" si="34"/>
        <v>0.63477426408540083</v>
      </c>
    </row>
    <row r="302" spans="6:14" x14ac:dyDescent="0.75">
      <c r="F302">
        <v>297</v>
      </c>
      <c r="G302">
        <f t="shared" ca="1" si="28"/>
        <v>-1.4745953231800824</v>
      </c>
      <c r="H302">
        <f t="shared" ca="1" si="28"/>
        <v>-1.0744193289747792</v>
      </c>
      <c r="I302">
        <f t="shared" ca="1" si="29"/>
        <v>-1.4745953231800824</v>
      </c>
      <c r="J302">
        <f t="shared" ca="1" si="30"/>
        <v>-1.8166080794521018</v>
      </c>
      <c r="K302">
        <f t="shared" ca="1" si="31"/>
        <v>12.310750771691254</v>
      </c>
      <c r="L302">
        <f t="shared" ca="1" si="32"/>
        <v>12.557652663069561</v>
      </c>
      <c r="M302">
        <f t="shared" ca="1" si="33"/>
        <v>0</v>
      </c>
      <c r="N302">
        <f t="shared" ca="1" si="34"/>
        <v>0</v>
      </c>
    </row>
    <row r="303" spans="6:14" x14ac:dyDescent="0.75">
      <c r="F303">
        <v>298</v>
      </c>
      <c r="G303">
        <f t="shared" ca="1" si="28"/>
        <v>0.41739077788847989</v>
      </c>
      <c r="H303">
        <f t="shared" ca="1" si="28"/>
        <v>-0.92073992433192742</v>
      </c>
      <c r="I303">
        <f t="shared" ca="1" si="29"/>
        <v>0.41739077788847989</v>
      </c>
      <c r="J303">
        <f t="shared" ca="1" si="30"/>
        <v>-0.29596913207131736</v>
      </c>
      <c r="K303">
        <f t="shared" ca="1" si="31"/>
        <v>19.756241216106371</v>
      </c>
      <c r="L303">
        <f t="shared" ca="1" si="32"/>
        <v>18.365795428598496</v>
      </c>
      <c r="M303">
        <f t="shared" ca="1" si="33"/>
        <v>0</v>
      </c>
      <c r="N303">
        <f t="shared" ca="1" si="34"/>
        <v>0</v>
      </c>
    </row>
    <row r="304" spans="6:14" x14ac:dyDescent="0.75">
      <c r="F304">
        <v>299</v>
      </c>
      <c r="G304">
        <f t="shared" ca="1" si="28"/>
        <v>0.82450565433289535</v>
      </c>
      <c r="H304">
        <f t="shared" ca="1" si="28"/>
        <v>0.98586293477244402</v>
      </c>
      <c r="I304">
        <f t="shared" ca="1" si="29"/>
        <v>0.82450565433289535</v>
      </c>
      <c r="J304">
        <f t="shared" ca="1" si="30"/>
        <v>1.2704662788007162</v>
      </c>
      <c r="K304">
        <f t="shared" ca="1" si="31"/>
        <v>21.872894397126263</v>
      </c>
      <c r="L304">
        <f t="shared" ca="1" si="32"/>
        <v>27.169603859286283</v>
      </c>
      <c r="M304">
        <f t="shared" ca="1" si="33"/>
        <v>4.3778152430836812</v>
      </c>
      <c r="N304">
        <f t="shared" ca="1" si="34"/>
        <v>4.5212491282062715</v>
      </c>
    </row>
    <row r="305" spans="6:14" x14ac:dyDescent="0.75">
      <c r="F305">
        <v>300</v>
      </c>
      <c r="G305">
        <f t="shared" ca="1" si="28"/>
        <v>-0.11311257336445751</v>
      </c>
      <c r="H305">
        <f t="shared" ca="1" si="28"/>
        <v>-0.72756771348721883</v>
      </c>
      <c r="I305">
        <f t="shared" ca="1" si="29"/>
        <v>-0.11311257336445751</v>
      </c>
      <c r="J305">
        <f t="shared" ca="1" si="30"/>
        <v>-0.56607523798511206</v>
      </c>
      <c r="K305">
        <f t="shared" ca="1" si="31"/>
        <v>17.302372218415123</v>
      </c>
      <c r="L305">
        <f t="shared" ca="1" si="32"/>
        <v>17.166562723778288</v>
      </c>
      <c r="M305">
        <f t="shared" ca="1" si="33"/>
        <v>0</v>
      </c>
      <c r="N305">
        <f t="shared" ca="1" si="34"/>
        <v>0</v>
      </c>
    </row>
    <row r="306" spans="6:14" x14ac:dyDescent="0.75">
      <c r="F306">
        <v>301</v>
      </c>
      <c r="G306">
        <f t="shared" ca="1" si="28"/>
        <v>1.0803701776319321</v>
      </c>
      <c r="H306">
        <f t="shared" ca="1" si="28"/>
        <v>0.60156254067365744</v>
      </c>
      <c r="I306">
        <f t="shared" ca="1" si="29"/>
        <v>1.0803701776319321</v>
      </c>
      <c r="J306">
        <f t="shared" ca="1" si="30"/>
        <v>1.2081738533926178</v>
      </c>
      <c r="K306">
        <f t="shared" ca="1" si="31"/>
        <v>23.317736689804974</v>
      </c>
      <c r="L306">
        <f t="shared" ca="1" si="32"/>
        <v>26.749766301254322</v>
      </c>
      <c r="M306">
        <f t="shared" ca="1" si="33"/>
        <v>4.9748675096879467</v>
      </c>
      <c r="N306">
        <f t="shared" ca="1" si="34"/>
        <v>5.0337514955296498</v>
      </c>
    </row>
    <row r="307" spans="6:14" x14ac:dyDescent="0.75">
      <c r="F307">
        <v>302</v>
      </c>
      <c r="G307">
        <f t="shared" ca="1" si="28"/>
        <v>1.4150575778901286</v>
      </c>
      <c r="H307">
        <f t="shared" ca="1" si="28"/>
        <v>-0.2053314770661141</v>
      </c>
      <c r="I307">
        <f t="shared" ca="1" si="29"/>
        <v>1.4150575778901286</v>
      </c>
      <c r="J307">
        <f t="shared" ca="1" si="30"/>
        <v>0.92547917725497142</v>
      </c>
      <c r="K307">
        <f t="shared" ca="1" si="31"/>
        <v>25.35272330237277</v>
      </c>
      <c r="L307">
        <f t="shared" ca="1" si="32"/>
        <v>24.924520248711445</v>
      </c>
      <c r="M307">
        <f t="shared" ca="1" si="33"/>
        <v>5.1377100251786771</v>
      </c>
      <c r="N307">
        <f t="shared" ca="1" si="34"/>
        <v>5.1386217755421058</v>
      </c>
    </row>
    <row r="308" spans="6:14" x14ac:dyDescent="0.75">
      <c r="F308">
        <v>303</v>
      </c>
      <c r="G308">
        <f t="shared" ca="1" si="28"/>
        <v>-1.3628529222454782</v>
      </c>
      <c r="H308">
        <f t="shared" ca="1" si="28"/>
        <v>0.36581849168456249</v>
      </c>
      <c r="I308">
        <f t="shared" ca="1" si="29"/>
        <v>-1.3628529222454782</v>
      </c>
      <c r="J308">
        <f t="shared" ca="1" si="30"/>
        <v>-0.78017350318758294</v>
      </c>
      <c r="K308">
        <f t="shared" ca="1" si="31"/>
        <v>12.659507670006832</v>
      </c>
      <c r="L308">
        <f t="shared" ca="1" si="32"/>
        <v>16.271887047504933</v>
      </c>
      <c r="M308">
        <f t="shared" ca="1" si="33"/>
        <v>0</v>
      </c>
      <c r="N308">
        <f t="shared" ca="1" si="34"/>
        <v>0</v>
      </c>
    </row>
    <row r="309" spans="6:14" x14ac:dyDescent="0.75">
      <c r="F309">
        <v>304</v>
      </c>
      <c r="G309">
        <f t="shared" ca="1" si="28"/>
        <v>0.20867986536059793</v>
      </c>
      <c r="H309">
        <f t="shared" ca="1" si="28"/>
        <v>0.45089908297554276</v>
      </c>
      <c r="I309">
        <f t="shared" ca="1" si="29"/>
        <v>0.20867986536059793</v>
      </c>
      <c r="J309">
        <f t="shared" ca="1" si="30"/>
        <v>0.45475160900553946</v>
      </c>
      <c r="K309">
        <f t="shared" ca="1" si="31"/>
        <v>18.751837061611685</v>
      </c>
      <c r="L309">
        <f t="shared" ca="1" si="32"/>
        <v>22.157370072677608</v>
      </c>
      <c r="M309">
        <f t="shared" ca="1" si="33"/>
        <v>0.38360599395213768</v>
      </c>
      <c r="N309">
        <f t="shared" ca="1" si="34"/>
        <v>0.45460356714464467</v>
      </c>
    </row>
    <row r="310" spans="6:14" x14ac:dyDescent="0.75">
      <c r="F310">
        <v>305</v>
      </c>
      <c r="G310">
        <f t="shared" ca="1" si="28"/>
        <v>-0.91452331197860259</v>
      </c>
      <c r="H310">
        <f t="shared" ca="1" si="28"/>
        <v>-4.1547080536183681E-2</v>
      </c>
      <c r="I310">
        <f t="shared" ca="1" si="29"/>
        <v>-0.91452331197860259</v>
      </c>
      <c r="J310">
        <f t="shared" ca="1" si="30"/>
        <v>-0.71337329468383048</v>
      </c>
      <c r="K310">
        <f t="shared" ca="1" si="31"/>
        <v>14.160988992100926</v>
      </c>
      <c r="L310">
        <f t="shared" ca="1" si="32"/>
        <v>16.545910140821498</v>
      </c>
      <c r="M310">
        <f t="shared" ca="1" si="33"/>
        <v>0</v>
      </c>
      <c r="N310">
        <f t="shared" ca="1" si="34"/>
        <v>0</v>
      </c>
    </row>
    <row r="311" spans="6:14" x14ac:dyDescent="0.75">
      <c r="F311">
        <v>306</v>
      </c>
      <c r="G311">
        <f t="shared" ca="1" si="28"/>
        <v>-0.27954584723469456</v>
      </c>
      <c r="H311">
        <f t="shared" ca="1" si="28"/>
        <v>-1.9349594532339731</v>
      </c>
      <c r="I311">
        <f t="shared" ca="1" si="29"/>
        <v>-0.27954584723469456</v>
      </c>
      <c r="J311">
        <f t="shared" ca="1" si="30"/>
        <v>-1.4895147629886729</v>
      </c>
      <c r="K311">
        <f t="shared" ca="1" si="31"/>
        <v>16.59722140460881</v>
      </c>
      <c r="L311">
        <f t="shared" ca="1" si="32"/>
        <v>13.62768769081303</v>
      </c>
      <c r="M311">
        <f t="shared" ca="1" si="33"/>
        <v>0</v>
      </c>
      <c r="N311">
        <f t="shared" ca="1" si="34"/>
        <v>0</v>
      </c>
    </row>
    <row r="312" spans="6:14" x14ac:dyDescent="0.75">
      <c r="F312">
        <v>307</v>
      </c>
      <c r="G312">
        <f t="shared" ca="1" si="28"/>
        <v>-0.65527729417769753</v>
      </c>
      <c r="H312">
        <f t="shared" ca="1" si="28"/>
        <v>-2.3730909099283919E-2</v>
      </c>
      <c r="I312">
        <f t="shared" ca="1" si="29"/>
        <v>-0.65527729417769753</v>
      </c>
      <c r="J312">
        <f t="shared" ca="1" si="30"/>
        <v>-0.50715449159881942</v>
      </c>
      <c r="K312">
        <f t="shared" ca="1" si="31"/>
        <v>15.109178915703618</v>
      </c>
      <c r="L312">
        <f t="shared" ca="1" si="32"/>
        <v>17.421300960762139</v>
      </c>
      <c r="M312">
        <f t="shared" ca="1" si="33"/>
        <v>0</v>
      </c>
      <c r="N312">
        <f t="shared" ca="1" si="34"/>
        <v>0</v>
      </c>
    </row>
    <row r="313" spans="6:14" x14ac:dyDescent="0.75">
      <c r="F313">
        <v>308</v>
      </c>
      <c r="G313">
        <f t="shared" ca="1" si="28"/>
        <v>-1.1364555071133808</v>
      </c>
      <c r="H313">
        <f t="shared" ca="1" si="28"/>
        <v>0.84231678527949538</v>
      </c>
      <c r="I313">
        <f t="shared" ca="1" si="29"/>
        <v>-1.1364555071133808</v>
      </c>
      <c r="J313">
        <f t="shared" ca="1" si="30"/>
        <v>-0.29520144558880157</v>
      </c>
      <c r="K313">
        <f t="shared" ca="1" si="31"/>
        <v>13.396692941907265</v>
      </c>
      <c r="L313">
        <f t="shared" ca="1" si="32"/>
        <v>18.369320560084947</v>
      </c>
      <c r="M313">
        <f t="shared" ca="1" si="33"/>
        <v>0</v>
      </c>
      <c r="N313">
        <f t="shared" ca="1" si="34"/>
        <v>0</v>
      </c>
    </row>
    <row r="314" spans="6:14" x14ac:dyDescent="0.75">
      <c r="F314">
        <v>309</v>
      </c>
      <c r="G314">
        <f t="shared" ca="1" si="28"/>
        <v>1.3877485307512265</v>
      </c>
      <c r="H314">
        <f t="shared" ca="1" si="28"/>
        <v>-0.8040084721705073</v>
      </c>
      <c r="I314">
        <f t="shared" ca="1" si="29"/>
        <v>1.3877485307512265</v>
      </c>
      <c r="J314">
        <f t="shared" ca="1" si="30"/>
        <v>0.50900978072538039</v>
      </c>
      <c r="K314">
        <f t="shared" ca="1" si="31"/>
        <v>25.180223145337209</v>
      </c>
      <c r="L314">
        <f t="shared" ca="1" si="32"/>
        <v>22.459972361303379</v>
      </c>
      <c r="M314">
        <f t="shared" ca="1" si="33"/>
        <v>3.7812345326252021</v>
      </c>
      <c r="N314">
        <f t="shared" ca="1" si="34"/>
        <v>3.8200977533202938</v>
      </c>
    </row>
    <row r="315" spans="6:14" x14ac:dyDescent="0.75">
      <c r="F315">
        <v>310</v>
      </c>
      <c r="G315">
        <f t="shared" ca="1" si="28"/>
        <v>-0.19910190201004477</v>
      </c>
      <c r="H315">
        <f t="shared" ca="1" si="28"/>
        <v>1.189452443540628</v>
      </c>
      <c r="I315">
        <f t="shared" ca="1" si="29"/>
        <v>-0.19910190201004477</v>
      </c>
      <c r="J315">
        <f t="shared" ca="1" si="30"/>
        <v>0.63742241397911581</v>
      </c>
      <c r="K315">
        <f t="shared" ca="1" si="31"/>
        <v>16.934386898456953</v>
      </c>
      <c r="L315">
        <f t="shared" ca="1" si="32"/>
        <v>23.192707028855992</v>
      </c>
      <c r="M315">
        <f t="shared" ca="1" si="33"/>
        <v>0</v>
      </c>
      <c r="N315">
        <f t="shared" ca="1" si="34"/>
        <v>6.3546963656470723E-2</v>
      </c>
    </row>
    <row r="316" spans="6:14" x14ac:dyDescent="0.75">
      <c r="F316">
        <v>311</v>
      </c>
      <c r="G316">
        <f t="shared" ca="1" si="28"/>
        <v>-1.3768136075332149</v>
      </c>
      <c r="H316">
        <f t="shared" ca="1" si="28"/>
        <v>-0.35437095484246262</v>
      </c>
      <c r="I316">
        <f t="shared" ca="1" si="29"/>
        <v>-1.3768136075332149</v>
      </c>
      <c r="J316">
        <f t="shared" ca="1" si="30"/>
        <v>-1.2670045602443252</v>
      </c>
      <c r="K316">
        <f t="shared" ca="1" si="31"/>
        <v>12.615400834366786</v>
      </c>
      <c r="L316">
        <f t="shared" ca="1" si="32"/>
        <v>14.407243968958527</v>
      </c>
      <c r="M316">
        <f t="shared" ca="1" si="33"/>
        <v>0</v>
      </c>
      <c r="N316">
        <f t="shared" ca="1" si="34"/>
        <v>0</v>
      </c>
    </row>
    <row r="317" spans="6:14" x14ac:dyDescent="0.75">
      <c r="F317">
        <v>312</v>
      </c>
      <c r="G317">
        <f t="shared" ca="1" si="28"/>
        <v>-0.24337613962081484</v>
      </c>
      <c r="H317">
        <f t="shared" ca="1" si="28"/>
        <v>-0.46934561394751262</v>
      </c>
      <c r="I317">
        <f t="shared" ca="1" si="29"/>
        <v>-0.24337613962081484</v>
      </c>
      <c r="J317">
        <f t="shared" ca="1" si="30"/>
        <v>-0.49297504807662285</v>
      </c>
      <c r="K317">
        <f t="shared" ca="1" si="31"/>
        <v>16.747981155731509</v>
      </c>
      <c r="L317">
        <f t="shared" ca="1" si="32"/>
        <v>17.483166636849866</v>
      </c>
      <c r="M317">
        <f t="shared" ca="1" si="33"/>
        <v>0</v>
      </c>
      <c r="N317">
        <f t="shared" ca="1" si="34"/>
        <v>0</v>
      </c>
    </row>
    <row r="318" spans="6:14" x14ac:dyDescent="0.75">
      <c r="F318">
        <v>313</v>
      </c>
      <c r="G318">
        <f t="shared" ca="1" si="28"/>
        <v>-0.64928403617032737</v>
      </c>
      <c r="H318">
        <f t="shared" ca="1" si="28"/>
        <v>-9.0677962006366422E-3</v>
      </c>
      <c r="I318">
        <f t="shared" ca="1" si="29"/>
        <v>-0.64928403617032737</v>
      </c>
      <c r="J318">
        <f t="shared" ca="1" si="30"/>
        <v>-0.49296081054932078</v>
      </c>
      <c r="K318">
        <f t="shared" ca="1" si="31"/>
        <v>15.131834185705422</v>
      </c>
      <c r="L318">
        <f t="shared" ca="1" si="32"/>
        <v>17.483228866226192</v>
      </c>
      <c r="M318">
        <f t="shared" ca="1" si="33"/>
        <v>0</v>
      </c>
      <c r="N318">
        <f t="shared" ca="1" si="34"/>
        <v>0</v>
      </c>
    </row>
    <row r="319" spans="6:14" x14ac:dyDescent="0.75">
      <c r="F319">
        <v>314</v>
      </c>
      <c r="G319">
        <f t="shared" ca="1" si="28"/>
        <v>0.50025274661144636</v>
      </c>
      <c r="H319">
        <f t="shared" ca="1" si="28"/>
        <v>-0.54442500614308187</v>
      </c>
      <c r="I319">
        <f t="shared" ca="1" si="29"/>
        <v>0.50025274661144636</v>
      </c>
      <c r="J319">
        <f t="shared" ca="1" si="30"/>
        <v>1.5086266513733071E-2</v>
      </c>
      <c r="K319">
        <f t="shared" ca="1" si="31"/>
        <v>20.169769913709558</v>
      </c>
      <c r="L319">
        <f t="shared" ca="1" si="32"/>
        <v>19.850989210674602</v>
      </c>
      <c r="M319">
        <f t="shared" ca="1" si="33"/>
        <v>9.744749467387237E-3</v>
      </c>
      <c r="N319">
        <f t="shared" ca="1" si="34"/>
        <v>1.037956219207814E-2</v>
      </c>
    </row>
    <row r="320" spans="6:14" x14ac:dyDescent="0.75">
      <c r="F320">
        <v>315</v>
      </c>
      <c r="G320">
        <f t="shared" ca="1" si="28"/>
        <v>-0.70645201612027753</v>
      </c>
      <c r="H320">
        <f t="shared" ca="1" si="28"/>
        <v>0.99316367958700547</v>
      </c>
      <c r="I320">
        <f t="shared" ca="1" si="29"/>
        <v>-0.70645201612027753</v>
      </c>
      <c r="J320">
        <f t="shared" ca="1" si="30"/>
        <v>0.12707701475205513</v>
      </c>
      <c r="K320">
        <f t="shared" ca="1" si="31"/>
        <v>14.917108173916123</v>
      </c>
      <c r="L320">
        <f t="shared" ca="1" si="32"/>
        <v>20.41462441788946</v>
      </c>
      <c r="M320">
        <f t="shared" ca="1" si="33"/>
        <v>0</v>
      </c>
      <c r="N320">
        <f t="shared" ca="1" si="34"/>
        <v>0</v>
      </c>
    </row>
    <row r="321" spans="6:14" x14ac:dyDescent="0.75">
      <c r="F321">
        <v>316</v>
      </c>
      <c r="G321">
        <f t="shared" ca="1" si="28"/>
        <v>-0.74924687321101213</v>
      </c>
      <c r="H321">
        <f t="shared" ca="1" si="28"/>
        <v>0.32151222004778052</v>
      </c>
      <c r="I321">
        <f t="shared" ca="1" si="29"/>
        <v>-0.74924687321101213</v>
      </c>
      <c r="J321">
        <f t="shared" ca="1" si="30"/>
        <v>-0.34927481047958342</v>
      </c>
      <c r="K321">
        <f t="shared" ca="1" si="31"/>
        <v>14.758364983980083</v>
      </c>
      <c r="L321">
        <f t="shared" ca="1" si="32"/>
        <v>18.122668734692905</v>
      </c>
      <c r="M321">
        <f t="shared" ca="1" si="33"/>
        <v>0</v>
      </c>
      <c r="N321">
        <f t="shared" ca="1" si="34"/>
        <v>0</v>
      </c>
    </row>
    <row r="322" spans="6:14" x14ac:dyDescent="0.75">
      <c r="F322">
        <v>317</v>
      </c>
      <c r="G322">
        <f t="shared" ca="1" si="28"/>
        <v>0.87563063076763026</v>
      </c>
      <c r="H322">
        <f t="shared" ca="1" si="28"/>
        <v>0.32838905305172528</v>
      </c>
      <c r="I322">
        <f t="shared" ca="1" si="29"/>
        <v>0.87563063076763026</v>
      </c>
      <c r="J322">
        <f t="shared" ca="1" si="30"/>
        <v>0.87393191498843814</v>
      </c>
      <c r="K322">
        <f t="shared" ca="1" si="31"/>
        <v>22.154251415947851</v>
      </c>
      <c r="L322">
        <f t="shared" ca="1" si="32"/>
        <v>24.605383299261131</v>
      </c>
      <c r="M322">
        <f t="shared" ca="1" si="33"/>
        <v>3.3476732844537551</v>
      </c>
      <c r="N322">
        <f t="shared" ca="1" si="34"/>
        <v>3.379817357604491</v>
      </c>
    </row>
    <row r="323" spans="6:14" x14ac:dyDescent="0.75">
      <c r="F323">
        <v>318</v>
      </c>
      <c r="G323">
        <f t="shared" ca="1" si="28"/>
        <v>0.30168062396465767</v>
      </c>
      <c r="H323">
        <f t="shared" ca="1" si="28"/>
        <v>2.3128927317907091</v>
      </c>
      <c r="I323">
        <f t="shared" ca="1" si="29"/>
        <v>0.30168062396465767</v>
      </c>
      <c r="J323">
        <f t="shared" ca="1" si="30"/>
        <v>1.7560952123452511</v>
      </c>
      <c r="K323">
        <f t="shared" ca="1" si="31"/>
        <v>19.192928691680713</v>
      </c>
      <c r="L323">
        <f t="shared" ca="1" si="32"/>
        <v>30.676781841128658</v>
      </c>
      <c r="M323">
        <f t="shared" ca="1" si="33"/>
        <v>4.2647333875117646</v>
      </c>
      <c r="N323">
        <f t="shared" ca="1" si="34"/>
        <v>4.9348552664046856</v>
      </c>
    </row>
    <row r="324" spans="6:14" x14ac:dyDescent="0.75">
      <c r="F324">
        <v>319</v>
      </c>
      <c r="G324">
        <f t="shared" ca="1" si="28"/>
        <v>0.47700355885663431</v>
      </c>
      <c r="H324">
        <f t="shared" ca="1" si="28"/>
        <v>1.6524748464969512</v>
      </c>
      <c r="I324">
        <f t="shared" ca="1" si="29"/>
        <v>0.47700355885663431</v>
      </c>
      <c r="J324">
        <f t="shared" ca="1" si="30"/>
        <v>1.4507620420476175</v>
      </c>
      <c r="K324">
        <f t="shared" ca="1" si="31"/>
        <v>20.052877258277299</v>
      </c>
      <c r="L324">
        <f t="shared" ca="1" si="32"/>
        <v>28.422264067079233</v>
      </c>
      <c r="M324">
        <f t="shared" ca="1" si="33"/>
        <v>3.8735873454218286</v>
      </c>
      <c r="N324">
        <f t="shared" ca="1" si="34"/>
        <v>4.2375706626782659</v>
      </c>
    </row>
    <row r="325" spans="6:14" x14ac:dyDescent="0.75">
      <c r="F325">
        <v>320</v>
      </c>
      <c r="G325">
        <f t="shared" ca="1" si="28"/>
        <v>1.0180013553573319</v>
      </c>
      <c r="H325">
        <f t="shared" ca="1" si="28"/>
        <v>-0.80321438974033721</v>
      </c>
      <c r="I325">
        <f t="shared" ca="1" si="29"/>
        <v>1.0180013553573319</v>
      </c>
      <c r="J325">
        <f t="shared" ca="1" si="30"/>
        <v>0.23222463533763837</v>
      </c>
      <c r="K325">
        <f t="shared" ca="1" si="31"/>
        <v>22.956981538953674</v>
      </c>
      <c r="L325">
        <f t="shared" ca="1" si="32"/>
        <v>20.958377191554778</v>
      </c>
      <c r="M325">
        <f t="shared" ca="1" si="33"/>
        <v>1.9349282714339147</v>
      </c>
      <c r="N325">
        <f t="shared" ca="1" si="34"/>
        <v>1.9576793652542257</v>
      </c>
    </row>
    <row r="326" spans="6:14" x14ac:dyDescent="0.75">
      <c r="F326">
        <v>321</v>
      </c>
      <c r="G326">
        <f t="shared" ca="1" si="28"/>
        <v>-0.98513450822404847</v>
      </c>
      <c r="H326">
        <f t="shared" ca="1" si="28"/>
        <v>0.46299645550387375</v>
      </c>
      <c r="I326">
        <f t="shared" ca="1" si="29"/>
        <v>-0.98513450822404847</v>
      </c>
      <c r="J326">
        <f t="shared" ca="1" si="30"/>
        <v>-0.43260751137612824</v>
      </c>
      <c r="K326">
        <f t="shared" ca="1" si="31"/>
        <v>13.913201405773252</v>
      </c>
      <c r="L326">
        <f t="shared" ca="1" si="32"/>
        <v>17.749021643210344</v>
      </c>
      <c r="M326">
        <f t="shared" ca="1" si="33"/>
        <v>0</v>
      </c>
      <c r="N326">
        <f t="shared" ca="1" si="34"/>
        <v>0</v>
      </c>
    </row>
    <row r="327" spans="6:14" x14ac:dyDescent="0.75">
      <c r="F327">
        <v>322</v>
      </c>
      <c r="G327">
        <f t="shared" ref="G327:H390" ca="1" si="35">NORMSINV(RAND())</f>
        <v>1.3528090484935771</v>
      </c>
      <c r="H327">
        <f t="shared" ca="1" si="35"/>
        <v>0.18478767479088673</v>
      </c>
      <c r="I327">
        <f t="shared" ref="I327:I390" ca="1" si="36">G327</f>
        <v>1.3528090484935771</v>
      </c>
      <c r="J327">
        <f t="shared" ref="J327:J390" ca="1" si="37">G327*$C$8+SQRT(1-$C$8^2)*H327</f>
        <v>1.1368323445818243</v>
      </c>
      <c r="K327">
        <f t="shared" ref="K327:K390" ca="1" si="38">C$3*EXP(($C$5-0.5*C$4^2)*$C$6+C$4*SQRT($C$6)*I327)</f>
        <v>24.961234964448185</v>
      </c>
      <c r="L327">
        <f t="shared" ref="L327:L390" ca="1" si="39">D$3*EXP(($C$5-0.5*D$4^2)*$C$6+D$4*SQRT($C$6)*J327)</f>
        <v>26.276903507101746</v>
      </c>
      <c r="M327">
        <f t="shared" ref="M327:M390" ca="1" si="40">MAX(SQRT(K327*L327)-$C$7,0)</f>
        <v>5.6106220654418948</v>
      </c>
      <c r="N327">
        <f t="shared" ref="N327:N390" ca="1" si="41">MAX((K327+L327)*0.5-$C$7,0)</f>
        <v>5.6190692357749654</v>
      </c>
    </row>
    <row r="328" spans="6:14" x14ac:dyDescent="0.75">
      <c r="F328">
        <v>323</v>
      </c>
      <c r="G328">
        <f t="shared" ca="1" si="35"/>
        <v>0.8801271526718516</v>
      </c>
      <c r="H328">
        <f t="shared" ca="1" si="35"/>
        <v>-0.41955398875060423</v>
      </c>
      <c r="I328">
        <f t="shared" ca="1" si="36"/>
        <v>0.8801271526718516</v>
      </c>
      <c r="J328">
        <f t="shared" ca="1" si="37"/>
        <v>0.38258648555406632</v>
      </c>
      <c r="K328">
        <f t="shared" ca="1" si="38"/>
        <v>22.179169688209303</v>
      </c>
      <c r="L328">
        <f t="shared" ca="1" si="39"/>
        <v>21.761207124976785</v>
      </c>
      <c r="M328">
        <f t="shared" ca="1" si="40"/>
        <v>1.9691944650942865</v>
      </c>
      <c r="N328">
        <f t="shared" ca="1" si="41"/>
        <v>1.9701884065930457</v>
      </c>
    </row>
    <row r="329" spans="6:14" x14ac:dyDescent="0.75">
      <c r="F329">
        <v>324</v>
      </c>
      <c r="G329">
        <f t="shared" ca="1" si="35"/>
        <v>0.43693029713905102</v>
      </c>
      <c r="H329">
        <f t="shared" ca="1" si="35"/>
        <v>0.55729591616916607</v>
      </c>
      <c r="I329">
        <f t="shared" ca="1" si="36"/>
        <v>0.43693029713905102</v>
      </c>
      <c r="J329">
        <f t="shared" ca="1" si="37"/>
        <v>0.69631432306816654</v>
      </c>
      <c r="K329">
        <f t="shared" ca="1" si="38"/>
        <v>19.852984176490018</v>
      </c>
      <c r="L329">
        <f t="shared" ca="1" si="39"/>
        <v>23.536698805086349</v>
      </c>
      <c r="M329">
        <f t="shared" ca="1" si="40"/>
        <v>1.6165147270366127</v>
      </c>
      <c r="N329">
        <f t="shared" ca="1" si="41"/>
        <v>1.6948414907881855</v>
      </c>
    </row>
    <row r="330" spans="6:14" x14ac:dyDescent="0.75">
      <c r="F330">
        <v>325</v>
      </c>
      <c r="G330">
        <f t="shared" ca="1" si="35"/>
        <v>-4.9485004811676336E-2</v>
      </c>
      <c r="H330">
        <f t="shared" ca="1" si="35"/>
        <v>0.61894120756952109</v>
      </c>
      <c r="I330">
        <f t="shared" ca="1" si="36"/>
        <v>-4.9485004811676336E-2</v>
      </c>
      <c r="J330">
        <f t="shared" ca="1" si="37"/>
        <v>0.37227737424098312</v>
      </c>
      <c r="K330">
        <f t="shared" ca="1" si="38"/>
        <v>17.579799842928107</v>
      </c>
      <c r="L330">
        <f t="shared" ca="1" si="39"/>
        <v>21.705194659184851</v>
      </c>
      <c r="M330">
        <f t="shared" ca="1" si="40"/>
        <v>0</v>
      </c>
      <c r="N330">
        <f t="shared" ca="1" si="41"/>
        <v>0</v>
      </c>
    </row>
    <row r="331" spans="6:14" x14ac:dyDescent="0.75">
      <c r="F331">
        <v>326</v>
      </c>
      <c r="G331">
        <f t="shared" ca="1" si="35"/>
        <v>0.55062182587916708</v>
      </c>
      <c r="H331">
        <f t="shared" ca="1" si="35"/>
        <v>1.6027145458256007</v>
      </c>
      <c r="I331">
        <f t="shared" ca="1" si="36"/>
        <v>0.55062182587916708</v>
      </c>
      <c r="J331">
        <f t="shared" ca="1" si="37"/>
        <v>1.4730623971294685</v>
      </c>
      <c r="K331">
        <f t="shared" ca="1" si="38"/>
        <v>20.425358944340218</v>
      </c>
      <c r="L331">
        <f t="shared" ca="1" si="39"/>
        <v>28.581163239235874</v>
      </c>
      <c r="M331">
        <f t="shared" ca="1" si="40"/>
        <v>4.1615504098593448</v>
      </c>
      <c r="N331">
        <f t="shared" ca="1" si="41"/>
        <v>4.5032610917880476</v>
      </c>
    </row>
    <row r="332" spans="6:14" x14ac:dyDescent="0.75">
      <c r="F332">
        <v>327</v>
      </c>
      <c r="G332">
        <f t="shared" ca="1" si="35"/>
        <v>-1.1660625967706195</v>
      </c>
      <c r="H332">
        <f t="shared" ca="1" si="35"/>
        <v>0.81527346239415166</v>
      </c>
      <c r="I332">
        <f t="shared" ca="1" si="36"/>
        <v>-1.1660625967706195</v>
      </c>
      <c r="J332">
        <f t="shared" ca="1" si="37"/>
        <v>-0.33529423957659077</v>
      </c>
      <c r="K332">
        <f t="shared" ca="1" si="38"/>
        <v>13.297899743075668</v>
      </c>
      <c r="L332">
        <f t="shared" ca="1" si="39"/>
        <v>18.186120871034113</v>
      </c>
      <c r="M332">
        <f t="shared" ca="1" si="40"/>
        <v>0</v>
      </c>
      <c r="N332">
        <f t="shared" ca="1" si="41"/>
        <v>0</v>
      </c>
    </row>
    <row r="333" spans="6:14" x14ac:dyDescent="0.75">
      <c r="F333">
        <v>328</v>
      </c>
      <c r="G333">
        <f t="shared" ca="1" si="35"/>
        <v>2.3014596341409734</v>
      </c>
      <c r="H333">
        <f t="shared" ca="1" si="35"/>
        <v>-0.15222523391470699</v>
      </c>
      <c r="I333">
        <f t="shared" ca="1" si="36"/>
        <v>2.3014596341409734</v>
      </c>
      <c r="J333">
        <f t="shared" ca="1" si="37"/>
        <v>1.6254071975539925</v>
      </c>
      <c r="K333">
        <f t="shared" ca="1" si="38"/>
        <v>31.642041590415658</v>
      </c>
      <c r="L333">
        <f t="shared" ca="1" si="39"/>
        <v>29.69070616031059</v>
      </c>
      <c r="M333">
        <f t="shared" ca="1" si="40"/>
        <v>10.650849240654949</v>
      </c>
      <c r="N333">
        <f t="shared" ca="1" si="41"/>
        <v>10.666373875363124</v>
      </c>
    </row>
    <row r="334" spans="6:14" x14ac:dyDescent="0.75">
      <c r="F334">
        <v>329</v>
      </c>
      <c r="G334">
        <f t="shared" ca="1" si="35"/>
        <v>0.71721946993698815</v>
      </c>
      <c r="H334">
        <f t="shared" ca="1" si="35"/>
        <v>0.54916831040943526</v>
      </c>
      <c r="I334">
        <f t="shared" ca="1" si="36"/>
        <v>0.71721946993698815</v>
      </c>
      <c r="J334">
        <f t="shared" ca="1" si="37"/>
        <v>0.90115529676796347</v>
      </c>
      <c r="K334">
        <f t="shared" ca="1" si="38"/>
        <v>21.294027309316924</v>
      </c>
      <c r="L334">
        <f t="shared" ca="1" si="39"/>
        <v>24.773414885014347</v>
      </c>
      <c r="M334">
        <f t="shared" ca="1" si="40"/>
        <v>2.9679292298311886</v>
      </c>
      <c r="N334">
        <f t="shared" ca="1" si="41"/>
        <v>3.0337210971656354</v>
      </c>
    </row>
    <row r="335" spans="6:14" x14ac:dyDescent="0.75">
      <c r="F335">
        <v>330</v>
      </c>
      <c r="G335">
        <f t="shared" ca="1" si="35"/>
        <v>0.70687857214518113</v>
      </c>
      <c r="H335">
        <f t="shared" ca="1" si="35"/>
        <v>1.0845827318537757</v>
      </c>
      <c r="I335">
        <f t="shared" ca="1" si="36"/>
        <v>0.70687857214518113</v>
      </c>
      <c r="J335">
        <f t="shared" ca="1" si="37"/>
        <v>1.2475429752989213</v>
      </c>
      <c r="K335">
        <f t="shared" ca="1" si="38"/>
        <v>21.23904856613736</v>
      </c>
      <c r="L335">
        <f t="shared" ca="1" si="39"/>
        <v>27.014344896427069</v>
      </c>
      <c r="M335">
        <f t="shared" ca="1" si="40"/>
        <v>3.9532666506595575</v>
      </c>
      <c r="N335">
        <f t="shared" ca="1" si="41"/>
        <v>4.126696731282216</v>
      </c>
    </row>
    <row r="336" spans="6:14" x14ac:dyDescent="0.75">
      <c r="F336">
        <v>331</v>
      </c>
      <c r="G336">
        <f t="shared" ca="1" si="35"/>
        <v>-0.57369745969746755</v>
      </c>
      <c r="H336">
        <f t="shared" ca="1" si="35"/>
        <v>-0.1751416464968468</v>
      </c>
      <c r="I336">
        <f t="shared" ca="1" si="36"/>
        <v>-0.57369745969746755</v>
      </c>
      <c r="J336">
        <f t="shared" ca="1" si="37"/>
        <v>-0.54611840498336151</v>
      </c>
      <c r="K336">
        <f t="shared" ca="1" si="38"/>
        <v>15.420493830887978</v>
      </c>
      <c r="L336">
        <f t="shared" ca="1" si="39"/>
        <v>17.252424292668504</v>
      </c>
      <c r="M336">
        <f t="shared" ca="1" si="40"/>
        <v>0</v>
      </c>
      <c r="N336">
        <f t="shared" ca="1" si="41"/>
        <v>0</v>
      </c>
    </row>
    <row r="337" spans="6:14" x14ac:dyDescent="0.75">
      <c r="F337">
        <v>332</v>
      </c>
      <c r="G337">
        <f t="shared" ca="1" si="35"/>
        <v>1.2669003429590999</v>
      </c>
      <c r="H337">
        <f t="shared" ca="1" si="35"/>
        <v>0.64429012781307526</v>
      </c>
      <c r="I337">
        <f t="shared" ca="1" si="36"/>
        <v>1.2669003429590999</v>
      </c>
      <c r="J337">
        <f t="shared" ca="1" si="37"/>
        <v>1.376333119811179</v>
      </c>
      <c r="K337">
        <f t="shared" ca="1" si="38"/>
        <v>24.43085404781645</v>
      </c>
      <c r="L337">
        <f t="shared" ca="1" si="39"/>
        <v>27.89829437669454</v>
      </c>
      <c r="M337">
        <f t="shared" ca="1" si="40"/>
        <v>6.1070710364077954</v>
      </c>
      <c r="N337">
        <f t="shared" ca="1" si="41"/>
        <v>6.164574212255495</v>
      </c>
    </row>
    <row r="338" spans="6:14" x14ac:dyDescent="0.75">
      <c r="F338">
        <v>333</v>
      </c>
      <c r="G338">
        <f t="shared" ca="1" si="35"/>
        <v>0.13010576781269484</v>
      </c>
      <c r="H338">
        <f t="shared" ca="1" si="35"/>
        <v>-0.1670091069751731</v>
      </c>
      <c r="I338">
        <f t="shared" ca="1" si="36"/>
        <v>0.13010576781269484</v>
      </c>
      <c r="J338">
        <f t="shared" ca="1" si="37"/>
        <v>-1.2886815075301553E-2</v>
      </c>
      <c r="K338">
        <f t="shared" ca="1" si="38"/>
        <v>18.387079187052173</v>
      </c>
      <c r="L338">
        <f t="shared" ca="1" si="39"/>
        <v>19.712650160461997</v>
      </c>
      <c r="M338">
        <f t="shared" ca="1" si="40"/>
        <v>0</v>
      </c>
      <c r="N338">
        <f t="shared" ca="1" si="41"/>
        <v>0</v>
      </c>
    </row>
    <row r="339" spans="6:14" x14ac:dyDescent="0.75">
      <c r="F339">
        <v>334</v>
      </c>
      <c r="G339">
        <f t="shared" ca="1" si="35"/>
        <v>1.0301042199892916</v>
      </c>
      <c r="H339">
        <f t="shared" ca="1" si="35"/>
        <v>1.4899851055959961</v>
      </c>
      <c r="I339">
        <f t="shared" ca="1" si="36"/>
        <v>1.0301042199892916</v>
      </c>
      <c r="J339">
        <f t="shared" ca="1" si="37"/>
        <v>1.7581106766412984</v>
      </c>
      <c r="K339">
        <f t="shared" ca="1" si="38"/>
        <v>23.026548040104863</v>
      </c>
      <c r="L339">
        <f t="shared" ca="1" si="39"/>
        <v>30.692242725538726</v>
      </c>
      <c r="M339">
        <f t="shared" ca="1" si="40"/>
        <v>6.5845143190199451</v>
      </c>
      <c r="N339">
        <f t="shared" ca="1" si="41"/>
        <v>6.8593953828217948</v>
      </c>
    </row>
    <row r="340" spans="6:14" x14ac:dyDescent="0.75">
      <c r="F340">
        <v>335</v>
      </c>
      <c r="G340">
        <f t="shared" ca="1" si="35"/>
        <v>-1.2262326908248966</v>
      </c>
      <c r="H340">
        <f t="shared" ca="1" si="35"/>
        <v>-2.0665973769864134</v>
      </c>
      <c r="I340">
        <f t="shared" ca="1" si="36"/>
        <v>-1.2262326908248966</v>
      </c>
      <c r="J340">
        <f t="shared" ca="1" si="37"/>
        <v>-2.2866001980197845</v>
      </c>
      <c r="K340">
        <f t="shared" ca="1" si="38"/>
        <v>13.099362765774394</v>
      </c>
      <c r="L340">
        <f t="shared" ca="1" si="39"/>
        <v>11.165539715265531</v>
      </c>
      <c r="M340">
        <f t="shared" ca="1" si="40"/>
        <v>0</v>
      </c>
      <c r="N340">
        <f t="shared" ca="1" si="41"/>
        <v>0</v>
      </c>
    </row>
    <row r="341" spans="6:14" x14ac:dyDescent="0.75">
      <c r="F341">
        <v>336</v>
      </c>
      <c r="G341">
        <f t="shared" ca="1" si="35"/>
        <v>-0.55358602895337372</v>
      </c>
      <c r="H341">
        <f t="shared" ca="1" si="35"/>
        <v>-0.1919296021866361</v>
      </c>
      <c r="I341">
        <f t="shared" ca="1" si="36"/>
        <v>-0.55358602895337372</v>
      </c>
      <c r="J341">
        <f t="shared" ca="1" si="37"/>
        <v>-0.54213902086937971</v>
      </c>
      <c r="K341">
        <f t="shared" ca="1" si="38"/>
        <v>15.498221116441707</v>
      </c>
      <c r="L341">
        <f t="shared" ca="1" si="39"/>
        <v>17.269596338812647</v>
      </c>
      <c r="M341">
        <f t="shared" ca="1" si="40"/>
        <v>0</v>
      </c>
      <c r="N341">
        <f t="shared" ca="1" si="41"/>
        <v>0</v>
      </c>
    </row>
    <row r="342" spans="6:14" x14ac:dyDescent="0.75">
      <c r="F342">
        <v>337</v>
      </c>
      <c r="G342">
        <f t="shared" ca="1" si="35"/>
        <v>-1.6745807562625541</v>
      </c>
      <c r="H342">
        <f t="shared" ca="1" si="35"/>
        <v>0.43905935655117401</v>
      </c>
      <c r="I342">
        <f t="shared" ca="1" si="36"/>
        <v>-1.6745807562625541</v>
      </c>
      <c r="J342">
        <f t="shared" ca="1" si="37"/>
        <v>-0.96552510013930459</v>
      </c>
      <c r="K342">
        <f t="shared" ca="1" si="38"/>
        <v>11.710391017724985</v>
      </c>
      <c r="L342">
        <f t="shared" ca="1" si="39"/>
        <v>15.53508475412918</v>
      </c>
      <c r="M342">
        <f t="shared" ca="1" si="40"/>
        <v>0</v>
      </c>
      <c r="N342">
        <f t="shared" ca="1" si="41"/>
        <v>0</v>
      </c>
    </row>
    <row r="343" spans="6:14" x14ac:dyDescent="0.75">
      <c r="F343">
        <v>338</v>
      </c>
      <c r="G343">
        <f t="shared" ca="1" si="35"/>
        <v>0.60067413016180127</v>
      </c>
      <c r="H343">
        <f t="shared" ca="1" si="35"/>
        <v>-5.0761119062611593E-3</v>
      </c>
      <c r="I343">
        <f t="shared" ca="1" si="36"/>
        <v>0.60067413016180127</v>
      </c>
      <c r="J343">
        <f t="shared" ca="1" si="37"/>
        <v>0.44714806518857569</v>
      </c>
      <c r="K343">
        <f t="shared" ca="1" si="38"/>
        <v>20.682548776722683</v>
      </c>
      <c r="L343">
        <f t="shared" ca="1" si="39"/>
        <v>22.11529144513004</v>
      </c>
      <c r="M343">
        <f t="shared" ca="1" si="40"/>
        <v>1.3869257731292457</v>
      </c>
      <c r="N343">
        <f t="shared" ca="1" si="41"/>
        <v>1.3989201109263618</v>
      </c>
    </row>
    <row r="344" spans="6:14" x14ac:dyDescent="0.75">
      <c r="F344">
        <v>339</v>
      </c>
      <c r="G344">
        <f t="shared" ca="1" si="35"/>
        <v>-0.44303188739014687</v>
      </c>
      <c r="H344">
        <f t="shared" ca="1" si="35"/>
        <v>-1.3771951847913426</v>
      </c>
      <c r="I344">
        <f t="shared" ca="1" si="36"/>
        <v>-0.44303188739014687</v>
      </c>
      <c r="J344">
        <f t="shared" ca="1" si="37"/>
        <v>-1.2432029069809942</v>
      </c>
      <c r="K344">
        <f t="shared" ca="1" si="38"/>
        <v>15.93254362073241</v>
      </c>
      <c r="L344">
        <f t="shared" ca="1" si="39"/>
        <v>14.493228593636037</v>
      </c>
      <c r="M344">
        <f t="shared" ca="1" si="40"/>
        <v>0</v>
      </c>
      <c r="N344">
        <f t="shared" ca="1" si="41"/>
        <v>0</v>
      </c>
    </row>
    <row r="345" spans="6:14" x14ac:dyDescent="0.75">
      <c r="F345">
        <v>340</v>
      </c>
      <c r="G345">
        <f t="shared" ca="1" si="35"/>
        <v>0.24914359900916525</v>
      </c>
      <c r="H345">
        <f t="shared" ca="1" si="35"/>
        <v>-0.7651112170465908</v>
      </c>
      <c r="I345">
        <f t="shared" ca="1" si="36"/>
        <v>0.24914359900916525</v>
      </c>
      <c r="J345">
        <f t="shared" ca="1" si="37"/>
        <v>-0.3192158021459367</v>
      </c>
      <c r="K345">
        <f t="shared" ca="1" si="38"/>
        <v>18.942492097665433</v>
      </c>
      <c r="L345">
        <f t="shared" ca="1" si="39"/>
        <v>18.259369088653234</v>
      </c>
      <c r="M345">
        <f t="shared" ca="1" si="40"/>
        <v>0</v>
      </c>
      <c r="N345">
        <f t="shared" ca="1" si="41"/>
        <v>0</v>
      </c>
    </row>
    <row r="346" spans="6:14" x14ac:dyDescent="0.75">
      <c r="F346">
        <v>341</v>
      </c>
      <c r="G346">
        <f t="shared" ca="1" si="35"/>
        <v>0.13903926998169736</v>
      </c>
      <c r="H346">
        <f t="shared" ca="1" si="35"/>
        <v>2.5539401465275156E-3</v>
      </c>
      <c r="I346">
        <f t="shared" ca="1" si="36"/>
        <v>0.13903926998169736</v>
      </c>
      <c r="J346">
        <f t="shared" ca="1" si="37"/>
        <v>0.10596872510903693</v>
      </c>
      <c r="K346">
        <f t="shared" ca="1" si="38"/>
        <v>18.428190331225501</v>
      </c>
      <c r="L346">
        <f t="shared" ca="1" si="39"/>
        <v>20.30717871531526</v>
      </c>
      <c r="M346">
        <f t="shared" ca="1" si="40"/>
        <v>0</v>
      </c>
      <c r="N346">
        <f t="shared" ca="1" si="41"/>
        <v>0</v>
      </c>
    </row>
    <row r="347" spans="6:14" x14ac:dyDescent="0.75">
      <c r="F347">
        <v>342</v>
      </c>
      <c r="G347">
        <f t="shared" ca="1" si="35"/>
        <v>-0.41148390018428255</v>
      </c>
      <c r="H347">
        <f t="shared" ca="1" si="35"/>
        <v>1.9891290212237909</v>
      </c>
      <c r="I347">
        <f t="shared" ca="1" si="36"/>
        <v>-0.41148390018428255</v>
      </c>
      <c r="J347">
        <f t="shared" ca="1" si="37"/>
        <v>1.0070722538066559</v>
      </c>
      <c r="K347">
        <f t="shared" ca="1" si="38"/>
        <v>16.058700386350306</v>
      </c>
      <c r="L347">
        <f t="shared" ca="1" si="39"/>
        <v>25.438158173374461</v>
      </c>
      <c r="M347">
        <f t="shared" ca="1" si="40"/>
        <v>0.21147596012742298</v>
      </c>
      <c r="N347">
        <f t="shared" ca="1" si="41"/>
        <v>0.7484292798623855</v>
      </c>
    </row>
    <row r="348" spans="6:14" x14ac:dyDescent="0.75">
      <c r="F348">
        <v>343</v>
      </c>
      <c r="G348">
        <f t="shared" ca="1" si="35"/>
        <v>-1.7100222517371497</v>
      </c>
      <c r="H348">
        <f t="shared" ca="1" si="35"/>
        <v>-0.26236505309116059</v>
      </c>
      <c r="I348">
        <f t="shared" ca="1" si="36"/>
        <v>-1.7100222517371497</v>
      </c>
      <c r="J348">
        <f t="shared" ca="1" si="37"/>
        <v>-1.4560548596012295</v>
      </c>
      <c r="K348">
        <f t="shared" ca="1" si="38"/>
        <v>11.607090889844432</v>
      </c>
      <c r="L348">
        <f t="shared" ca="1" si="39"/>
        <v>13.742161085283758</v>
      </c>
      <c r="M348">
        <f t="shared" ca="1" si="40"/>
        <v>0</v>
      </c>
      <c r="N348">
        <f t="shared" ca="1" si="41"/>
        <v>0</v>
      </c>
    </row>
    <row r="349" spans="6:14" x14ac:dyDescent="0.75">
      <c r="F349">
        <v>344</v>
      </c>
      <c r="G349">
        <f t="shared" ca="1" si="35"/>
        <v>-0.16379739998237261</v>
      </c>
      <c r="H349">
        <f t="shared" ca="1" si="35"/>
        <v>0.62318274412365304</v>
      </c>
      <c r="I349">
        <f t="shared" ca="1" si="36"/>
        <v>-0.16379739998237261</v>
      </c>
      <c r="J349">
        <f t="shared" ca="1" si="37"/>
        <v>0.28934859058771667</v>
      </c>
      <c r="K349">
        <f t="shared" ca="1" si="38"/>
        <v>17.084513465992419</v>
      </c>
      <c r="L349">
        <f t="shared" ca="1" si="39"/>
        <v>21.259830947256265</v>
      </c>
      <c r="M349">
        <f t="shared" ca="1" si="40"/>
        <v>0</v>
      </c>
      <c r="N349">
        <f t="shared" ca="1" si="41"/>
        <v>0</v>
      </c>
    </row>
    <row r="350" spans="6:14" x14ac:dyDescent="0.75">
      <c r="F350">
        <v>345</v>
      </c>
      <c r="G350">
        <f t="shared" ca="1" si="35"/>
        <v>-3.9447157083146285E-2</v>
      </c>
      <c r="H350">
        <f t="shared" ca="1" si="35"/>
        <v>1.0568994390161175</v>
      </c>
      <c r="I350">
        <f t="shared" ca="1" si="36"/>
        <v>-3.9447157083146285E-2</v>
      </c>
      <c r="J350">
        <f t="shared" ca="1" si="37"/>
        <v>0.66948790129772107</v>
      </c>
      <c r="K350">
        <f t="shared" ca="1" si="38"/>
        <v>17.623971081248648</v>
      </c>
      <c r="L350">
        <f t="shared" ca="1" si="39"/>
        <v>23.379375594808668</v>
      </c>
      <c r="M350">
        <f t="shared" ca="1" si="40"/>
        <v>0.2987053621790956</v>
      </c>
      <c r="N350">
        <f t="shared" ca="1" si="41"/>
        <v>0.50167333802865954</v>
      </c>
    </row>
    <row r="351" spans="6:14" x14ac:dyDescent="0.75">
      <c r="F351">
        <v>346</v>
      </c>
      <c r="G351">
        <f t="shared" ca="1" si="35"/>
        <v>0.83450560778280891</v>
      </c>
      <c r="H351">
        <f t="shared" ca="1" si="35"/>
        <v>1.2116510158799965</v>
      </c>
      <c r="I351">
        <f t="shared" ca="1" si="36"/>
        <v>0.83450560778280891</v>
      </c>
      <c r="J351">
        <f t="shared" ca="1" si="37"/>
        <v>1.4273110217914176</v>
      </c>
      <c r="K351">
        <f t="shared" ca="1" si="38"/>
        <v>21.927644787726905</v>
      </c>
      <c r="L351">
        <f t="shared" ca="1" si="39"/>
        <v>28.256118804870603</v>
      </c>
      <c r="M351">
        <f t="shared" ca="1" si="40"/>
        <v>4.8915675728350436</v>
      </c>
      <c r="N351">
        <f t="shared" ca="1" si="41"/>
        <v>5.0918817962987539</v>
      </c>
    </row>
    <row r="352" spans="6:14" x14ac:dyDescent="0.75">
      <c r="F352">
        <v>347</v>
      </c>
      <c r="G352">
        <f t="shared" ca="1" si="35"/>
        <v>0.76646690694409292</v>
      </c>
      <c r="H352">
        <f t="shared" ca="1" si="35"/>
        <v>-0.51420370948960503</v>
      </c>
      <c r="I352">
        <f t="shared" ca="1" si="36"/>
        <v>0.76646690694409292</v>
      </c>
      <c r="J352">
        <f t="shared" ca="1" si="37"/>
        <v>0.23473639557397002</v>
      </c>
      <c r="K352">
        <f t="shared" ca="1" si="38"/>
        <v>21.557816914563421</v>
      </c>
      <c r="L352">
        <f t="shared" ca="1" si="39"/>
        <v>20.971541929067172</v>
      </c>
      <c r="M352">
        <f t="shared" ca="1" si="40"/>
        <v>1.2626588488580204</v>
      </c>
      <c r="N352">
        <f t="shared" ca="1" si="41"/>
        <v>1.2646794218152948</v>
      </c>
    </row>
    <row r="353" spans="6:14" x14ac:dyDescent="0.75">
      <c r="F353">
        <v>348</v>
      </c>
      <c r="G353">
        <f t="shared" ca="1" si="35"/>
        <v>-0.90140939735094017</v>
      </c>
      <c r="H353">
        <f t="shared" ca="1" si="35"/>
        <v>-1.1732166953866454</v>
      </c>
      <c r="I353">
        <f t="shared" ca="1" si="36"/>
        <v>-0.90140939735094017</v>
      </c>
      <c r="J353">
        <f t="shared" ca="1" si="37"/>
        <v>-1.452066950508726</v>
      </c>
      <c r="K353">
        <f t="shared" ca="1" si="38"/>
        <v>14.207491679654126</v>
      </c>
      <c r="L353">
        <f t="shared" ca="1" si="39"/>
        <v>13.75586853944416</v>
      </c>
      <c r="M353">
        <f t="shared" ca="1" si="40"/>
        <v>0</v>
      </c>
      <c r="N353">
        <f t="shared" ca="1" si="41"/>
        <v>0</v>
      </c>
    </row>
    <row r="354" spans="6:14" x14ac:dyDescent="0.75">
      <c r="F354">
        <v>349</v>
      </c>
      <c r="G354">
        <f t="shared" ca="1" si="35"/>
        <v>0.23984824543373001</v>
      </c>
      <c r="H354">
        <f t="shared" ca="1" si="35"/>
        <v>-1.0123229130801907</v>
      </c>
      <c r="I354">
        <f t="shared" ca="1" si="36"/>
        <v>0.23984824543373001</v>
      </c>
      <c r="J354">
        <f t="shared" ca="1" si="37"/>
        <v>-0.48970248455036264</v>
      </c>
      <c r="K354">
        <f t="shared" ca="1" si="38"/>
        <v>18.898523914516076</v>
      </c>
      <c r="L354">
        <f t="shared" ca="1" si="39"/>
        <v>17.497476183028869</v>
      </c>
      <c r="M354">
        <f t="shared" ca="1" si="40"/>
        <v>0</v>
      </c>
      <c r="N354">
        <f t="shared" ca="1" si="41"/>
        <v>0</v>
      </c>
    </row>
    <row r="355" spans="6:14" x14ac:dyDescent="0.75">
      <c r="F355">
        <v>350</v>
      </c>
      <c r="G355">
        <f t="shared" ca="1" si="35"/>
        <v>-0.96376874126489587</v>
      </c>
      <c r="H355">
        <f t="shared" ca="1" si="35"/>
        <v>0.39377554297508122</v>
      </c>
      <c r="I355">
        <f t="shared" ca="1" si="36"/>
        <v>-0.96376874126489587</v>
      </c>
      <c r="J355">
        <f t="shared" ca="1" si="37"/>
        <v>-0.46236851617579888</v>
      </c>
      <c r="K355">
        <f t="shared" ca="1" si="38"/>
        <v>13.987716793129815</v>
      </c>
      <c r="L355">
        <f t="shared" ca="1" si="39"/>
        <v>17.617454516800418</v>
      </c>
      <c r="M355">
        <f t="shared" ca="1" si="40"/>
        <v>0</v>
      </c>
      <c r="N355">
        <f t="shared" ca="1" si="41"/>
        <v>0</v>
      </c>
    </row>
    <row r="356" spans="6:14" x14ac:dyDescent="0.75">
      <c r="F356">
        <v>351</v>
      </c>
      <c r="G356">
        <f t="shared" ca="1" si="35"/>
        <v>-1.3961070836304981</v>
      </c>
      <c r="H356">
        <f t="shared" ca="1" si="35"/>
        <v>1.5391313154526227</v>
      </c>
      <c r="I356">
        <f t="shared" ca="1" si="36"/>
        <v>-1.3961070836304981</v>
      </c>
      <c r="J356">
        <f t="shared" ca="1" si="37"/>
        <v>-2.9040638783037531E-2</v>
      </c>
      <c r="K356">
        <f t="shared" ca="1" si="38"/>
        <v>12.554698613045749</v>
      </c>
      <c r="L356">
        <f t="shared" ca="1" si="39"/>
        <v>19.63320202346322</v>
      </c>
      <c r="M356">
        <f t="shared" ca="1" si="40"/>
        <v>0</v>
      </c>
      <c r="N356">
        <f t="shared" ca="1" si="41"/>
        <v>0</v>
      </c>
    </row>
    <row r="357" spans="6:14" x14ac:dyDescent="0.75">
      <c r="F357">
        <v>352</v>
      </c>
      <c r="G357">
        <f t="shared" ca="1" si="35"/>
        <v>-0.34436366574786342</v>
      </c>
      <c r="H357">
        <f t="shared" ca="1" si="35"/>
        <v>0.45478369616783004</v>
      </c>
      <c r="I357">
        <f t="shared" ca="1" si="36"/>
        <v>-0.34436366574786342</v>
      </c>
      <c r="J357">
        <f t="shared" ca="1" si="37"/>
        <v>4.2538390785811675E-2</v>
      </c>
      <c r="K357">
        <f t="shared" ca="1" si="38"/>
        <v>16.330439845930037</v>
      </c>
      <c r="L357">
        <f t="shared" ca="1" si="39"/>
        <v>19.987695740352247</v>
      </c>
      <c r="M357">
        <f t="shared" ca="1" si="40"/>
        <v>0</v>
      </c>
      <c r="N357">
        <f t="shared" ca="1" si="41"/>
        <v>0</v>
      </c>
    </row>
    <row r="358" spans="6:14" x14ac:dyDescent="0.75">
      <c r="F358">
        <v>353</v>
      </c>
      <c r="G358">
        <f t="shared" ca="1" si="35"/>
        <v>0.33595848477912094</v>
      </c>
      <c r="H358">
        <f t="shared" ca="1" si="35"/>
        <v>-1.1319985158372661</v>
      </c>
      <c r="I358">
        <f t="shared" ca="1" si="36"/>
        <v>0.33595848477912094</v>
      </c>
      <c r="J358">
        <f t="shared" ca="1" si="37"/>
        <v>-0.4967777757655637</v>
      </c>
      <c r="K358">
        <f t="shared" ca="1" si="38"/>
        <v>19.358108567015684</v>
      </c>
      <c r="L358">
        <f t="shared" ca="1" si="39"/>
        <v>17.466553604490787</v>
      </c>
      <c r="M358">
        <f t="shared" ca="1" si="40"/>
        <v>0</v>
      </c>
      <c r="N358">
        <f t="shared" ca="1" si="41"/>
        <v>0</v>
      </c>
    </row>
    <row r="359" spans="6:14" x14ac:dyDescent="0.75">
      <c r="F359">
        <v>354</v>
      </c>
      <c r="G359">
        <f t="shared" ca="1" si="35"/>
        <v>-0.60747496577569238</v>
      </c>
      <c r="H359">
        <f t="shared" ca="1" si="35"/>
        <v>1.1667299163985543</v>
      </c>
      <c r="I359">
        <f t="shared" ca="1" si="36"/>
        <v>-0.60747496577569238</v>
      </c>
      <c r="J359">
        <f t="shared" ca="1" si="37"/>
        <v>0.31611307716066955</v>
      </c>
      <c r="K359">
        <f t="shared" ca="1" si="38"/>
        <v>15.290825628947669</v>
      </c>
      <c r="L359">
        <f t="shared" ca="1" si="39"/>
        <v>21.402560038583847</v>
      </c>
      <c r="M359">
        <f t="shared" ca="1" si="40"/>
        <v>0</v>
      </c>
      <c r="N359">
        <f t="shared" ca="1" si="41"/>
        <v>0</v>
      </c>
    </row>
    <row r="360" spans="6:14" x14ac:dyDescent="0.75">
      <c r="F360">
        <v>355</v>
      </c>
      <c r="G360">
        <f t="shared" ca="1" si="35"/>
        <v>1.2422190525303354</v>
      </c>
      <c r="H360">
        <f t="shared" ca="1" si="35"/>
        <v>0.58859610402588525</v>
      </c>
      <c r="I360">
        <f t="shared" ca="1" si="36"/>
        <v>1.2422190525303354</v>
      </c>
      <c r="J360">
        <f t="shared" ca="1" si="37"/>
        <v>1.3209840178762506</v>
      </c>
      <c r="K360">
        <f t="shared" ca="1" si="38"/>
        <v>24.280571918189004</v>
      </c>
      <c r="L360">
        <f t="shared" ca="1" si="39"/>
        <v>27.514916561200803</v>
      </c>
      <c r="M360">
        <f t="shared" ca="1" si="40"/>
        <v>5.8472031443869312</v>
      </c>
      <c r="N360">
        <f t="shared" ca="1" si="41"/>
        <v>5.8977442396949016</v>
      </c>
    </row>
    <row r="361" spans="6:14" x14ac:dyDescent="0.75">
      <c r="F361">
        <v>356</v>
      </c>
      <c r="G361">
        <f t="shared" ca="1" si="35"/>
        <v>-0.5388336326772013</v>
      </c>
      <c r="H361">
        <f t="shared" ca="1" si="35"/>
        <v>-0.87472018201643609</v>
      </c>
      <c r="I361">
        <f t="shared" ca="1" si="36"/>
        <v>-0.5388336326772013</v>
      </c>
      <c r="J361">
        <f t="shared" ca="1" si="37"/>
        <v>-0.98269824160406183</v>
      </c>
      <c r="K361">
        <f t="shared" ca="1" si="38"/>
        <v>15.555485624993757</v>
      </c>
      <c r="L361">
        <f t="shared" ca="1" si="39"/>
        <v>15.46853117108178</v>
      </c>
      <c r="M361">
        <f t="shared" ca="1" si="40"/>
        <v>0</v>
      </c>
      <c r="N361">
        <f t="shared" ca="1" si="41"/>
        <v>0</v>
      </c>
    </row>
    <row r="362" spans="6:14" x14ac:dyDescent="0.75">
      <c r="F362">
        <v>357</v>
      </c>
      <c r="G362">
        <f t="shared" ca="1" si="35"/>
        <v>0.26717030331198</v>
      </c>
      <c r="H362">
        <f t="shared" ca="1" si="35"/>
        <v>2.6000294718423973</v>
      </c>
      <c r="I362">
        <f t="shared" ca="1" si="36"/>
        <v>0.26717030331198</v>
      </c>
      <c r="J362">
        <f t="shared" ca="1" si="37"/>
        <v>1.9201355734673846</v>
      </c>
      <c r="K362">
        <f t="shared" ca="1" si="38"/>
        <v>19.028052425144907</v>
      </c>
      <c r="L362">
        <f t="shared" ca="1" si="39"/>
        <v>31.960992246290086</v>
      </c>
      <c r="M362">
        <f t="shared" ca="1" si="40"/>
        <v>4.6608076920050934</v>
      </c>
      <c r="N362">
        <f t="shared" ca="1" si="41"/>
        <v>5.4945223357174982</v>
      </c>
    </row>
    <row r="363" spans="6:14" x14ac:dyDescent="0.75">
      <c r="F363">
        <v>358</v>
      </c>
      <c r="G363">
        <f t="shared" ca="1" si="35"/>
        <v>-1.9237120701573647</v>
      </c>
      <c r="H363">
        <f t="shared" ca="1" si="35"/>
        <v>0.77328214182022403</v>
      </c>
      <c r="I363">
        <f t="shared" ca="1" si="36"/>
        <v>-1.9237120701573647</v>
      </c>
      <c r="J363">
        <f t="shared" ca="1" si="37"/>
        <v>-0.93130599248210044</v>
      </c>
      <c r="K363">
        <f t="shared" ca="1" si="38"/>
        <v>11.003283633147591</v>
      </c>
      <c r="L363">
        <f t="shared" ca="1" si="39"/>
        <v>15.668554024475966</v>
      </c>
      <c r="M363">
        <f t="shared" ca="1" si="40"/>
        <v>0</v>
      </c>
      <c r="N363">
        <f t="shared" ca="1" si="41"/>
        <v>0</v>
      </c>
    </row>
    <row r="364" spans="6:14" x14ac:dyDescent="0.75">
      <c r="F364">
        <v>359</v>
      </c>
      <c r="G364">
        <f t="shared" ca="1" si="35"/>
        <v>-1.4527382757108009</v>
      </c>
      <c r="H364">
        <f t="shared" ca="1" si="35"/>
        <v>-6.3231599443524925E-2</v>
      </c>
      <c r="I364">
        <f t="shared" ca="1" si="36"/>
        <v>-1.4527382757108009</v>
      </c>
      <c r="J364">
        <f t="shared" ca="1" si="37"/>
        <v>-1.1313774785652049</v>
      </c>
      <c r="K364">
        <f t="shared" ca="1" si="38"/>
        <v>12.37820406107376</v>
      </c>
      <c r="L364">
        <f t="shared" ca="1" si="39"/>
        <v>14.90412326573189</v>
      </c>
      <c r="M364">
        <f t="shared" ca="1" si="40"/>
        <v>0</v>
      </c>
      <c r="N364">
        <f t="shared" ca="1" si="41"/>
        <v>0</v>
      </c>
    </row>
    <row r="365" spans="6:14" x14ac:dyDescent="0.75">
      <c r="F365">
        <v>360</v>
      </c>
      <c r="G365">
        <f t="shared" ca="1" si="35"/>
        <v>-0.4880448136169469</v>
      </c>
      <c r="H365">
        <f t="shared" ca="1" si="35"/>
        <v>-2.1025747027612406E-2</v>
      </c>
      <c r="I365">
        <f t="shared" ca="1" si="36"/>
        <v>-0.4880448136169469</v>
      </c>
      <c r="J365">
        <f t="shared" ca="1" si="37"/>
        <v>-0.37994083465381467</v>
      </c>
      <c r="K365">
        <f t="shared" ca="1" si="38"/>
        <v>15.754256055163724</v>
      </c>
      <c r="L365">
        <f t="shared" ca="1" si="39"/>
        <v>17.984262409682181</v>
      </c>
      <c r="M365">
        <f t="shared" ca="1" si="40"/>
        <v>0</v>
      </c>
      <c r="N365">
        <f t="shared" ca="1" si="41"/>
        <v>0</v>
      </c>
    </row>
    <row r="366" spans="6:14" x14ac:dyDescent="0.75">
      <c r="F366">
        <v>361</v>
      </c>
      <c r="G366">
        <f t="shared" ca="1" si="35"/>
        <v>-0.41739822349527628</v>
      </c>
      <c r="H366">
        <f t="shared" ca="1" si="35"/>
        <v>-0.30448263199580727</v>
      </c>
      <c r="I366">
        <f t="shared" ca="1" si="36"/>
        <v>-0.41739822349527628</v>
      </c>
      <c r="J366">
        <f t="shared" ca="1" si="37"/>
        <v>-0.51444499832128332</v>
      </c>
      <c r="K366">
        <f t="shared" ca="1" si="38"/>
        <v>16.034973844967674</v>
      </c>
      <c r="L366">
        <f t="shared" ca="1" si="39"/>
        <v>17.389577351750177</v>
      </c>
      <c r="M366">
        <f t="shared" ca="1" si="40"/>
        <v>0</v>
      </c>
      <c r="N366">
        <f t="shared" ca="1" si="41"/>
        <v>0</v>
      </c>
    </row>
    <row r="367" spans="6:14" x14ac:dyDescent="0.75">
      <c r="F367">
        <v>362</v>
      </c>
      <c r="G367">
        <f t="shared" ca="1" si="35"/>
        <v>-0.60468548046355508</v>
      </c>
      <c r="H367">
        <f t="shared" ca="1" si="35"/>
        <v>-1.5180851724371756</v>
      </c>
      <c r="I367">
        <f t="shared" ca="1" si="36"/>
        <v>-0.60468548046355508</v>
      </c>
      <c r="J367">
        <f t="shared" ca="1" si="37"/>
        <v>-1.4576330691685095</v>
      </c>
      <c r="K367">
        <f t="shared" ca="1" si="38"/>
        <v>15.301492731356648</v>
      </c>
      <c r="L367">
        <f t="shared" ca="1" si="39"/>
        <v>13.736740152250153</v>
      </c>
      <c r="M367">
        <f t="shared" ca="1" si="40"/>
        <v>0</v>
      </c>
      <c r="N367">
        <f t="shared" ca="1" si="41"/>
        <v>0</v>
      </c>
    </row>
    <row r="368" spans="6:14" x14ac:dyDescent="0.75">
      <c r="F368">
        <v>363</v>
      </c>
      <c r="G368">
        <f t="shared" ca="1" si="35"/>
        <v>-0.43206749899210173</v>
      </c>
      <c r="H368">
        <f t="shared" ca="1" si="35"/>
        <v>0.11986114096995623</v>
      </c>
      <c r="I368">
        <f t="shared" ca="1" si="36"/>
        <v>-0.43206749899210173</v>
      </c>
      <c r="J368">
        <f t="shared" ca="1" si="37"/>
        <v>-0.24476993152733639</v>
      </c>
      <c r="K368">
        <f t="shared" ca="1" si="38"/>
        <v>15.976276180052331</v>
      </c>
      <c r="L368">
        <f t="shared" ca="1" si="39"/>
        <v>18.602384858003823</v>
      </c>
      <c r="M368">
        <f t="shared" ca="1" si="40"/>
        <v>0</v>
      </c>
      <c r="N368">
        <f t="shared" ca="1" si="41"/>
        <v>0</v>
      </c>
    </row>
    <row r="369" spans="6:14" x14ac:dyDescent="0.75">
      <c r="F369">
        <v>364</v>
      </c>
      <c r="G369">
        <f t="shared" ca="1" si="35"/>
        <v>-0.4100005182896706</v>
      </c>
      <c r="H369">
        <f t="shared" ca="1" si="35"/>
        <v>3.8545286525633514E-2</v>
      </c>
      <c r="I369">
        <f t="shared" ca="1" si="36"/>
        <v>-0.4100005182896706</v>
      </c>
      <c r="J369">
        <f t="shared" ca="1" si="37"/>
        <v>-0.28200507812711417</v>
      </c>
      <c r="K369">
        <f t="shared" ca="1" si="38"/>
        <v>16.064656787085195</v>
      </c>
      <c r="L369">
        <f t="shared" ca="1" si="39"/>
        <v>18.430022712049052</v>
      </c>
      <c r="M369">
        <f t="shared" ca="1" si="40"/>
        <v>0</v>
      </c>
      <c r="N369">
        <f t="shared" ca="1" si="41"/>
        <v>0</v>
      </c>
    </row>
    <row r="370" spans="6:14" x14ac:dyDescent="0.75">
      <c r="F370">
        <v>365</v>
      </c>
      <c r="G370">
        <f t="shared" ca="1" si="35"/>
        <v>0.61233564828852216</v>
      </c>
      <c r="H370">
        <f t="shared" ca="1" si="35"/>
        <v>-0.18515788886608187</v>
      </c>
      <c r="I370">
        <f t="shared" ca="1" si="36"/>
        <v>0.61233564828852216</v>
      </c>
      <c r="J370">
        <f t="shared" ca="1" si="37"/>
        <v>0.33678130441104459</v>
      </c>
      <c r="K370">
        <f t="shared" ca="1" si="38"/>
        <v>20.74293423658597</v>
      </c>
      <c r="L370">
        <f t="shared" ca="1" si="39"/>
        <v>21.51343448283296</v>
      </c>
      <c r="M370">
        <f t="shared" ca="1" si="40"/>
        <v>1.1246717532013975</v>
      </c>
      <c r="N370">
        <f t="shared" ca="1" si="41"/>
        <v>1.128184359709465</v>
      </c>
    </row>
    <row r="371" spans="6:14" x14ac:dyDescent="0.75">
      <c r="F371">
        <v>366</v>
      </c>
      <c r="G371">
        <f t="shared" ca="1" si="35"/>
        <v>-0.2717094787248448</v>
      </c>
      <c r="H371">
        <f t="shared" ca="1" si="35"/>
        <v>-0.32325381756263427</v>
      </c>
      <c r="I371">
        <f t="shared" ca="1" si="36"/>
        <v>-0.2717094787248448</v>
      </c>
      <c r="J371">
        <f t="shared" ca="1" si="37"/>
        <v>-0.41759441194937696</v>
      </c>
      <c r="K371">
        <f t="shared" ca="1" si="38"/>
        <v>16.629768761625936</v>
      </c>
      <c r="L371">
        <f t="shared" ca="1" si="39"/>
        <v>17.815763772302034</v>
      </c>
      <c r="M371">
        <f t="shared" ca="1" si="40"/>
        <v>0</v>
      </c>
      <c r="N371">
        <f t="shared" ca="1" si="41"/>
        <v>0</v>
      </c>
    </row>
    <row r="372" spans="6:14" x14ac:dyDescent="0.75">
      <c r="F372">
        <v>367</v>
      </c>
      <c r="G372">
        <f t="shared" ca="1" si="35"/>
        <v>-7.3733532312924302E-2</v>
      </c>
      <c r="H372">
        <f t="shared" ca="1" si="35"/>
        <v>1.4145052061260697</v>
      </c>
      <c r="I372">
        <f t="shared" ca="1" si="36"/>
        <v>-7.3733532312924302E-2</v>
      </c>
      <c r="J372">
        <f t="shared" ca="1" si="37"/>
        <v>0.8803071016692412</v>
      </c>
      <c r="K372">
        <f t="shared" ca="1" si="38"/>
        <v>17.473551150113888</v>
      </c>
      <c r="L372">
        <f t="shared" ca="1" si="39"/>
        <v>24.64463054498934</v>
      </c>
      <c r="M372">
        <f t="shared" ca="1" si="40"/>
        <v>0.7516074655321674</v>
      </c>
      <c r="N372">
        <f t="shared" ca="1" si="41"/>
        <v>1.0590908475516159</v>
      </c>
    </row>
    <row r="373" spans="6:14" x14ac:dyDescent="0.75">
      <c r="F373">
        <v>368</v>
      </c>
      <c r="G373">
        <f t="shared" ca="1" si="35"/>
        <v>0.3730690096233224</v>
      </c>
      <c r="H373">
        <f t="shared" ca="1" si="35"/>
        <v>-0.40463780781317255</v>
      </c>
      <c r="I373">
        <f t="shared" ca="1" si="36"/>
        <v>0.3730690096233224</v>
      </c>
      <c r="J373">
        <f t="shared" ca="1" si="37"/>
        <v>1.2159004585491018E-2</v>
      </c>
      <c r="K373">
        <f t="shared" ca="1" si="38"/>
        <v>19.538541660874195</v>
      </c>
      <c r="L373">
        <f t="shared" ca="1" si="39"/>
        <v>19.836467263776903</v>
      </c>
      <c r="M373">
        <f t="shared" ca="1" si="40"/>
        <v>0</v>
      </c>
      <c r="N373">
        <f t="shared" ca="1" si="41"/>
        <v>0</v>
      </c>
    </row>
    <row r="374" spans="6:14" x14ac:dyDescent="0.75">
      <c r="F374">
        <v>369</v>
      </c>
      <c r="G374">
        <f t="shared" ca="1" si="35"/>
        <v>0.60965882113052539</v>
      </c>
      <c r="H374">
        <f t="shared" ca="1" si="35"/>
        <v>0.5818596378969112</v>
      </c>
      <c r="I374">
        <f t="shared" ca="1" si="36"/>
        <v>0.60965882113052539</v>
      </c>
      <c r="J374">
        <f t="shared" ca="1" si="37"/>
        <v>0.84210809080322424</v>
      </c>
      <c r="K374">
        <f t="shared" ca="1" si="38"/>
        <v>20.729057567859048</v>
      </c>
      <c r="L374">
        <f t="shared" ca="1" si="39"/>
        <v>24.410400616544173</v>
      </c>
      <c r="M374">
        <f t="shared" ca="1" si="40"/>
        <v>2.494545997526739</v>
      </c>
      <c r="N374">
        <f t="shared" ca="1" si="41"/>
        <v>2.5697290922016123</v>
      </c>
    </row>
    <row r="375" spans="6:14" x14ac:dyDescent="0.75">
      <c r="F375">
        <v>370</v>
      </c>
      <c r="G375">
        <f t="shared" ca="1" si="35"/>
        <v>-0.55759113899584489</v>
      </c>
      <c r="H375">
        <f t="shared" ca="1" si="35"/>
        <v>0.25273155936855296</v>
      </c>
      <c r="I375">
        <f t="shared" ca="1" si="36"/>
        <v>-0.55759113899584489</v>
      </c>
      <c r="J375">
        <f t="shared" ca="1" si="37"/>
        <v>-0.25102714061019682</v>
      </c>
      <c r="K375">
        <f t="shared" ca="1" si="38"/>
        <v>15.482710862513278</v>
      </c>
      <c r="L375">
        <f t="shared" ca="1" si="39"/>
        <v>18.573307853671071</v>
      </c>
      <c r="M375">
        <f t="shared" ca="1" si="40"/>
        <v>0</v>
      </c>
      <c r="N375">
        <f t="shared" ca="1" si="41"/>
        <v>0</v>
      </c>
    </row>
    <row r="376" spans="6:14" x14ac:dyDescent="0.75">
      <c r="F376">
        <v>371</v>
      </c>
      <c r="G376">
        <f t="shared" ca="1" si="35"/>
        <v>-0.3327675103868134</v>
      </c>
      <c r="H376">
        <f t="shared" ca="1" si="35"/>
        <v>-1.3632895731214676</v>
      </c>
      <c r="I376">
        <f t="shared" ca="1" si="36"/>
        <v>-0.3327675103868134</v>
      </c>
      <c r="J376">
        <f t="shared" ca="1" si="37"/>
        <v>-1.1513069266518123</v>
      </c>
      <c r="K376">
        <f t="shared" ca="1" si="38"/>
        <v>16.377851115672811</v>
      </c>
      <c r="L376">
        <f t="shared" ca="1" si="39"/>
        <v>14.830050210626954</v>
      </c>
      <c r="M376">
        <f t="shared" ca="1" si="40"/>
        <v>0</v>
      </c>
      <c r="N376">
        <f t="shared" ca="1" si="41"/>
        <v>0</v>
      </c>
    </row>
    <row r="377" spans="6:14" x14ac:dyDescent="0.75">
      <c r="F377">
        <v>372</v>
      </c>
      <c r="G377">
        <f t="shared" ca="1" si="35"/>
        <v>-1.9042564651511387</v>
      </c>
      <c r="H377">
        <f t="shared" ca="1" si="35"/>
        <v>0.8187485686639836</v>
      </c>
      <c r="I377">
        <f t="shared" ca="1" si="36"/>
        <v>-1.9042564651511387</v>
      </c>
      <c r="J377">
        <f t="shared" ca="1" si="37"/>
        <v>-0.88664107411960602</v>
      </c>
      <c r="K377">
        <f t="shared" ca="1" si="38"/>
        <v>11.056932884745704</v>
      </c>
      <c r="L377">
        <f t="shared" ca="1" si="39"/>
        <v>15.84449315636423</v>
      </c>
      <c r="M377">
        <f t="shared" ca="1" si="40"/>
        <v>0</v>
      </c>
      <c r="N377">
        <f t="shared" ca="1" si="41"/>
        <v>0</v>
      </c>
    </row>
    <row r="378" spans="6:14" x14ac:dyDescent="0.75">
      <c r="F378">
        <v>373</v>
      </c>
      <c r="G378">
        <f t="shared" ca="1" si="35"/>
        <v>0.7475900298059146</v>
      </c>
      <c r="H378">
        <f t="shared" ca="1" si="35"/>
        <v>0.75406118162853975</v>
      </c>
      <c r="I378">
        <f t="shared" ca="1" si="36"/>
        <v>0.7475900298059146</v>
      </c>
      <c r="J378">
        <f t="shared" ca="1" si="37"/>
        <v>1.0594571123335919</v>
      </c>
      <c r="K378">
        <f t="shared" ca="1" si="38"/>
        <v>21.456320529465486</v>
      </c>
      <c r="L378">
        <f t="shared" ca="1" si="39"/>
        <v>25.773492766773888</v>
      </c>
      <c r="M378">
        <f t="shared" ca="1" si="40"/>
        <v>3.5160439268121984</v>
      </c>
      <c r="N378">
        <f t="shared" ca="1" si="41"/>
        <v>3.6149066481196854</v>
      </c>
    </row>
    <row r="379" spans="6:14" x14ac:dyDescent="0.75">
      <c r="F379">
        <v>374</v>
      </c>
      <c r="G379">
        <f t="shared" ca="1" si="35"/>
        <v>0.43253322686655477</v>
      </c>
      <c r="H379">
        <f t="shared" ca="1" si="35"/>
        <v>-3.4630110878309035E-2</v>
      </c>
      <c r="I379">
        <f t="shared" ca="1" si="36"/>
        <v>0.43253322686655477</v>
      </c>
      <c r="J379">
        <f t="shared" ca="1" si="37"/>
        <v>0.30149425483526654</v>
      </c>
      <c r="K379">
        <f t="shared" ca="1" si="38"/>
        <v>19.831172425525967</v>
      </c>
      <c r="L379">
        <f t="shared" ca="1" si="39"/>
        <v>21.324482744622337</v>
      </c>
      <c r="M379">
        <f t="shared" ca="1" si="40"/>
        <v>0.56427713764232479</v>
      </c>
      <c r="N379">
        <f t="shared" ca="1" si="41"/>
        <v>0.57782758507415366</v>
      </c>
    </row>
    <row r="380" spans="6:14" x14ac:dyDescent="0.75">
      <c r="F380">
        <v>375</v>
      </c>
      <c r="G380">
        <f t="shared" ca="1" si="35"/>
        <v>-0.33248456043197694</v>
      </c>
      <c r="H380">
        <f t="shared" ca="1" si="35"/>
        <v>-1.4394483730574117</v>
      </c>
      <c r="I380">
        <f t="shared" ca="1" si="36"/>
        <v>-0.33248456043197694</v>
      </c>
      <c r="J380">
        <f t="shared" ca="1" si="37"/>
        <v>-1.2014690253805924</v>
      </c>
      <c r="K380">
        <f t="shared" ca="1" si="38"/>
        <v>16.379009684707835</v>
      </c>
      <c r="L380">
        <f t="shared" ca="1" si="39"/>
        <v>14.645234862710579</v>
      </c>
      <c r="M380">
        <f t="shared" ca="1" si="40"/>
        <v>0</v>
      </c>
      <c r="N380">
        <f t="shared" ca="1" si="41"/>
        <v>0</v>
      </c>
    </row>
    <row r="381" spans="6:14" x14ac:dyDescent="0.75">
      <c r="F381">
        <v>376</v>
      </c>
      <c r="G381">
        <f t="shared" ca="1" si="35"/>
        <v>-2.1966736204145598</v>
      </c>
      <c r="H381">
        <f t="shared" ca="1" si="35"/>
        <v>-0.32850805834935881</v>
      </c>
      <c r="I381">
        <f t="shared" ca="1" si="36"/>
        <v>-2.1966736204145598</v>
      </c>
      <c r="J381">
        <f t="shared" ca="1" si="37"/>
        <v>-1.8647928718291948</v>
      </c>
      <c r="K381">
        <f t="shared" ca="1" si="38"/>
        <v>10.277462106954369</v>
      </c>
      <c r="L381">
        <f t="shared" ca="1" si="39"/>
        <v>12.407288170015354</v>
      </c>
      <c r="M381">
        <f t="shared" ca="1" si="40"/>
        <v>0</v>
      </c>
      <c r="N381">
        <f t="shared" ca="1" si="41"/>
        <v>0</v>
      </c>
    </row>
    <row r="382" spans="6:14" x14ac:dyDescent="0.75">
      <c r="F382">
        <v>377</v>
      </c>
      <c r="G382">
        <f t="shared" ca="1" si="35"/>
        <v>7.2024101510048788E-2</v>
      </c>
      <c r="H382">
        <f t="shared" ca="1" si="35"/>
        <v>-0.6252696408976508</v>
      </c>
      <c r="I382">
        <f t="shared" ca="1" si="36"/>
        <v>7.2024101510048788E-2</v>
      </c>
      <c r="J382">
        <f t="shared" ca="1" si="37"/>
        <v>-0.35955891691092479</v>
      </c>
      <c r="K382">
        <f t="shared" ca="1" si="38"/>
        <v>18.122020178383583</v>
      </c>
      <c r="L382">
        <f t="shared" ca="1" si="39"/>
        <v>18.076134716903155</v>
      </c>
      <c r="M382">
        <f t="shared" ca="1" si="40"/>
        <v>0</v>
      </c>
      <c r="N382">
        <f t="shared" ca="1" si="41"/>
        <v>0</v>
      </c>
    </row>
    <row r="383" spans="6:14" x14ac:dyDescent="0.75">
      <c r="F383">
        <v>378</v>
      </c>
      <c r="G383">
        <f t="shared" ca="1" si="35"/>
        <v>-0.39868921184690825</v>
      </c>
      <c r="H383">
        <f t="shared" ca="1" si="35"/>
        <v>-0.40323879534272089</v>
      </c>
      <c r="I383">
        <f t="shared" ca="1" si="36"/>
        <v>-0.39868921184690825</v>
      </c>
      <c r="J383">
        <f t="shared" ca="1" si="37"/>
        <v>-0.56573430174770867</v>
      </c>
      <c r="K383">
        <f t="shared" ca="1" si="38"/>
        <v>16.110149142971249</v>
      </c>
      <c r="L383">
        <f t="shared" ca="1" si="39"/>
        <v>17.168025961962314</v>
      </c>
      <c r="M383">
        <f t="shared" ca="1" si="40"/>
        <v>0</v>
      </c>
      <c r="N383">
        <f t="shared" ca="1" si="41"/>
        <v>0</v>
      </c>
    </row>
    <row r="384" spans="6:14" x14ac:dyDescent="0.75">
      <c r="F384">
        <v>379</v>
      </c>
      <c r="G384">
        <f t="shared" ca="1" si="35"/>
        <v>4.528251510030408E-2</v>
      </c>
      <c r="H384">
        <f t="shared" ca="1" si="35"/>
        <v>9.1367033491279823E-2</v>
      </c>
      <c r="I384">
        <f t="shared" ca="1" si="36"/>
        <v>4.528251510030408E-2</v>
      </c>
      <c r="J384">
        <f t="shared" ca="1" si="37"/>
        <v>9.4395498487137047E-2</v>
      </c>
      <c r="K384">
        <f t="shared" ca="1" si="38"/>
        <v>18.001271362848239</v>
      </c>
      <c r="L384">
        <f t="shared" ca="1" si="39"/>
        <v>20.248508736033372</v>
      </c>
      <c r="M384">
        <f t="shared" ca="1" si="40"/>
        <v>0</v>
      </c>
      <c r="N384">
        <f t="shared" ca="1" si="41"/>
        <v>0</v>
      </c>
    </row>
    <row r="385" spans="6:14" x14ac:dyDescent="0.75">
      <c r="F385">
        <v>380</v>
      </c>
      <c r="G385">
        <f t="shared" ca="1" si="35"/>
        <v>0.49453364881358375</v>
      </c>
      <c r="H385">
        <f t="shared" ca="1" si="35"/>
        <v>-0.52711948275279452</v>
      </c>
      <c r="I385">
        <f t="shared" ca="1" si="36"/>
        <v>0.49453364881358375</v>
      </c>
      <c r="J385">
        <f t="shared" ca="1" si="37"/>
        <v>2.2243470964964041E-2</v>
      </c>
      <c r="K385">
        <f t="shared" ca="1" si="38"/>
        <v>20.140952298289658</v>
      </c>
      <c r="L385">
        <f t="shared" ca="1" si="39"/>
        <v>19.886540404169583</v>
      </c>
      <c r="M385">
        <f t="shared" ca="1" si="40"/>
        <v>1.3342091174816773E-2</v>
      </c>
      <c r="N385">
        <f t="shared" ca="1" si="41"/>
        <v>1.3746351229620757E-2</v>
      </c>
    </row>
    <row r="386" spans="6:14" x14ac:dyDescent="0.75">
      <c r="F386">
        <v>381</v>
      </c>
      <c r="G386">
        <f t="shared" ca="1" si="35"/>
        <v>0.67031323651401398</v>
      </c>
      <c r="H386">
        <f t="shared" ca="1" si="35"/>
        <v>-0.66464744535907916</v>
      </c>
      <c r="I386">
        <f t="shared" ca="1" si="36"/>
        <v>0.67031323651401398</v>
      </c>
      <c r="J386">
        <f t="shared" ca="1" si="37"/>
        <v>6.3111964896881867E-2</v>
      </c>
      <c r="K386">
        <f t="shared" ca="1" si="38"/>
        <v>21.045780043216901</v>
      </c>
      <c r="L386">
        <f t="shared" ca="1" si="39"/>
        <v>20.090765161333849</v>
      </c>
      <c r="M386">
        <f t="shared" ca="1" si="40"/>
        <v>0.56272901356620153</v>
      </c>
      <c r="N386">
        <f t="shared" ca="1" si="41"/>
        <v>0.56827260227537479</v>
      </c>
    </row>
    <row r="387" spans="6:14" x14ac:dyDescent="0.75">
      <c r="F387">
        <v>382</v>
      </c>
      <c r="G387">
        <f t="shared" ca="1" si="35"/>
        <v>0.70897390588456</v>
      </c>
      <c r="H387">
        <f t="shared" ca="1" si="35"/>
        <v>-0.61661903625869163</v>
      </c>
      <c r="I387">
        <f t="shared" ca="1" si="36"/>
        <v>0.70897390588456</v>
      </c>
      <c r="J387">
        <f t="shared" ca="1" si="37"/>
        <v>0.12387527351121552</v>
      </c>
      <c r="K387">
        <f t="shared" ca="1" si="38"/>
        <v>21.250177204422528</v>
      </c>
      <c r="L387">
        <f t="shared" ca="1" si="39"/>
        <v>20.398290369707265</v>
      </c>
      <c r="M387">
        <f t="shared" ca="1" si="40"/>
        <v>0.81987716158635138</v>
      </c>
      <c r="N387">
        <f t="shared" ca="1" si="41"/>
        <v>0.82423378706489814</v>
      </c>
    </row>
    <row r="388" spans="6:14" x14ac:dyDescent="0.75">
      <c r="F388">
        <v>383</v>
      </c>
      <c r="G388">
        <f t="shared" ca="1" si="35"/>
        <v>8.3959856124987353E-2</v>
      </c>
      <c r="H388">
        <f t="shared" ca="1" si="35"/>
        <v>0.61055133380238125</v>
      </c>
      <c r="I388">
        <f t="shared" ca="1" si="36"/>
        <v>8.3959856124987353E-2</v>
      </c>
      <c r="J388">
        <f t="shared" ca="1" si="37"/>
        <v>0.46681164006371167</v>
      </c>
      <c r="K388">
        <f t="shared" ca="1" si="38"/>
        <v>18.176175933419941</v>
      </c>
      <c r="L388">
        <f t="shared" ca="1" si="39"/>
        <v>22.224275525035374</v>
      </c>
      <c r="M388">
        <f t="shared" ca="1" si="40"/>
        <v>9.8565668620281599E-2</v>
      </c>
      <c r="N388">
        <f t="shared" ca="1" si="41"/>
        <v>0.20022572922765747</v>
      </c>
    </row>
    <row r="389" spans="6:14" x14ac:dyDescent="0.75">
      <c r="F389">
        <v>384</v>
      </c>
      <c r="G389">
        <f t="shared" ca="1" si="35"/>
        <v>0.72082579793376511</v>
      </c>
      <c r="H389">
        <f t="shared" ca="1" si="35"/>
        <v>-0.12257780481512824</v>
      </c>
      <c r="I389">
        <f t="shared" ca="1" si="36"/>
        <v>0.72082579793376511</v>
      </c>
      <c r="J389">
        <f t="shared" ca="1" si="37"/>
        <v>0.45954175150106263</v>
      </c>
      <c r="K389">
        <f t="shared" ca="1" si="38"/>
        <v>21.313234278056964</v>
      </c>
      <c r="L389">
        <f t="shared" ca="1" si="39"/>
        <v>22.183920206863963</v>
      </c>
      <c r="M389">
        <f t="shared" ca="1" si="40"/>
        <v>1.7442196589027681</v>
      </c>
      <c r="N389">
        <f t="shared" ca="1" si="41"/>
        <v>1.7485772424604633</v>
      </c>
    </row>
    <row r="390" spans="6:14" x14ac:dyDescent="0.75">
      <c r="F390">
        <v>385</v>
      </c>
      <c r="G390">
        <f t="shared" ca="1" si="35"/>
        <v>0.41815717661915786</v>
      </c>
      <c r="H390">
        <f t="shared" ca="1" si="35"/>
        <v>1.9528957373137223</v>
      </c>
      <c r="I390">
        <f t="shared" ca="1" si="36"/>
        <v>0.41815717661915786</v>
      </c>
      <c r="J390">
        <f t="shared" ca="1" si="37"/>
        <v>1.6053369968069262</v>
      </c>
      <c r="K390">
        <f t="shared" ca="1" si="38"/>
        <v>19.760026868307417</v>
      </c>
      <c r="L390">
        <f t="shared" ca="1" si="39"/>
        <v>29.542104671547978</v>
      </c>
      <c r="M390">
        <f t="shared" ca="1" si="40"/>
        <v>4.160976430106011</v>
      </c>
      <c r="N390">
        <f t="shared" ca="1" si="41"/>
        <v>4.6510657699276976</v>
      </c>
    </row>
    <row r="391" spans="6:14" x14ac:dyDescent="0.75">
      <c r="F391">
        <v>386</v>
      </c>
      <c r="G391">
        <f t="shared" ref="G391:H454" ca="1" si="42">NORMSINV(RAND())</f>
        <v>-1.5788941887615713</v>
      </c>
      <c r="H391">
        <f t="shared" ca="1" si="42"/>
        <v>0.96011680312097447</v>
      </c>
      <c r="I391">
        <f t="shared" ref="I391:I454" ca="1" si="43">G391</f>
        <v>-1.5788941887615713</v>
      </c>
      <c r="J391">
        <f t="shared" ref="J391:J454" ca="1" si="44">G391*$C$8+SQRT(1-$C$8^2)*H391</f>
        <v>-0.54911306891306289</v>
      </c>
      <c r="K391">
        <f t="shared" ref="K391:K454" ca="1" si="45">C$3*EXP(($C$5-0.5*C$4^2)*$C$6+C$4*SQRT($C$6)*I391)</f>
        <v>11.993900281812222</v>
      </c>
      <c r="L391">
        <f t="shared" ref="L391:L454" ca="1" si="46">D$3*EXP(($C$5-0.5*D$4^2)*$C$6+D$4*SQRT($C$6)*J391)</f>
        <v>17.239512823278247</v>
      </c>
      <c r="M391">
        <f t="shared" ref="M391:M454" ca="1" si="47">MAX(SQRT(K391*L391)-$C$7,0)</f>
        <v>0</v>
      </c>
      <c r="N391">
        <f t="shared" ref="N391:N454" ca="1" si="48">MAX((K391+L391)*0.5-$C$7,0)</f>
        <v>0</v>
      </c>
    </row>
    <row r="392" spans="6:14" x14ac:dyDescent="0.75">
      <c r="F392">
        <v>387</v>
      </c>
      <c r="G392">
        <f t="shared" ca="1" si="42"/>
        <v>2.02985653906366</v>
      </c>
      <c r="H392">
        <f t="shared" ca="1" si="42"/>
        <v>-0.10582666475446131</v>
      </c>
      <c r="I392">
        <f t="shared" ca="1" si="43"/>
        <v>2.02985653906366</v>
      </c>
      <c r="J392">
        <f t="shared" ca="1" si="44"/>
        <v>1.4523946450428178</v>
      </c>
      <c r="K392">
        <f t="shared" ca="1" si="45"/>
        <v>29.564842223525254</v>
      </c>
      <c r="L392">
        <f t="shared" ca="1" si="46"/>
        <v>28.433867003153253</v>
      </c>
      <c r="M392">
        <f t="shared" ca="1" si="47"/>
        <v>8.993840583008776</v>
      </c>
      <c r="N392">
        <f t="shared" ca="1" si="48"/>
        <v>8.9993546133392535</v>
      </c>
    </row>
    <row r="393" spans="6:14" x14ac:dyDescent="0.75">
      <c r="F393">
        <v>388</v>
      </c>
      <c r="G393">
        <f t="shared" ca="1" si="42"/>
        <v>1.0443863768177322</v>
      </c>
      <c r="H393">
        <f t="shared" ca="1" si="42"/>
        <v>-2.3689158082082553</v>
      </c>
      <c r="I393">
        <f t="shared" ca="1" si="43"/>
        <v>1.0443863768177322</v>
      </c>
      <c r="J393">
        <f t="shared" ca="1" si="44"/>
        <v>-0.78360074372885724</v>
      </c>
      <c r="K393">
        <f t="shared" ca="1" si="45"/>
        <v>23.108912187391724</v>
      </c>
      <c r="L393">
        <f t="shared" ca="1" si="46"/>
        <v>16.257951100844604</v>
      </c>
      <c r="M393">
        <f t="shared" ca="1" si="47"/>
        <v>0</v>
      </c>
      <c r="N393">
        <f t="shared" ca="1" si="48"/>
        <v>0</v>
      </c>
    </row>
    <row r="394" spans="6:14" x14ac:dyDescent="0.75">
      <c r="F394">
        <v>389</v>
      </c>
      <c r="G394">
        <f t="shared" ca="1" si="42"/>
        <v>-2.2474381914990698</v>
      </c>
      <c r="H394">
        <f t="shared" ca="1" si="42"/>
        <v>1.962102330767999</v>
      </c>
      <c r="I394">
        <f t="shared" ca="1" si="43"/>
        <v>-2.2474381914990698</v>
      </c>
      <c r="J394">
        <f t="shared" ca="1" si="44"/>
        <v>-0.38776994010622157</v>
      </c>
      <c r="K394">
        <f t="shared" ca="1" si="45"/>
        <v>10.147853548006482</v>
      </c>
      <c r="L394">
        <f t="shared" ca="1" si="46"/>
        <v>17.949096663728024</v>
      </c>
      <c r="M394">
        <f t="shared" ca="1" si="47"/>
        <v>0</v>
      </c>
      <c r="N394">
        <f t="shared" ca="1" si="48"/>
        <v>0</v>
      </c>
    </row>
    <row r="395" spans="6:14" x14ac:dyDescent="0.75">
      <c r="F395">
        <v>390</v>
      </c>
      <c r="G395">
        <f t="shared" ca="1" si="42"/>
        <v>7.4050870054314488E-2</v>
      </c>
      <c r="H395">
        <f t="shared" ca="1" si="42"/>
        <v>-2.9043866227989806E-2</v>
      </c>
      <c r="I395">
        <f t="shared" ca="1" si="43"/>
        <v>7.4050870054314488E-2</v>
      </c>
      <c r="J395">
        <f t="shared" ca="1" si="44"/>
        <v>3.6327440752963708E-2</v>
      </c>
      <c r="K395">
        <f t="shared" ca="1" si="45"/>
        <v>18.131204790186391</v>
      </c>
      <c r="L395">
        <f t="shared" ca="1" si="46"/>
        <v>19.956684178112134</v>
      </c>
      <c r="M395">
        <f t="shared" ca="1" si="47"/>
        <v>0</v>
      </c>
      <c r="N395">
        <f t="shared" ca="1" si="48"/>
        <v>0</v>
      </c>
    </row>
    <row r="396" spans="6:14" x14ac:dyDescent="0.75">
      <c r="F396">
        <v>391</v>
      </c>
      <c r="G396">
        <f t="shared" ca="1" si="42"/>
        <v>0.43348530556828851</v>
      </c>
      <c r="H396">
        <f t="shared" ca="1" si="42"/>
        <v>-0.13965981984752504</v>
      </c>
      <c r="I396">
        <f t="shared" ca="1" si="43"/>
        <v>0.43348530556828851</v>
      </c>
      <c r="J396">
        <f t="shared" ca="1" si="44"/>
        <v>0.23273769131005789</v>
      </c>
      <c r="K396">
        <f t="shared" ca="1" si="45"/>
        <v>19.83589319654606</v>
      </c>
      <c r="L396">
        <f t="shared" ca="1" si="46"/>
        <v>20.961065569109699</v>
      </c>
      <c r="M396">
        <f t="shared" ca="1" si="47"/>
        <v>0.39071989692024189</v>
      </c>
      <c r="N396">
        <f t="shared" ca="1" si="48"/>
        <v>0.39847938282787965</v>
      </c>
    </row>
    <row r="397" spans="6:14" x14ac:dyDescent="0.75">
      <c r="F397">
        <v>392</v>
      </c>
      <c r="G397">
        <f t="shared" ca="1" si="42"/>
        <v>0.17376805256498357</v>
      </c>
      <c r="H397">
        <f t="shared" ca="1" si="42"/>
        <v>-0.19778673163875576</v>
      </c>
      <c r="I397">
        <f t="shared" ca="1" si="43"/>
        <v>0.17376805256498357</v>
      </c>
      <c r="J397">
        <f t="shared" ca="1" si="44"/>
        <v>-4.9758671236693752E-4</v>
      </c>
      <c r="K397">
        <f t="shared" ca="1" si="45"/>
        <v>18.588884062858014</v>
      </c>
      <c r="L397">
        <f t="shared" ca="1" si="46"/>
        <v>19.773800944072455</v>
      </c>
      <c r="M397">
        <f t="shared" ca="1" si="47"/>
        <v>0</v>
      </c>
      <c r="N397">
        <f t="shared" ca="1" si="48"/>
        <v>0</v>
      </c>
    </row>
    <row r="398" spans="6:14" x14ac:dyDescent="0.75">
      <c r="F398">
        <v>393</v>
      </c>
      <c r="G398">
        <f t="shared" ca="1" si="42"/>
        <v>-0.20638196536941941</v>
      </c>
      <c r="H398">
        <f t="shared" ca="1" si="42"/>
        <v>-1.715183225162566</v>
      </c>
      <c r="I398">
        <f t="shared" ca="1" si="43"/>
        <v>-0.20638196536941941</v>
      </c>
      <c r="J398">
        <f t="shared" ca="1" si="44"/>
        <v>-1.2892735406995277</v>
      </c>
      <c r="K398">
        <f t="shared" ca="1" si="45"/>
        <v>16.903594076275773</v>
      </c>
      <c r="L398">
        <f t="shared" ca="1" si="46"/>
        <v>14.32725816724224</v>
      </c>
      <c r="M398">
        <f t="shared" ca="1" si="47"/>
        <v>0</v>
      </c>
      <c r="N398">
        <f t="shared" ca="1" si="48"/>
        <v>0</v>
      </c>
    </row>
    <row r="399" spans="6:14" x14ac:dyDescent="0.75">
      <c r="F399">
        <v>394</v>
      </c>
      <c r="G399">
        <f t="shared" ca="1" si="42"/>
        <v>-2.5768446992566512</v>
      </c>
      <c r="H399">
        <f t="shared" ca="1" si="42"/>
        <v>0.62096878245050069</v>
      </c>
      <c r="I399">
        <f t="shared" ca="1" si="43"/>
        <v>-2.5768446992566512</v>
      </c>
      <c r="J399">
        <f t="shared" ca="1" si="44"/>
        <v>-1.5219012818678397</v>
      </c>
      <c r="K399">
        <f t="shared" ca="1" si="45"/>
        <v>9.3456461559585335</v>
      </c>
      <c r="L399">
        <f t="shared" ca="1" si="46"/>
        <v>13.517794830880076</v>
      </c>
      <c r="M399">
        <f t="shared" ca="1" si="47"/>
        <v>0</v>
      </c>
      <c r="N399">
        <f t="shared" ca="1" si="48"/>
        <v>0</v>
      </c>
    </row>
    <row r="400" spans="6:14" x14ac:dyDescent="0.75">
      <c r="F400">
        <v>395</v>
      </c>
      <c r="G400">
        <f t="shared" ca="1" si="42"/>
        <v>-1.5924726723915477</v>
      </c>
      <c r="H400">
        <f t="shared" ca="1" si="42"/>
        <v>-1.8481589749365208</v>
      </c>
      <c r="I400">
        <f t="shared" ca="1" si="43"/>
        <v>-1.5924726723915477</v>
      </c>
      <c r="J400">
        <f t="shared" ca="1" si="44"/>
        <v>-2.4167967620421833</v>
      </c>
      <c r="K400">
        <f t="shared" ca="1" si="45"/>
        <v>11.9532545645855</v>
      </c>
      <c r="L400">
        <f t="shared" ca="1" si="46"/>
        <v>10.807961981689864</v>
      </c>
      <c r="M400">
        <f t="shared" ca="1" si="47"/>
        <v>0</v>
      </c>
      <c r="N400">
        <f t="shared" ca="1" si="48"/>
        <v>0</v>
      </c>
    </row>
    <row r="401" spans="6:14" x14ac:dyDescent="0.75">
      <c r="F401">
        <v>396</v>
      </c>
      <c r="G401">
        <f t="shared" ca="1" si="42"/>
        <v>0.60978140381477897</v>
      </c>
      <c r="H401">
        <f t="shared" ca="1" si="42"/>
        <v>0.21269596906575369</v>
      </c>
      <c r="I401">
        <f t="shared" ca="1" si="43"/>
        <v>0.60978140381477897</v>
      </c>
      <c r="J401">
        <f t="shared" ca="1" si="44"/>
        <v>0.5980212126145521</v>
      </c>
      <c r="K401">
        <f t="shared" ca="1" si="45"/>
        <v>20.72969283347275</v>
      </c>
      <c r="L401">
        <f t="shared" ca="1" si="46"/>
        <v>22.965373389359964</v>
      </c>
      <c r="M401">
        <f t="shared" ca="1" si="47"/>
        <v>1.8189169338773787</v>
      </c>
      <c r="N401">
        <f t="shared" ca="1" si="48"/>
        <v>1.8475331114163573</v>
      </c>
    </row>
    <row r="402" spans="6:14" x14ac:dyDescent="0.75">
      <c r="F402">
        <v>397</v>
      </c>
      <c r="G402">
        <f t="shared" ca="1" si="42"/>
        <v>-0.5246690421659157</v>
      </c>
      <c r="H402">
        <f t="shared" ca="1" si="42"/>
        <v>0.5814219925202001</v>
      </c>
      <c r="I402">
        <f t="shared" ca="1" si="43"/>
        <v>-0.5246690421659157</v>
      </c>
      <c r="J402">
        <f t="shared" ca="1" si="44"/>
        <v>-8.9272818764102313E-3</v>
      </c>
      <c r="K402">
        <f t="shared" ca="1" si="45"/>
        <v>15.610667542007747</v>
      </c>
      <c r="L402">
        <f t="shared" ca="1" si="46"/>
        <v>19.732173044743519</v>
      </c>
      <c r="M402">
        <f t="shared" ca="1" si="47"/>
        <v>0</v>
      </c>
      <c r="N402">
        <f t="shared" ca="1" si="48"/>
        <v>0</v>
      </c>
    </row>
    <row r="403" spans="6:14" x14ac:dyDescent="0.75">
      <c r="F403">
        <v>398</v>
      </c>
      <c r="G403">
        <f t="shared" ca="1" si="42"/>
        <v>0.53748295226240927</v>
      </c>
      <c r="H403">
        <f t="shared" ca="1" si="42"/>
        <v>0.13639625538093703</v>
      </c>
      <c r="I403">
        <f t="shared" ca="1" si="43"/>
        <v>0.53748295226240927</v>
      </c>
      <c r="J403">
        <f t="shared" ca="1" si="44"/>
        <v>0.49332985707141069</v>
      </c>
      <c r="K403">
        <f t="shared" ca="1" si="45"/>
        <v>20.358377459785117</v>
      </c>
      <c r="L403">
        <f t="shared" ca="1" si="46"/>
        <v>22.372102035848584</v>
      </c>
      <c r="M403">
        <f t="shared" ca="1" si="47"/>
        <v>1.3415017703682821</v>
      </c>
      <c r="N403">
        <f t="shared" ca="1" si="48"/>
        <v>1.365239747816851</v>
      </c>
    </row>
    <row r="404" spans="6:14" x14ac:dyDescent="0.75">
      <c r="F404">
        <v>399</v>
      </c>
      <c r="G404">
        <f t="shared" ca="1" si="42"/>
        <v>-1.4158711846345808</v>
      </c>
      <c r="H404">
        <f t="shared" ca="1" si="42"/>
        <v>-1.6794108653058437</v>
      </c>
      <c r="I404">
        <f t="shared" ca="1" si="43"/>
        <v>-1.4158711846345808</v>
      </c>
      <c r="J404">
        <f t="shared" ca="1" si="44"/>
        <v>-2.1727292631506994</v>
      </c>
      <c r="K404">
        <f t="shared" ca="1" si="45"/>
        <v>12.492818531595809</v>
      </c>
      <c r="L404">
        <f t="shared" ca="1" si="46"/>
        <v>11.487964909503216</v>
      </c>
      <c r="M404">
        <f t="shared" ca="1" si="47"/>
        <v>0</v>
      </c>
      <c r="N404">
        <f t="shared" ca="1" si="48"/>
        <v>0</v>
      </c>
    </row>
    <row r="405" spans="6:14" x14ac:dyDescent="0.75">
      <c r="F405">
        <v>400</v>
      </c>
      <c r="G405">
        <f t="shared" ca="1" si="42"/>
        <v>1.159401497856976</v>
      </c>
      <c r="H405">
        <f t="shared" ca="1" si="42"/>
        <v>5.6381356013486213E-2</v>
      </c>
      <c r="I405">
        <f t="shared" ca="1" si="43"/>
        <v>1.159401497856976</v>
      </c>
      <c r="J405">
        <f t="shared" ca="1" si="44"/>
        <v>0.90684388504080216</v>
      </c>
      <c r="K405">
        <f t="shared" ca="1" si="45"/>
        <v>23.783025985815836</v>
      </c>
      <c r="L405">
        <f t="shared" ca="1" si="46"/>
        <v>24.808671388386866</v>
      </c>
      <c r="M405">
        <f t="shared" ca="1" si="47"/>
        <v>4.2904359018847309</v>
      </c>
      <c r="N405">
        <f t="shared" ca="1" si="48"/>
        <v>4.2958486871013513</v>
      </c>
    </row>
    <row r="406" spans="6:14" x14ac:dyDescent="0.75">
      <c r="F406">
        <v>401</v>
      </c>
      <c r="G406">
        <f t="shared" ca="1" si="42"/>
        <v>1.0672358708290923</v>
      </c>
      <c r="H406">
        <f t="shared" ca="1" si="42"/>
        <v>1.0091131113698382</v>
      </c>
      <c r="I406">
        <f t="shared" ca="1" si="43"/>
        <v>1.0672358708290923</v>
      </c>
      <c r="J406">
        <f t="shared" ca="1" si="44"/>
        <v>1.4678924874766235</v>
      </c>
      <c r="K406">
        <f t="shared" ca="1" si="45"/>
        <v>23.241296679895356</v>
      </c>
      <c r="L406">
        <f t="shared" ca="1" si="46"/>
        <v>28.544246593410403</v>
      </c>
      <c r="M406">
        <f t="shared" ca="1" si="47"/>
        <v>5.7566555201086516</v>
      </c>
      <c r="N406">
        <f t="shared" ca="1" si="48"/>
        <v>5.8927716366528813</v>
      </c>
    </row>
    <row r="407" spans="6:14" x14ac:dyDescent="0.75">
      <c r="F407">
        <v>402</v>
      </c>
      <c r="G407">
        <f t="shared" ca="1" si="42"/>
        <v>-1.1919431047415476</v>
      </c>
      <c r="H407">
        <f t="shared" ca="1" si="42"/>
        <v>5.3120297103625451E-3</v>
      </c>
      <c r="I407">
        <f t="shared" ca="1" si="43"/>
        <v>-1.1919431047415476</v>
      </c>
      <c r="J407">
        <f t="shared" ca="1" si="44"/>
        <v>-0.89044375116350927</v>
      </c>
      <c r="K407">
        <f t="shared" ca="1" si="45"/>
        <v>13.21213838562042</v>
      </c>
      <c r="L407">
        <f t="shared" ca="1" si="46"/>
        <v>15.829437441401353</v>
      </c>
      <c r="M407">
        <f t="shared" ca="1" si="47"/>
        <v>0</v>
      </c>
      <c r="N407">
        <f t="shared" ca="1" si="48"/>
        <v>0</v>
      </c>
    </row>
    <row r="408" spans="6:14" x14ac:dyDescent="0.75">
      <c r="F408">
        <v>403</v>
      </c>
      <c r="G408">
        <f t="shared" ca="1" si="42"/>
        <v>-1.5867434971442187</v>
      </c>
      <c r="H408">
        <f t="shared" ca="1" si="42"/>
        <v>-0.36077408362943691</v>
      </c>
      <c r="I408">
        <f t="shared" ca="1" si="43"/>
        <v>-1.5867434971442187</v>
      </c>
      <c r="J408">
        <f t="shared" ca="1" si="44"/>
        <v>-1.4286872490483413</v>
      </c>
      <c r="K408">
        <f t="shared" ca="1" si="45"/>
        <v>11.970387403830475</v>
      </c>
      <c r="L408">
        <f t="shared" ca="1" si="46"/>
        <v>13.836505994774296</v>
      </c>
      <c r="M408">
        <f t="shared" ca="1" si="47"/>
        <v>0</v>
      </c>
      <c r="N408">
        <f t="shared" ca="1" si="48"/>
        <v>0</v>
      </c>
    </row>
    <row r="409" spans="6:14" x14ac:dyDescent="0.75">
      <c r="F409">
        <v>404</v>
      </c>
      <c r="G409">
        <f t="shared" ca="1" si="42"/>
        <v>0.34401699265675983</v>
      </c>
      <c r="H409">
        <f t="shared" ca="1" si="42"/>
        <v>-0.1348291815006743</v>
      </c>
      <c r="I409">
        <f t="shared" ca="1" si="43"/>
        <v>0.34401699265675983</v>
      </c>
      <c r="J409">
        <f t="shared" ca="1" si="44"/>
        <v>0.16883162356127623</v>
      </c>
      <c r="K409">
        <f t="shared" ca="1" si="45"/>
        <v>19.397147245594983</v>
      </c>
      <c r="L409">
        <f t="shared" ca="1" si="46"/>
        <v>20.628841706728537</v>
      </c>
      <c r="M409">
        <f t="shared" ca="1" si="47"/>
        <v>3.5166931088497222E-3</v>
      </c>
      <c r="N409">
        <f t="shared" ca="1" si="48"/>
        <v>1.2994476161757973E-2</v>
      </c>
    </row>
    <row r="410" spans="6:14" x14ac:dyDescent="0.75">
      <c r="F410">
        <v>405</v>
      </c>
      <c r="G410">
        <f t="shared" ca="1" si="42"/>
        <v>1.7732578627898932</v>
      </c>
      <c r="H410">
        <f t="shared" ca="1" si="42"/>
        <v>-0.47785243058894616</v>
      </c>
      <c r="I410">
        <f t="shared" ca="1" si="43"/>
        <v>1.7732578627898932</v>
      </c>
      <c r="J410">
        <f t="shared" ca="1" si="44"/>
        <v>1.0138737234108937</v>
      </c>
      <c r="K410">
        <f t="shared" ca="1" si="45"/>
        <v>27.727819508509555</v>
      </c>
      <c r="L410">
        <f t="shared" ca="1" si="46"/>
        <v>25.481449183155931</v>
      </c>
      <c r="M410">
        <f t="shared" ca="1" si="47"/>
        <v>6.58091465254358</v>
      </c>
      <c r="N410">
        <f t="shared" ca="1" si="48"/>
        <v>6.6046343458327428</v>
      </c>
    </row>
    <row r="411" spans="6:14" x14ac:dyDescent="0.75">
      <c r="F411">
        <v>406</v>
      </c>
      <c r="G411">
        <f t="shared" ca="1" si="42"/>
        <v>-0.36091006531290598</v>
      </c>
      <c r="H411">
        <f t="shared" ca="1" si="42"/>
        <v>-0.15980554719067774</v>
      </c>
      <c r="I411">
        <f t="shared" ca="1" si="43"/>
        <v>-0.36091006531290598</v>
      </c>
      <c r="J411">
        <f t="shared" ca="1" si="44"/>
        <v>-0.37638398298346198</v>
      </c>
      <c r="K411">
        <f t="shared" ca="1" si="45"/>
        <v>16.263026876607736</v>
      </c>
      <c r="L411">
        <f t="shared" ca="1" si="46"/>
        <v>18.000261360312756</v>
      </c>
      <c r="M411">
        <f t="shared" ca="1" si="47"/>
        <v>0</v>
      </c>
      <c r="N411">
        <f t="shared" ca="1" si="48"/>
        <v>0</v>
      </c>
    </row>
    <row r="412" spans="6:14" x14ac:dyDescent="0.75">
      <c r="F412">
        <v>407</v>
      </c>
      <c r="G412">
        <f t="shared" ca="1" si="42"/>
        <v>0.10166273960696655</v>
      </c>
      <c r="H412">
        <f t="shared" ca="1" si="42"/>
        <v>0.63437014283361737</v>
      </c>
      <c r="I412">
        <f t="shared" ca="1" si="43"/>
        <v>0.10166273960696655</v>
      </c>
      <c r="J412">
        <f t="shared" ca="1" si="44"/>
        <v>0.4958434639807936</v>
      </c>
      <c r="K412">
        <f t="shared" ca="1" si="45"/>
        <v>18.256796885916753</v>
      </c>
      <c r="L412">
        <f t="shared" ca="1" si="46"/>
        <v>22.386165121583169</v>
      </c>
      <c r="M412">
        <f t="shared" ca="1" si="47"/>
        <v>0.21632186327022751</v>
      </c>
      <c r="N412">
        <f t="shared" ca="1" si="48"/>
        <v>0.32148100374995892</v>
      </c>
    </row>
    <row r="413" spans="6:14" x14ac:dyDescent="0.75">
      <c r="F413">
        <v>408</v>
      </c>
      <c r="G413">
        <f t="shared" ca="1" si="42"/>
        <v>0.62024987695116895</v>
      </c>
      <c r="H413">
        <f t="shared" ca="1" si="42"/>
        <v>0.73595841703971054</v>
      </c>
      <c r="I413">
        <f t="shared" ca="1" si="43"/>
        <v>0.62024987695116895</v>
      </c>
      <c r="J413">
        <f t="shared" ca="1" si="44"/>
        <v>0.95197814440633555</v>
      </c>
      <c r="K413">
        <f t="shared" ca="1" si="45"/>
        <v>20.78401594560966</v>
      </c>
      <c r="L413">
        <f t="shared" ca="1" si="46"/>
        <v>25.090186903062197</v>
      </c>
      <c r="M413">
        <f t="shared" ca="1" si="47"/>
        <v>2.8358237134457518</v>
      </c>
      <c r="N413">
        <f t="shared" ca="1" si="48"/>
        <v>2.9371014243359284</v>
      </c>
    </row>
    <row r="414" spans="6:14" x14ac:dyDescent="0.75">
      <c r="F414">
        <v>409</v>
      </c>
      <c r="G414">
        <f t="shared" ca="1" si="42"/>
        <v>0.8186926087716786</v>
      </c>
      <c r="H414">
        <f t="shared" ca="1" si="42"/>
        <v>-0.40899329181580557</v>
      </c>
      <c r="I414">
        <f t="shared" ca="1" si="43"/>
        <v>0.8186926087716786</v>
      </c>
      <c r="J414">
        <f t="shared" ca="1" si="44"/>
        <v>0.34349582206918633</v>
      </c>
      <c r="K414">
        <f t="shared" ca="1" si="45"/>
        <v>21.84113045045374</v>
      </c>
      <c r="L414">
        <f t="shared" ca="1" si="46"/>
        <v>21.549577893973002</v>
      </c>
      <c r="M414">
        <f t="shared" ca="1" si="47"/>
        <v>1.6948644138302562</v>
      </c>
      <c r="N414">
        <f t="shared" ca="1" si="48"/>
        <v>1.6953541722133707</v>
      </c>
    </row>
    <row r="415" spans="6:14" x14ac:dyDescent="0.75">
      <c r="F415">
        <v>410</v>
      </c>
      <c r="G415">
        <f t="shared" ca="1" si="42"/>
        <v>0.50963249510330877</v>
      </c>
      <c r="H415">
        <f t="shared" ca="1" si="42"/>
        <v>0.73789302712373794</v>
      </c>
      <c r="I415">
        <f t="shared" ca="1" si="43"/>
        <v>0.50963249510330877</v>
      </c>
      <c r="J415">
        <f t="shared" ca="1" si="44"/>
        <v>0.87029473231199383</v>
      </c>
      <c r="K415">
        <f t="shared" ca="1" si="45"/>
        <v>20.217122253373315</v>
      </c>
      <c r="L415">
        <f t="shared" ca="1" si="46"/>
        <v>24.583019899802309</v>
      </c>
      <c r="M415">
        <f t="shared" ca="1" si="47"/>
        <v>2.2934501293858141</v>
      </c>
      <c r="N415">
        <f t="shared" ca="1" si="48"/>
        <v>2.4000710765878139</v>
      </c>
    </row>
    <row r="416" spans="6:14" x14ac:dyDescent="0.75">
      <c r="F416">
        <v>411</v>
      </c>
      <c r="G416">
        <f t="shared" ca="1" si="42"/>
        <v>0.76830895326114224</v>
      </c>
      <c r="H416">
        <f t="shared" ca="1" si="42"/>
        <v>-1.1487993105987955</v>
      </c>
      <c r="I416">
        <f t="shared" ca="1" si="43"/>
        <v>0.76830895326114224</v>
      </c>
      <c r="J416">
        <f t="shared" ca="1" si="44"/>
        <v>-0.18362760559585856</v>
      </c>
      <c r="K416">
        <f t="shared" ca="1" si="45"/>
        <v>21.5677468251201</v>
      </c>
      <c r="L416">
        <f t="shared" ca="1" si="46"/>
        <v>18.88891745724019</v>
      </c>
      <c r="M416">
        <f t="shared" ca="1" si="47"/>
        <v>0.1839388999854954</v>
      </c>
      <c r="N416">
        <f t="shared" ca="1" si="48"/>
        <v>0.22833214118014666</v>
      </c>
    </row>
    <row r="417" spans="6:14" x14ac:dyDescent="0.75">
      <c r="F417">
        <v>412</v>
      </c>
      <c r="G417">
        <f t="shared" ca="1" si="42"/>
        <v>-0.49145485608119222</v>
      </c>
      <c r="H417">
        <f t="shared" ca="1" si="42"/>
        <v>-1.9060043550071981</v>
      </c>
      <c r="I417">
        <f t="shared" ca="1" si="43"/>
        <v>-0.49145485608119222</v>
      </c>
      <c r="J417">
        <f t="shared" ca="1" si="44"/>
        <v>-1.6292945223496726</v>
      </c>
      <c r="K417">
        <f t="shared" ca="1" si="45"/>
        <v>15.740831107896657</v>
      </c>
      <c r="L417">
        <f t="shared" ca="1" si="46"/>
        <v>13.159693600200285</v>
      </c>
      <c r="M417">
        <f t="shared" ca="1" si="47"/>
        <v>0</v>
      </c>
      <c r="N417">
        <f t="shared" ca="1" si="48"/>
        <v>0</v>
      </c>
    </row>
    <row r="418" spans="6:14" x14ac:dyDescent="0.75">
      <c r="F418">
        <v>413</v>
      </c>
      <c r="G418">
        <f t="shared" ca="1" si="42"/>
        <v>-1.4329499447587508</v>
      </c>
      <c r="H418">
        <f t="shared" ca="1" si="42"/>
        <v>0.30153592599359558</v>
      </c>
      <c r="I418">
        <f t="shared" ca="1" si="43"/>
        <v>-1.4329499447587508</v>
      </c>
      <c r="J418">
        <f t="shared" ca="1" si="44"/>
        <v>-0.87526519068640529</v>
      </c>
      <c r="K418">
        <f t="shared" ca="1" si="45"/>
        <v>12.43959178057734</v>
      </c>
      <c r="L418">
        <f t="shared" ca="1" si="46"/>
        <v>15.88961857043159</v>
      </c>
      <c r="M418">
        <f t="shared" ca="1" si="47"/>
        <v>0</v>
      </c>
      <c r="N418">
        <f t="shared" ca="1" si="48"/>
        <v>0</v>
      </c>
    </row>
    <row r="419" spans="6:14" x14ac:dyDescent="0.75">
      <c r="F419">
        <v>414</v>
      </c>
      <c r="G419">
        <f t="shared" ca="1" si="42"/>
        <v>0.86896975513653019</v>
      </c>
      <c r="H419">
        <f t="shared" ca="1" si="42"/>
        <v>9.6040770396422698E-2</v>
      </c>
      <c r="I419">
        <f t="shared" ca="1" si="43"/>
        <v>0.86896975513653019</v>
      </c>
      <c r="J419">
        <f t="shared" ca="1" si="44"/>
        <v>0.71525231490039487</v>
      </c>
      <c r="K419">
        <f t="shared" ca="1" si="45"/>
        <v>22.117390436919848</v>
      </c>
      <c r="L419">
        <f t="shared" ca="1" si="46"/>
        <v>23.648397467414689</v>
      </c>
      <c r="M419">
        <f t="shared" ca="1" si="47"/>
        <v>2.8700861387594507</v>
      </c>
      <c r="N419">
        <f t="shared" ca="1" si="48"/>
        <v>2.8828939521672687</v>
      </c>
    </row>
    <row r="420" spans="6:14" x14ac:dyDescent="0.75">
      <c r="F420">
        <v>415</v>
      </c>
      <c r="G420">
        <f t="shared" ca="1" si="42"/>
        <v>4.8158690854930568E-2</v>
      </c>
      <c r="H420">
        <f t="shared" ca="1" si="42"/>
        <v>2.1570218711719578E-2</v>
      </c>
      <c r="I420">
        <f t="shared" ca="1" si="43"/>
        <v>4.8158690854930568E-2</v>
      </c>
      <c r="J420">
        <f t="shared" ca="1" si="44"/>
        <v>5.0386376750318436E-2</v>
      </c>
      <c r="K420">
        <f t="shared" ca="1" si="45"/>
        <v>18.014219722571713</v>
      </c>
      <c r="L420">
        <f t="shared" ca="1" si="46"/>
        <v>20.026950025052731</v>
      </c>
      <c r="M420">
        <f t="shared" ca="1" si="47"/>
        <v>0</v>
      </c>
      <c r="N420">
        <f t="shared" ca="1" si="48"/>
        <v>0</v>
      </c>
    </row>
    <row r="421" spans="6:14" x14ac:dyDescent="0.75">
      <c r="F421">
        <v>416</v>
      </c>
      <c r="G421">
        <f t="shared" ca="1" si="42"/>
        <v>0.1161536156196805</v>
      </c>
      <c r="H421">
        <f t="shared" ca="1" si="42"/>
        <v>-0.30097228397228115</v>
      </c>
      <c r="I421">
        <f t="shared" ca="1" si="43"/>
        <v>0.1161536156196805</v>
      </c>
      <c r="J421">
        <f t="shared" ca="1" si="44"/>
        <v>-0.11195924201368142</v>
      </c>
      <c r="K421">
        <f t="shared" ca="1" si="45"/>
        <v>18.323056077683137</v>
      </c>
      <c r="L421">
        <f t="shared" ca="1" si="46"/>
        <v>19.230401977542581</v>
      </c>
      <c r="M421">
        <f t="shared" ca="1" si="47"/>
        <v>0</v>
      </c>
      <c r="N421">
        <f t="shared" ca="1" si="48"/>
        <v>0</v>
      </c>
    </row>
    <row r="422" spans="6:14" x14ac:dyDescent="0.75">
      <c r="F422">
        <v>417</v>
      </c>
      <c r="G422">
        <f t="shared" ca="1" si="42"/>
        <v>0.78986040563535098</v>
      </c>
      <c r="H422">
        <f t="shared" ca="1" si="42"/>
        <v>-0.22065648966174423</v>
      </c>
      <c r="I422">
        <f t="shared" ca="1" si="43"/>
        <v>0.78986040563535098</v>
      </c>
      <c r="J422">
        <f t="shared" ca="1" si="44"/>
        <v>0.44644475502214565</v>
      </c>
      <c r="K422">
        <f t="shared" ca="1" si="45"/>
        <v>21.684264501026625</v>
      </c>
      <c r="L422">
        <f t="shared" ca="1" si="46"/>
        <v>22.111403309633978</v>
      </c>
      <c r="M422">
        <f t="shared" ca="1" si="47"/>
        <v>1.8967924101905567</v>
      </c>
      <c r="N422">
        <f t="shared" ca="1" si="48"/>
        <v>1.8978339053303017</v>
      </c>
    </row>
    <row r="423" spans="6:14" x14ac:dyDescent="0.75">
      <c r="F423">
        <v>418</v>
      </c>
      <c r="G423">
        <f t="shared" ca="1" si="42"/>
        <v>0.48186464745866198</v>
      </c>
      <c r="H423">
        <f t="shared" ca="1" si="42"/>
        <v>-0.26424658552489244</v>
      </c>
      <c r="I423">
        <f t="shared" ca="1" si="43"/>
        <v>0.48186464745866198</v>
      </c>
      <c r="J423">
        <f t="shared" ca="1" si="44"/>
        <v>0.18661579806979003</v>
      </c>
      <c r="K423">
        <f t="shared" ca="1" si="45"/>
        <v>20.077261775458037</v>
      </c>
      <c r="L423">
        <f t="shared" ca="1" si="46"/>
        <v>20.720762627727268</v>
      </c>
      <c r="M423">
        <f t="shared" ca="1" si="47"/>
        <v>0.39647458420224524</v>
      </c>
      <c r="N423">
        <f t="shared" ca="1" si="48"/>
        <v>0.39901220159265449</v>
      </c>
    </row>
    <row r="424" spans="6:14" x14ac:dyDescent="0.75">
      <c r="F424">
        <v>419</v>
      </c>
      <c r="G424">
        <f t="shared" ca="1" si="42"/>
        <v>0.8387925375823595</v>
      </c>
      <c r="H424">
        <f t="shared" ca="1" si="42"/>
        <v>1.2034388851384219</v>
      </c>
      <c r="I424">
        <f t="shared" ca="1" si="43"/>
        <v>0.8387925375823595</v>
      </c>
      <c r="J424">
        <f t="shared" ca="1" si="44"/>
        <v>1.4250944052220418</v>
      </c>
      <c r="K424">
        <f t="shared" ca="1" si="45"/>
        <v>21.95115795385647</v>
      </c>
      <c r="L424">
        <f t="shared" ca="1" si="46"/>
        <v>28.240464897327765</v>
      </c>
      <c r="M424">
        <f t="shared" ca="1" si="47"/>
        <v>4.8980100741320456</v>
      </c>
      <c r="N424">
        <f t="shared" ca="1" si="48"/>
        <v>5.0958114255921174</v>
      </c>
    </row>
    <row r="425" spans="6:14" x14ac:dyDescent="0.75">
      <c r="F425">
        <v>420</v>
      </c>
      <c r="G425">
        <f t="shared" ca="1" si="42"/>
        <v>0.96799207547910859</v>
      </c>
      <c r="H425">
        <f t="shared" ca="1" si="42"/>
        <v>1.1235343663450703</v>
      </c>
      <c r="I425">
        <f t="shared" ca="1" si="43"/>
        <v>0.96799207547910859</v>
      </c>
      <c r="J425">
        <f t="shared" ca="1" si="44"/>
        <v>1.4691421873052299</v>
      </c>
      <c r="K425">
        <f t="shared" ca="1" si="45"/>
        <v>22.671752736381372</v>
      </c>
      <c r="L425">
        <f t="shared" ca="1" si="46"/>
        <v>28.553165921667102</v>
      </c>
      <c r="M425">
        <f t="shared" ca="1" si="47"/>
        <v>5.4430799554005915</v>
      </c>
      <c r="N425">
        <f t="shared" ca="1" si="48"/>
        <v>5.6124593290242366</v>
      </c>
    </row>
    <row r="426" spans="6:14" x14ac:dyDescent="0.75">
      <c r="F426">
        <v>421</v>
      </c>
      <c r="G426">
        <f t="shared" ca="1" si="42"/>
        <v>0.90891556913960558</v>
      </c>
      <c r="H426">
        <f t="shared" ca="1" si="42"/>
        <v>-1.6011596170023352</v>
      </c>
      <c r="I426">
        <f t="shared" ca="1" si="43"/>
        <v>0.90891556913960558</v>
      </c>
      <c r="J426">
        <f t="shared" ca="1" si="44"/>
        <v>-0.37738086212219735</v>
      </c>
      <c r="K426">
        <f t="shared" ca="1" si="45"/>
        <v>22.339371283951021</v>
      </c>
      <c r="L426">
        <f t="shared" ca="1" si="46"/>
        <v>17.995775898008475</v>
      </c>
      <c r="M426">
        <f t="shared" ca="1" si="47"/>
        <v>5.0294744177413975E-2</v>
      </c>
      <c r="N426">
        <f t="shared" ca="1" si="48"/>
        <v>0.16757359097974955</v>
      </c>
    </row>
    <row r="427" spans="6:14" x14ac:dyDescent="0.75">
      <c r="F427">
        <v>422</v>
      </c>
      <c r="G427">
        <f t="shared" ca="1" si="42"/>
        <v>-2.0287623106381457E-2</v>
      </c>
      <c r="H427">
        <f t="shared" ca="1" si="42"/>
        <v>0.35258912988815827</v>
      </c>
      <c r="I427">
        <f t="shared" ca="1" si="43"/>
        <v>-2.0287623106381457E-2</v>
      </c>
      <c r="J427">
        <f t="shared" ca="1" si="44"/>
        <v>0.21800007083739339</v>
      </c>
      <c r="K427">
        <f t="shared" ca="1" si="45"/>
        <v>17.708590345857441</v>
      </c>
      <c r="L427">
        <f t="shared" ca="1" si="46"/>
        <v>20.883978608843712</v>
      </c>
      <c r="M427">
        <f t="shared" ca="1" si="47"/>
        <v>0</v>
      </c>
      <c r="N427">
        <f t="shared" ca="1" si="48"/>
        <v>0</v>
      </c>
    </row>
    <row r="428" spans="6:14" x14ac:dyDescent="0.75">
      <c r="F428">
        <v>423</v>
      </c>
      <c r="G428">
        <f t="shared" ca="1" si="42"/>
        <v>-0.26012475363459958</v>
      </c>
      <c r="H428">
        <f t="shared" ca="1" si="42"/>
        <v>-0.78208594805323473</v>
      </c>
      <c r="I428">
        <f t="shared" ca="1" si="43"/>
        <v>-0.26012475363459958</v>
      </c>
      <c r="J428">
        <f t="shared" ca="1" si="44"/>
        <v>-0.71239479583270948</v>
      </c>
      <c r="K428">
        <f t="shared" ca="1" si="45"/>
        <v>16.678001397995402</v>
      </c>
      <c r="L428">
        <f t="shared" ca="1" si="46"/>
        <v>16.549958174441727</v>
      </c>
      <c r="M428">
        <f t="shared" ca="1" si="47"/>
        <v>0</v>
      </c>
      <c r="N428">
        <f t="shared" ca="1" si="48"/>
        <v>0</v>
      </c>
    </row>
    <row r="429" spans="6:14" x14ac:dyDescent="0.75">
      <c r="F429">
        <v>424</v>
      </c>
      <c r="G429">
        <f t="shared" ca="1" si="42"/>
        <v>-0.59161392448283268</v>
      </c>
      <c r="H429">
        <f t="shared" ca="1" si="42"/>
        <v>0.52826449805358489</v>
      </c>
      <c r="I429">
        <f t="shared" ca="1" si="43"/>
        <v>-0.59161392448283268</v>
      </c>
      <c r="J429">
        <f t="shared" ca="1" si="44"/>
        <v>-9.4296321283586948E-2</v>
      </c>
      <c r="K429">
        <f t="shared" ca="1" si="45"/>
        <v>15.351578103208821</v>
      </c>
      <c r="L429">
        <f t="shared" ca="1" si="46"/>
        <v>19.315506003901213</v>
      </c>
      <c r="M429">
        <f t="shared" ca="1" si="47"/>
        <v>0</v>
      </c>
      <c r="N429">
        <f t="shared" ca="1" si="48"/>
        <v>0</v>
      </c>
    </row>
    <row r="430" spans="6:14" x14ac:dyDescent="0.75">
      <c r="F430">
        <v>425</v>
      </c>
      <c r="G430">
        <f t="shared" ca="1" si="42"/>
        <v>-1.8957151212849139</v>
      </c>
      <c r="H430">
        <f t="shared" ca="1" si="42"/>
        <v>-0.96919189148939122</v>
      </c>
      <c r="I430">
        <f t="shared" ca="1" si="43"/>
        <v>-1.8957151212849139</v>
      </c>
      <c r="J430">
        <f t="shared" ca="1" si="44"/>
        <v>-2.0628465203589923</v>
      </c>
      <c r="K430">
        <f t="shared" ca="1" si="45"/>
        <v>11.080568377091931</v>
      </c>
      <c r="L430">
        <f t="shared" ca="1" si="46"/>
        <v>11.807921779416223</v>
      </c>
      <c r="M430">
        <f t="shared" ca="1" si="47"/>
        <v>0</v>
      </c>
      <c r="N430">
        <f t="shared" ca="1" si="48"/>
        <v>0</v>
      </c>
    </row>
    <row r="431" spans="6:14" x14ac:dyDescent="0.75">
      <c r="F431">
        <v>426</v>
      </c>
      <c r="G431">
        <f t="shared" ca="1" si="42"/>
        <v>-1.0475787981024529</v>
      </c>
      <c r="H431">
        <f t="shared" ca="1" si="42"/>
        <v>0.90655675509722378</v>
      </c>
      <c r="I431">
        <f t="shared" ca="1" si="43"/>
        <v>-1.0475787981024529</v>
      </c>
      <c r="J431">
        <f t="shared" ca="1" si="44"/>
        <v>-0.18605316773860436</v>
      </c>
      <c r="K431">
        <f t="shared" ca="1" si="45"/>
        <v>13.697687984959707</v>
      </c>
      <c r="L431">
        <f t="shared" ca="1" si="46"/>
        <v>18.877466868579926</v>
      </c>
      <c r="M431">
        <f t="shared" ca="1" si="47"/>
        <v>0</v>
      </c>
      <c r="N431">
        <f t="shared" ca="1" si="48"/>
        <v>0</v>
      </c>
    </row>
    <row r="432" spans="6:14" x14ac:dyDescent="0.75">
      <c r="F432">
        <v>427</v>
      </c>
      <c r="G432">
        <f t="shared" ca="1" si="42"/>
        <v>-0.38051101186030706</v>
      </c>
      <c r="H432">
        <f t="shared" ca="1" si="42"/>
        <v>-0.13099084847454623</v>
      </c>
      <c r="I432">
        <f t="shared" ca="1" si="43"/>
        <v>-0.38051101186030706</v>
      </c>
      <c r="J432">
        <f t="shared" ca="1" si="44"/>
        <v>-0.37202556116747876</v>
      </c>
      <c r="K432">
        <f t="shared" ca="1" si="45"/>
        <v>16.183529134432312</v>
      </c>
      <c r="L432">
        <f t="shared" ca="1" si="46"/>
        <v>18.019885232461842</v>
      </c>
      <c r="M432">
        <f t="shared" ca="1" si="47"/>
        <v>0</v>
      </c>
      <c r="N432">
        <f t="shared" ca="1" si="48"/>
        <v>0</v>
      </c>
    </row>
    <row r="433" spans="6:14" x14ac:dyDescent="0.75">
      <c r="F433">
        <v>428</v>
      </c>
      <c r="G433">
        <f t="shared" ca="1" si="42"/>
        <v>0.16525367956344075</v>
      </c>
      <c r="H433">
        <f t="shared" ca="1" si="42"/>
        <v>-1.3135742435785149</v>
      </c>
      <c r="I433">
        <f t="shared" ca="1" si="43"/>
        <v>0.16525367956344075</v>
      </c>
      <c r="J433">
        <f t="shared" ca="1" si="44"/>
        <v>-0.74490743460955289</v>
      </c>
      <c r="K433">
        <f t="shared" ca="1" si="45"/>
        <v>18.549357972118688</v>
      </c>
      <c r="L433">
        <f t="shared" ca="1" si="46"/>
        <v>16.415982696120931</v>
      </c>
      <c r="M433">
        <f t="shared" ca="1" si="47"/>
        <v>0</v>
      </c>
      <c r="N433">
        <f t="shared" ca="1" si="48"/>
        <v>0</v>
      </c>
    </row>
    <row r="434" spans="6:14" x14ac:dyDescent="0.75">
      <c r="F434">
        <v>429</v>
      </c>
      <c r="G434">
        <f t="shared" ca="1" si="42"/>
        <v>-0.87534812676859586</v>
      </c>
      <c r="H434">
        <f t="shared" ca="1" si="42"/>
        <v>-1.5475264982431287</v>
      </c>
      <c r="I434">
        <f t="shared" ca="1" si="43"/>
        <v>-0.87534812676859586</v>
      </c>
      <c r="J434">
        <f t="shared" ca="1" si="44"/>
        <v>-1.6801036604849351</v>
      </c>
      <c r="K434">
        <f t="shared" ca="1" si="45"/>
        <v>14.300360206352194</v>
      </c>
      <c r="L434">
        <f t="shared" ca="1" si="46"/>
        <v>12.993592592178558</v>
      </c>
      <c r="M434">
        <f t="shared" ca="1" si="47"/>
        <v>0</v>
      </c>
      <c r="N434">
        <f t="shared" ca="1" si="48"/>
        <v>0</v>
      </c>
    </row>
    <row r="435" spans="6:14" x14ac:dyDescent="0.75">
      <c r="F435">
        <v>430</v>
      </c>
      <c r="G435">
        <f t="shared" ca="1" si="42"/>
        <v>-0.65575504242292271</v>
      </c>
      <c r="H435">
        <f t="shared" ca="1" si="42"/>
        <v>-1.0371278845519898</v>
      </c>
      <c r="I435">
        <f t="shared" ca="1" si="43"/>
        <v>-0.65575504242292271</v>
      </c>
      <c r="J435">
        <f t="shared" ca="1" si="44"/>
        <v>-1.1778118968909603</v>
      </c>
      <c r="K435">
        <f t="shared" ca="1" si="45"/>
        <v>15.107374427538701</v>
      </c>
      <c r="L435">
        <f t="shared" ca="1" si="46"/>
        <v>14.732107555018516</v>
      </c>
      <c r="M435">
        <f t="shared" ca="1" si="47"/>
        <v>0</v>
      </c>
      <c r="N435">
        <f t="shared" ca="1" si="48"/>
        <v>0</v>
      </c>
    </row>
    <row r="436" spans="6:14" x14ac:dyDescent="0.75">
      <c r="F436">
        <v>431</v>
      </c>
      <c r="G436">
        <f t="shared" ca="1" si="42"/>
        <v>-1.9221053125977925</v>
      </c>
      <c r="H436">
        <f t="shared" ca="1" si="42"/>
        <v>-0.34868107630023948</v>
      </c>
      <c r="I436">
        <f t="shared" ca="1" si="43"/>
        <v>-1.9221053125977925</v>
      </c>
      <c r="J436">
        <f t="shared" ca="1" si="44"/>
        <v>-1.6722098381395372</v>
      </c>
      <c r="K436">
        <f t="shared" ca="1" si="45"/>
        <v>11.007704423269811</v>
      </c>
      <c r="L436">
        <f t="shared" ca="1" si="46"/>
        <v>13.019260188666919</v>
      </c>
      <c r="M436">
        <f t="shared" ca="1" si="47"/>
        <v>0</v>
      </c>
      <c r="N436">
        <f t="shared" ca="1" si="48"/>
        <v>0</v>
      </c>
    </row>
    <row r="437" spans="6:14" x14ac:dyDescent="0.75">
      <c r="F437">
        <v>432</v>
      </c>
      <c r="G437">
        <f t="shared" ca="1" si="42"/>
        <v>-0.54244239991964927</v>
      </c>
      <c r="H437">
        <f t="shared" ca="1" si="42"/>
        <v>-0.94706602681728613</v>
      </c>
      <c r="I437">
        <f t="shared" ca="1" si="43"/>
        <v>-0.54244239991964927</v>
      </c>
      <c r="J437">
        <f t="shared" ca="1" si="44"/>
        <v>-1.0332570954688789</v>
      </c>
      <c r="K437">
        <f t="shared" ca="1" si="45"/>
        <v>15.541457922043644</v>
      </c>
      <c r="L437">
        <f t="shared" ca="1" si="46"/>
        <v>15.274243824177226</v>
      </c>
      <c r="M437">
        <f t="shared" ca="1" si="47"/>
        <v>0</v>
      </c>
      <c r="N437">
        <f t="shared" ca="1" si="48"/>
        <v>0</v>
      </c>
    </row>
    <row r="438" spans="6:14" x14ac:dyDescent="0.75">
      <c r="F438">
        <v>433</v>
      </c>
      <c r="G438">
        <f t="shared" ca="1" si="42"/>
        <v>2.4494993045800641E-2</v>
      </c>
      <c r="H438">
        <f t="shared" ca="1" si="42"/>
        <v>-1.2482568774003071</v>
      </c>
      <c r="I438">
        <f t="shared" ca="1" si="43"/>
        <v>2.4494993045800641E-2</v>
      </c>
      <c r="J438">
        <f t="shared" ca="1" si="44"/>
        <v>-0.80727307269746318</v>
      </c>
      <c r="K438">
        <f t="shared" ca="1" si="45"/>
        <v>17.907963571205517</v>
      </c>
      <c r="L438">
        <f t="shared" ca="1" si="46"/>
        <v>16.162019355111575</v>
      </c>
      <c r="M438">
        <f t="shared" ca="1" si="47"/>
        <v>0</v>
      </c>
      <c r="N438">
        <f t="shared" ca="1" si="48"/>
        <v>0</v>
      </c>
    </row>
    <row r="439" spans="6:14" x14ac:dyDescent="0.75">
      <c r="F439">
        <v>434</v>
      </c>
      <c r="G439">
        <f t="shared" ca="1" si="42"/>
        <v>-0.73900977385607203</v>
      </c>
      <c r="H439">
        <f t="shared" ca="1" si="42"/>
        <v>0.63459460346331298</v>
      </c>
      <c r="I439">
        <f t="shared" ca="1" si="43"/>
        <v>-0.73900977385607203</v>
      </c>
      <c r="J439">
        <f t="shared" ca="1" si="44"/>
        <v>-0.13451245436516046</v>
      </c>
      <c r="K439">
        <f t="shared" ca="1" si="45"/>
        <v>14.796184070219807</v>
      </c>
      <c r="L439">
        <f t="shared" ca="1" si="46"/>
        <v>19.122280240689516</v>
      </c>
      <c r="M439">
        <f t="shared" ca="1" si="47"/>
        <v>0</v>
      </c>
      <c r="N439">
        <f t="shared" ca="1" si="48"/>
        <v>0</v>
      </c>
    </row>
    <row r="440" spans="6:14" x14ac:dyDescent="0.75">
      <c r="F440">
        <v>435</v>
      </c>
      <c r="G440">
        <f t="shared" ca="1" si="42"/>
        <v>0.32598776037772492</v>
      </c>
      <c r="H440">
        <f t="shared" ca="1" si="42"/>
        <v>-0.33225986074282376</v>
      </c>
      <c r="I440">
        <f t="shared" ca="1" si="43"/>
        <v>0.32598776037772492</v>
      </c>
      <c r="J440">
        <f t="shared" ca="1" si="44"/>
        <v>2.4721579739677618E-2</v>
      </c>
      <c r="K440">
        <f t="shared" ca="1" si="45"/>
        <v>19.309915066120627</v>
      </c>
      <c r="L440">
        <f t="shared" ca="1" si="46"/>
        <v>19.898864473892136</v>
      </c>
      <c r="M440">
        <f t="shared" ca="1" si="47"/>
        <v>0</v>
      </c>
      <c r="N440">
        <f t="shared" ca="1" si="48"/>
        <v>0</v>
      </c>
    </row>
    <row r="441" spans="6:14" x14ac:dyDescent="0.75">
      <c r="F441">
        <v>436</v>
      </c>
      <c r="G441">
        <f t="shared" ca="1" si="42"/>
        <v>-8.0529893200906283E-2</v>
      </c>
      <c r="H441">
        <f t="shared" ca="1" si="42"/>
        <v>-0.30337238435824537</v>
      </c>
      <c r="I441">
        <f t="shared" ca="1" si="43"/>
        <v>-8.0529893200906283E-2</v>
      </c>
      <c r="J441">
        <f t="shared" ca="1" si="44"/>
        <v>-0.26105939081483437</v>
      </c>
      <c r="K441">
        <f t="shared" ca="1" si="45"/>
        <v>17.443887218195943</v>
      </c>
      <c r="L441">
        <f t="shared" ca="1" si="46"/>
        <v>18.526783203546596</v>
      </c>
      <c r="M441">
        <f t="shared" ca="1" si="47"/>
        <v>0</v>
      </c>
      <c r="N441">
        <f t="shared" ca="1" si="48"/>
        <v>0</v>
      </c>
    </row>
    <row r="442" spans="6:14" x14ac:dyDescent="0.75">
      <c r="F442">
        <v>437</v>
      </c>
      <c r="G442">
        <f t="shared" ca="1" si="42"/>
        <v>-2.5691019343059014</v>
      </c>
      <c r="H442">
        <f t="shared" ca="1" si="42"/>
        <v>-0.87292408621160078</v>
      </c>
      <c r="I442">
        <f t="shared" ca="1" si="43"/>
        <v>-2.5691019343059014</v>
      </c>
      <c r="J442">
        <f t="shared" ca="1" si="44"/>
        <v>-2.5042114621179765</v>
      </c>
      <c r="K442">
        <f t="shared" ca="1" si="45"/>
        <v>9.3637539612391461</v>
      </c>
      <c r="L442">
        <f t="shared" ca="1" si="46"/>
        <v>10.574330444896844</v>
      </c>
      <c r="M442">
        <f t="shared" ca="1" si="47"/>
        <v>0</v>
      </c>
      <c r="N442">
        <f t="shared" ca="1" si="48"/>
        <v>0</v>
      </c>
    </row>
    <row r="443" spans="6:14" x14ac:dyDescent="0.75">
      <c r="F443">
        <v>438</v>
      </c>
      <c r="G443">
        <f t="shared" ca="1" si="42"/>
        <v>-0.82523771985363725</v>
      </c>
      <c r="H443">
        <f t="shared" ca="1" si="42"/>
        <v>-1.2847602350351499</v>
      </c>
      <c r="I443">
        <f t="shared" ca="1" si="43"/>
        <v>-0.82523771985363725</v>
      </c>
      <c r="J443">
        <f t="shared" ca="1" si="44"/>
        <v>-1.4687173089522028</v>
      </c>
      <c r="K443">
        <f t="shared" ca="1" si="45"/>
        <v>14.480636279299944</v>
      </c>
      <c r="L443">
        <f t="shared" ca="1" si="46"/>
        <v>13.698727513800819</v>
      </c>
      <c r="M443">
        <f t="shared" ca="1" si="47"/>
        <v>0</v>
      </c>
      <c r="N443">
        <f t="shared" ca="1" si="48"/>
        <v>0</v>
      </c>
    </row>
    <row r="444" spans="6:14" x14ac:dyDescent="0.75">
      <c r="F444">
        <v>439</v>
      </c>
      <c r="G444">
        <f t="shared" ca="1" si="42"/>
        <v>-0.32538999188510559</v>
      </c>
      <c r="H444">
        <f t="shared" ca="1" si="42"/>
        <v>6.9631243495146627E-2</v>
      </c>
      <c r="I444">
        <f t="shared" ca="1" si="43"/>
        <v>-0.32538999188510559</v>
      </c>
      <c r="J444">
        <f t="shared" ca="1" si="44"/>
        <v>-0.19798575547174371</v>
      </c>
      <c r="K444">
        <f t="shared" ca="1" si="45"/>
        <v>16.408085964277294</v>
      </c>
      <c r="L444">
        <f t="shared" ca="1" si="46"/>
        <v>18.821236524572136</v>
      </c>
      <c r="M444">
        <f t="shared" ca="1" si="47"/>
        <v>0</v>
      </c>
      <c r="N444">
        <f t="shared" ca="1" si="48"/>
        <v>0</v>
      </c>
    </row>
    <row r="445" spans="6:14" x14ac:dyDescent="0.75">
      <c r="F445">
        <v>440</v>
      </c>
      <c r="G445">
        <f t="shared" ca="1" si="42"/>
        <v>-0.3529636776576377</v>
      </c>
      <c r="H445">
        <f t="shared" ca="1" si="42"/>
        <v>0.2089142843970265</v>
      </c>
      <c r="I445">
        <f t="shared" ca="1" si="43"/>
        <v>-0.3529636776576377</v>
      </c>
      <c r="J445">
        <f t="shared" ca="1" si="44"/>
        <v>-0.12653894778233987</v>
      </c>
      <c r="K445">
        <f t="shared" ca="1" si="45"/>
        <v>16.295367068436704</v>
      </c>
      <c r="L445">
        <f t="shared" ca="1" si="46"/>
        <v>19.160436164463068</v>
      </c>
      <c r="M445">
        <f t="shared" ca="1" si="47"/>
        <v>0</v>
      </c>
      <c r="N445">
        <f t="shared" ca="1" si="48"/>
        <v>0</v>
      </c>
    </row>
    <row r="446" spans="6:14" x14ac:dyDescent="0.75">
      <c r="F446">
        <v>441</v>
      </c>
      <c r="G446">
        <f t="shared" ca="1" si="42"/>
        <v>0.61151203633394635</v>
      </c>
      <c r="H446">
        <f t="shared" ca="1" si="42"/>
        <v>1.7206450556313519</v>
      </c>
      <c r="I446">
        <f t="shared" ca="1" si="43"/>
        <v>0.61151203633394635</v>
      </c>
      <c r="J446">
        <f t="shared" ca="1" si="44"/>
        <v>1.5967337552038234</v>
      </c>
      <c r="K446">
        <f t="shared" ca="1" si="45"/>
        <v>20.738663644112375</v>
      </c>
      <c r="L446">
        <f t="shared" ca="1" si="46"/>
        <v>29.47863348726932</v>
      </c>
      <c r="M446">
        <f t="shared" ca="1" si="47"/>
        <v>4.7254416458138486</v>
      </c>
      <c r="N446">
        <f t="shared" ca="1" si="48"/>
        <v>5.1086485656908494</v>
      </c>
    </row>
    <row r="447" spans="6:14" x14ac:dyDescent="0.75">
      <c r="F447">
        <v>442</v>
      </c>
      <c r="G447">
        <f t="shared" ca="1" si="42"/>
        <v>-0.38206449134299436</v>
      </c>
      <c r="H447">
        <f t="shared" ca="1" si="42"/>
        <v>-1.2964203084013002</v>
      </c>
      <c r="I447">
        <f t="shared" ca="1" si="43"/>
        <v>-0.38206449134299436</v>
      </c>
      <c r="J447">
        <f t="shared" ca="1" si="44"/>
        <v>-1.144049801168121</v>
      </c>
      <c r="K447">
        <f t="shared" ca="1" si="45"/>
        <v>16.17724515964758</v>
      </c>
      <c r="L447">
        <f t="shared" ca="1" si="46"/>
        <v>14.856980516643183</v>
      </c>
      <c r="M447">
        <f t="shared" ca="1" si="47"/>
        <v>0</v>
      </c>
      <c r="N447">
        <f t="shared" ca="1" si="48"/>
        <v>0</v>
      </c>
    </row>
    <row r="448" spans="6:14" x14ac:dyDescent="0.75">
      <c r="F448">
        <v>443</v>
      </c>
      <c r="G448">
        <f t="shared" ca="1" si="42"/>
        <v>-4.3019169719095779E-2</v>
      </c>
      <c r="H448">
        <f t="shared" ca="1" si="42"/>
        <v>-0.33633357891016419</v>
      </c>
      <c r="I448">
        <f t="shared" ca="1" si="43"/>
        <v>-4.3019169719095779E-2</v>
      </c>
      <c r="J448">
        <f t="shared" ca="1" si="44"/>
        <v>-0.25472812912847503</v>
      </c>
      <c r="K448">
        <f t="shared" ca="1" si="45"/>
        <v>17.608239844466674</v>
      </c>
      <c r="L448">
        <f t="shared" ca="1" si="46"/>
        <v>18.556130901581064</v>
      </c>
      <c r="M448">
        <f t="shared" ca="1" si="47"/>
        <v>0</v>
      </c>
      <c r="N448">
        <f t="shared" ca="1" si="48"/>
        <v>0</v>
      </c>
    </row>
    <row r="449" spans="6:14" x14ac:dyDescent="0.75">
      <c r="F449">
        <v>444</v>
      </c>
      <c r="G449">
        <f t="shared" ca="1" si="42"/>
        <v>-1.713452048200192</v>
      </c>
      <c r="H449">
        <f t="shared" ca="1" si="42"/>
        <v>1.015178147320668</v>
      </c>
      <c r="I449">
        <f t="shared" ca="1" si="43"/>
        <v>-1.713452048200192</v>
      </c>
      <c r="J449">
        <f t="shared" ca="1" si="44"/>
        <v>-0.613611807590699</v>
      </c>
      <c r="K449">
        <f t="shared" ca="1" si="45"/>
        <v>11.597142665681897</v>
      </c>
      <c r="L449">
        <f t="shared" ca="1" si="46"/>
        <v>16.963760301119411</v>
      </c>
      <c r="M449">
        <f t="shared" ca="1" si="47"/>
        <v>0</v>
      </c>
      <c r="N449">
        <f t="shared" ca="1" si="48"/>
        <v>0</v>
      </c>
    </row>
    <row r="450" spans="6:14" x14ac:dyDescent="0.75">
      <c r="F450">
        <v>445</v>
      </c>
      <c r="G450">
        <f t="shared" ca="1" si="42"/>
        <v>1.1247942019153636</v>
      </c>
      <c r="H450">
        <f t="shared" ca="1" si="42"/>
        <v>-0.50902589400246179</v>
      </c>
      <c r="I450">
        <f t="shared" ca="1" si="43"/>
        <v>1.1247942019153636</v>
      </c>
      <c r="J450">
        <f t="shared" ca="1" si="44"/>
        <v>0.50690666983081312</v>
      </c>
      <c r="K450">
        <f t="shared" ca="1" si="45"/>
        <v>23.578146997618767</v>
      </c>
      <c r="L450">
        <f t="shared" ca="1" si="46"/>
        <v>22.448166512060435</v>
      </c>
      <c r="M450">
        <f t="shared" ca="1" si="47"/>
        <v>3.0062202425427529</v>
      </c>
      <c r="N450">
        <f t="shared" ca="1" si="48"/>
        <v>3.0131567548395992</v>
      </c>
    </row>
    <row r="451" spans="6:14" x14ac:dyDescent="0.75">
      <c r="F451">
        <v>446</v>
      </c>
      <c r="G451">
        <f t="shared" ca="1" si="42"/>
        <v>3.494353163421892E-2</v>
      </c>
      <c r="H451">
        <f t="shared" ca="1" si="42"/>
        <v>-0.67300902146506003</v>
      </c>
      <c r="I451">
        <f t="shared" ca="1" si="43"/>
        <v>3.494353163421892E-2</v>
      </c>
      <c r="J451">
        <f t="shared" ca="1" si="44"/>
        <v>-0.41894597649920579</v>
      </c>
      <c r="K451">
        <f t="shared" ca="1" si="45"/>
        <v>17.9548027317731</v>
      </c>
      <c r="L451">
        <f t="shared" ca="1" si="46"/>
        <v>17.809745000518429</v>
      </c>
      <c r="M451">
        <f t="shared" ca="1" si="47"/>
        <v>0</v>
      </c>
      <c r="N451">
        <f t="shared" ca="1" si="48"/>
        <v>0</v>
      </c>
    </row>
    <row r="452" spans="6:14" x14ac:dyDescent="0.75">
      <c r="F452">
        <v>447</v>
      </c>
      <c r="G452">
        <f t="shared" ca="1" si="42"/>
        <v>0.97823559411543659</v>
      </c>
      <c r="H452">
        <f t="shared" ca="1" si="42"/>
        <v>0.80890503818087545</v>
      </c>
      <c r="I452">
        <f t="shared" ca="1" si="43"/>
        <v>0.97823559411543659</v>
      </c>
      <c r="J452">
        <f t="shared" ca="1" si="44"/>
        <v>1.2687170869100286</v>
      </c>
      <c r="K452">
        <f t="shared" ca="1" si="45"/>
        <v>22.72988677216382</v>
      </c>
      <c r="L452">
        <f t="shared" ca="1" si="46"/>
        <v>27.157725244036797</v>
      </c>
      <c r="M452">
        <f t="shared" ca="1" si="47"/>
        <v>4.8453621383648056</v>
      </c>
      <c r="N452">
        <f t="shared" ca="1" si="48"/>
        <v>4.9438060081003101</v>
      </c>
    </row>
    <row r="453" spans="6:14" x14ac:dyDescent="0.75">
      <c r="F453">
        <v>448</v>
      </c>
      <c r="G453">
        <f t="shared" ca="1" si="42"/>
        <v>-1.6087855193104397</v>
      </c>
      <c r="H453">
        <f t="shared" ca="1" si="42"/>
        <v>-1.4507301068158756</v>
      </c>
      <c r="I453">
        <f t="shared" ca="1" si="43"/>
        <v>-1.6087855193104397</v>
      </c>
      <c r="J453">
        <f t="shared" ca="1" si="44"/>
        <v>-2.1661569100100739</v>
      </c>
      <c r="K453">
        <f t="shared" ca="1" si="45"/>
        <v>11.904605928756704</v>
      </c>
      <c r="L453">
        <f t="shared" ca="1" si="46"/>
        <v>11.506856165817158</v>
      </c>
      <c r="M453">
        <f t="shared" ca="1" si="47"/>
        <v>0</v>
      </c>
      <c r="N453">
        <f t="shared" ca="1" si="48"/>
        <v>0</v>
      </c>
    </row>
    <row r="454" spans="6:14" x14ac:dyDescent="0.75">
      <c r="F454">
        <v>449</v>
      </c>
      <c r="G454">
        <f t="shared" ca="1" si="42"/>
        <v>-2.3960415657399325</v>
      </c>
      <c r="H454">
        <f t="shared" ca="1" si="42"/>
        <v>-0.1810884963074009</v>
      </c>
      <c r="I454">
        <f t="shared" ca="1" si="43"/>
        <v>-2.3960415657399325</v>
      </c>
      <c r="J454">
        <f t="shared" ca="1" si="44"/>
        <v>-1.9168099559359546</v>
      </c>
      <c r="K454">
        <f t="shared" ca="1" si="45"/>
        <v>9.7777692644580512</v>
      </c>
      <c r="L454">
        <f t="shared" ca="1" si="46"/>
        <v>12.246985003935526</v>
      </c>
      <c r="M454">
        <f t="shared" ca="1" si="47"/>
        <v>0</v>
      </c>
      <c r="N454">
        <f t="shared" ca="1" si="48"/>
        <v>0</v>
      </c>
    </row>
    <row r="455" spans="6:14" x14ac:dyDescent="0.75">
      <c r="F455">
        <v>450</v>
      </c>
      <c r="G455">
        <f t="shared" ref="G455:H518" ca="1" si="49">NORMSINV(RAND())</f>
        <v>-0.90976327460150319</v>
      </c>
      <c r="H455">
        <f t="shared" ca="1" si="49"/>
        <v>0.63284799157830463</v>
      </c>
      <c r="I455">
        <f t="shared" ref="I455:I518" ca="1" si="50">G455</f>
        <v>-0.90976327460150319</v>
      </c>
      <c r="J455">
        <f t="shared" ref="J455:J518" ca="1" si="51">G455*$C$8+SQRT(1-$C$8^2)*H455</f>
        <v>-0.26373285509540428</v>
      </c>
      <c r="K455">
        <f t="shared" ref="K455:K518" ca="1" si="52">C$3*EXP(($C$5-0.5*C$4^2)*$C$6+C$4*SQRT($C$6)*I455)</f>
        <v>14.177850732149953</v>
      </c>
      <c r="L455">
        <f t="shared" ref="L455:L518" ca="1" si="53">D$3*EXP(($C$5-0.5*D$4^2)*$C$6+D$4*SQRT($C$6)*J455)</f>
        <v>18.514404667422038</v>
      </c>
      <c r="M455">
        <f t="shared" ref="M455:M518" ca="1" si="54">MAX(SQRT(K455*L455)-$C$7,0)</f>
        <v>0</v>
      </c>
      <c r="N455">
        <f t="shared" ref="N455:N518" ca="1" si="55">MAX((K455+L455)*0.5-$C$7,0)</f>
        <v>0</v>
      </c>
    </row>
    <row r="456" spans="6:14" x14ac:dyDescent="0.75">
      <c r="F456">
        <v>451</v>
      </c>
      <c r="G456">
        <f t="shared" ca="1" si="49"/>
        <v>-0.27903685399737421</v>
      </c>
      <c r="H456">
        <f t="shared" ca="1" si="49"/>
        <v>-0.77867387039756031</v>
      </c>
      <c r="I456">
        <f t="shared" ca="1" si="50"/>
        <v>-0.27903685399737421</v>
      </c>
      <c r="J456">
        <f t="shared" ca="1" si="51"/>
        <v>-0.72432199387205176</v>
      </c>
      <c r="K456">
        <f t="shared" ca="1" si="52"/>
        <v>16.599333507350025</v>
      </c>
      <c r="L456">
        <f t="shared" ca="1" si="53"/>
        <v>16.500683018097199</v>
      </c>
      <c r="M456">
        <f t="shared" ca="1" si="54"/>
        <v>0</v>
      </c>
      <c r="N456">
        <f t="shared" ca="1" si="55"/>
        <v>0</v>
      </c>
    </row>
    <row r="457" spans="6:14" x14ac:dyDescent="0.75">
      <c r="F457">
        <v>452</v>
      </c>
      <c r="G457">
        <f t="shared" ca="1" si="49"/>
        <v>0.22725178650330335</v>
      </c>
      <c r="H457">
        <f t="shared" ca="1" si="49"/>
        <v>-4.69678540460296E-2</v>
      </c>
      <c r="I457">
        <f t="shared" ca="1" si="50"/>
        <v>0.22725178650330335</v>
      </c>
      <c r="J457">
        <f t="shared" ca="1" si="51"/>
        <v>0.13937252452243423</v>
      </c>
      <c r="K457">
        <f t="shared" ca="1" si="52"/>
        <v>18.839103903753301</v>
      </c>
      <c r="L457">
        <f t="shared" ca="1" si="53"/>
        <v>20.477473016344625</v>
      </c>
      <c r="M457">
        <f t="shared" ca="1" si="54"/>
        <v>0</v>
      </c>
      <c r="N457">
        <f t="shared" ca="1" si="55"/>
        <v>0</v>
      </c>
    </row>
    <row r="458" spans="6:14" x14ac:dyDescent="0.75">
      <c r="F458">
        <v>453</v>
      </c>
      <c r="G458">
        <f t="shared" ca="1" si="49"/>
        <v>0.34970347894723514</v>
      </c>
      <c r="H458">
        <f t="shared" ca="1" si="49"/>
        <v>0.9115373201661241</v>
      </c>
      <c r="I458">
        <f t="shared" ca="1" si="50"/>
        <v>0.34970347894723514</v>
      </c>
      <c r="J458">
        <f t="shared" ca="1" si="51"/>
        <v>0.86520287418888286</v>
      </c>
      <c r="K458">
        <f t="shared" ca="1" si="52"/>
        <v>19.424742258752111</v>
      </c>
      <c r="L458">
        <f t="shared" ca="1" si="53"/>
        <v>24.551746496600025</v>
      </c>
      <c r="M458">
        <f t="shared" ca="1" si="54"/>
        <v>1.8383000185150777</v>
      </c>
      <c r="N458">
        <f t="shared" ca="1" si="55"/>
        <v>1.9882443776760681</v>
      </c>
    </row>
    <row r="459" spans="6:14" x14ac:dyDescent="0.75">
      <c r="F459">
        <v>454</v>
      </c>
      <c r="G459">
        <f t="shared" ca="1" si="49"/>
        <v>-0.19325036396555315</v>
      </c>
      <c r="H459">
        <f t="shared" ca="1" si="49"/>
        <v>-0.35275696730579847</v>
      </c>
      <c r="I459">
        <f t="shared" ca="1" si="50"/>
        <v>-0.19325036396555315</v>
      </c>
      <c r="J459">
        <f t="shared" ca="1" si="51"/>
        <v>-0.37826457515828615</v>
      </c>
      <c r="K459">
        <f t="shared" ca="1" si="52"/>
        <v>16.9591780796524</v>
      </c>
      <c r="L459">
        <f t="shared" ca="1" si="53"/>
        <v>17.99180056171781</v>
      </c>
      <c r="M459">
        <f t="shared" ca="1" si="54"/>
        <v>0</v>
      </c>
      <c r="N459">
        <f t="shared" ca="1" si="55"/>
        <v>0</v>
      </c>
    </row>
    <row r="460" spans="6:14" x14ac:dyDescent="0.75">
      <c r="F460">
        <v>455</v>
      </c>
      <c r="G460">
        <f t="shared" ca="1" si="49"/>
        <v>-7.1342670290061569E-2</v>
      </c>
      <c r="H460">
        <f t="shared" ca="1" si="49"/>
        <v>-0.78575474589976491</v>
      </c>
      <c r="I460">
        <f t="shared" ca="1" si="50"/>
        <v>-7.1342670290061569E-2</v>
      </c>
      <c r="J460">
        <f t="shared" ca="1" si="51"/>
        <v>-0.57323491500242796</v>
      </c>
      <c r="K460">
        <f t="shared" ca="1" si="52"/>
        <v>17.483998484532076</v>
      </c>
      <c r="L460">
        <f t="shared" ca="1" si="53"/>
        <v>17.13586344543927</v>
      </c>
      <c r="M460">
        <f t="shared" ca="1" si="54"/>
        <v>0</v>
      </c>
      <c r="N460">
        <f t="shared" ca="1" si="55"/>
        <v>0</v>
      </c>
    </row>
    <row r="461" spans="6:14" x14ac:dyDescent="0.75">
      <c r="F461">
        <v>456</v>
      </c>
      <c r="G461">
        <f t="shared" ca="1" si="49"/>
        <v>0.76820841180099908</v>
      </c>
      <c r="H461">
        <f t="shared" ca="1" si="49"/>
        <v>-0.50263210884581933</v>
      </c>
      <c r="I461">
        <f t="shared" ca="1" si="50"/>
        <v>0.76820841180099908</v>
      </c>
      <c r="J461">
        <f t="shared" ca="1" si="51"/>
        <v>0.24369641861025265</v>
      </c>
      <c r="K461">
        <f t="shared" ca="1" si="52"/>
        <v>21.567204718743703</v>
      </c>
      <c r="L461">
        <f t="shared" ca="1" si="53"/>
        <v>21.018570956746792</v>
      </c>
      <c r="M461">
        <f t="shared" ca="1" si="54"/>
        <v>1.2911207483213225</v>
      </c>
      <c r="N461">
        <f t="shared" ca="1" si="55"/>
        <v>1.2928878377452477</v>
      </c>
    </row>
    <row r="462" spans="6:14" x14ac:dyDescent="0.75">
      <c r="F462">
        <v>457</v>
      </c>
      <c r="G462">
        <f t="shared" ca="1" si="49"/>
        <v>-0.37680201157484261</v>
      </c>
      <c r="H462">
        <f t="shared" ca="1" si="49"/>
        <v>-0.43012928639423026</v>
      </c>
      <c r="I462">
        <f t="shared" ca="1" si="50"/>
        <v>-0.37680201157484261</v>
      </c>
      <c r="J462">
        <f t="shared" ca="1" si="51"/>
        <v>-0.56710528953233486</v>
      </c>
      <c r="K462">
        <f t="shared" ca="1" si="52"/>
        <v>16.198542272368098</v>
      </c>
      <c r="L462">
        <f t="shared" ca="1" si="53"/>
        <v>17.162142681788069</v>
      </c>
      <c r="M462">
        <f t="shared" ca="1" si="54"/>
        <v>0</v>
      </c>
      <c r="N462">
        <f t="shared" ca="1" si="55"/>
        <v>0</v>
      </c>
    </row>
    <row r="463" spans="6:14" x14ac:dyDescent="0.75">
      <c r="F463">
        <v>458</v>
      </c>
      <c r="G463">
        <f t="shared" ca="1" si="49"/>
        <v>0.98578465544735983</v>
      </c>
      <c r="H463">
        <f t="shared" ca="1" si="49"/>
        <v>-0.43041047723901982</v>
      </c>
      <c r="I463">
        <f t="shared" ca="1" si="50"/>
        <v>0.98578465544735983</v>
      </c>
      <c r="J463">
        <f t="shared" ca="1" si="51"/>
        <v>0.45464872047275168</v>
      </c>
      <c r="K463">
        <f t="shared" ca="1" si="52"/>
        <v>22.772824604287969</v>
      </c>
      <c r="L463">
        <f t="shared" ca="1" si="53"/>
        <v>22.156800145183215</v>
      </c>
      <c r="M463">
        <f t="shared" ca="1" si="54"/>
        <v>2.4627007169333837</v>
      </c>
      <c r="N463">
        <f t="shared" ca="1" si="55"/>
        <v>2.4648123747355939</v>
      </c>
    </row>
    <row r="464" spans="6:14" x14ac:dyDescent="0.75">
      <c r="F464">
        <v>459</v>
      </c>
      <c r="G464">
        <f t="shared" ca="1" si="49"/>
        <v>1.3349972017257659</v>
      </c>
      <c r="H464">
        <f t="shared" ca="1" si="49"/>
        <v>0.59726951190607491</v>
      </c>
      <c r="I464">
        <f t="shared" ca="1" si="50"/>
        <v>1.3349972017257659</v>
      </c>
      <c r="J464">
        <f t="shared" ca="1" si="51"/>
        <v>1.3963045498404258</v>
      </c>
      <c r="K464">
        <f t="shared" ca="1" si="52"/>
        <v>24.850330650956245</v>
      </c>
      <c r="L464">
        <f t="shared" ca="1" si="53"/>
        <v>28.037934897739252</v>
      </c>
      <c r="M464">
        <f t="shared" ca="1" si="54"/>
        <v>6.3960594214137458</v>
      </c>
      <c r="N464">
        <f t="shared" ca="1" si="55"/>
        <v>6.4441327743477501</v>
      </c>
    </row>
    <row r="465" spans="6:14" x14ac:dyDescent="0.75">
      <c r="F465">
        <v>460</v>
      </c>
      <c r="G465">
        <f t="shared" ca="1" si="49"/>
        <v>0.62722419881769464</v>
      </c>
      <c r="H465">
        <f t="shared" ca="1" si="49"/>
        <v>-0.34601603614593579</v>
      </c>
      <c r="I465">
        <f t="shared" ca="1" si="50"/>
        <v>0.62722419881769464</v>
      </c>
      <c r="J465">
        <f t="shared" ca="1" si="51"/>
        <v>0.24155005379265035</v>
      </c>
      <c r="K465">
        <f t="shared" ca="1" si="52"/>
        <v>20.820286160661148</v>
      </c>
      <c r="L465">
        <f t="shared" ca="1" si="53"/>
        <v>21.007295601841008</v>
      </c>
      <c r="M465">
        <f t="shared" ca="1" si="54"/>
        <v>0.91358185227791466</v>
      </c>
      <c r="N465">
        <f t="shared" ca="1" si="55"/>
        <v>0.91379088125107799</v>
      </c>
    </row>
    <row r="466" spans="6:14" x14ac:dyDescent="0.75">
      <c r="F466">
        <v>461</v>
      </c>
      <c r="G466">
        <f t="shared" ca="1" si="49"/>
        <v>-1.2100961237169885</v>
      </c>
      <c r="H466">
        <f t="shared" ca="1" si="49"/>
        <v>-0.2503166382219108</v>
      </c>
      <c r="I466">
        <f t="shared" ca="1" si="50"/>
        <v>-1.2100961237169885</v>
      </c>
      <c r="J466">
        <f t="shared" ca="1" si="51"/>
        <v>-1.0731409862269667</v>
      </c>
      <c r="K466">
        <f t="shared" ca="1" si="52"/>
        <v>13.152314187318227</v>
      </c>
      <c r="L466">
        <f t="shared" ca="1" si="53"/>
        <v>15.122701523752299</v>
      </c>
      <c r="M466">
        <f t="shared" ca="1" si="54"/>
        <v>0</v>
      </c>
      <c r="N466">
        <f t="shared" ca="1" si="55"/>
        <v>0</v>
      </c>
    </row>
    <row r="467" spans="6:14" x14ac:dyDescent="0.75">
      <c r="F467">
        <v>462</v>
      </c>
      <c r="G467">
        <f t="shared" ca="1" si="49"/>
        <v>-1.1051854177680389</v>
      </c>
      <c r="H467">
        <f t="shared" ca="1" si="49"/>
        <v>-1.3239838997443616</v>
      </c>
      <c r="I467">
        <f t="shared" ca="1" si="50"/>
        <v>-1.1051854177680389</v>
      </c>
      <c r="J467">
        <f t="shared" ca="1" si="51"/>
        <v>-1.7046220979702928</v>
      </c>
      <c r="K467">
        <f t="shared" ca="1" si="52"/>
        <v>13.50183231746834</v>
      </c>
      <c r="L467">
        <f t="shared" ca="1" si="53"/>
        <v>12.914190545630873</v>
      </c>
      <c r="M467">
        <f t="shared" ca="1" si="54"/>
        <v>0</v>
      </c>
      <c r="N467">
        <f t="shared" ca="1" si="55"/>
        <v>0</v>
      </c>
    </row>
    <row r="468" spans="6:14" x14ac:dyDescent="0.75">
      <c r="F468">
        <v>463</v>
      </c>
      <c r="G468">
        <f t="shared" ca="1" si="49"/>
        <v>1.4924597224849805</v>
      </c>
      <c r="H468">
        <f t="shared" ca="1" si="49"/>
        <v>-0.8677071237403936</v>
      </c>
      <c r="I468">
        <f t="shared" ca="1" si="50"/>
        <v>1.4924597224849805</v>
      </c>
      <c r="J468">
        <f t="shared" ca="1" si="51"/>
        <v>0.54541047679967747</v>
      </c>
      <c r="K468">
        <f t="shared" ca="1" si="52"/>
        <v>25.848089434110982</v>
      </c>
      <c r="L468">
        <f t="shared" ca="1" si="53"/>
        <v>22.665294836421946</v>
      </c>
      <c r="M468">
        <f t="shared" ca="1" si="54"/>
        <v>4.2044328167864364</v>
      </c>
      <c r="N468">
        <f t="shared" ca="1" si="55"/>
        <v>4.2566921352664622</v>
      </c>
    </row>
    <row r="469" spans="6:14" x14ac:dyDescent="0.75">
      <c r="F469">
        <v>464</v>
      </c>
      <c r="G469">
        <f t="shared" ca="1" si="49"/>
        <v>-9.3005906769621963E-2</v>
      </c>
      <c r="H469">
        <f t="shared" ca="1" si="49"/>
        <v>-8.7071398871803679E-2</v>
      </c>
      <c r="I469">
        <f t="shared" ca="1" si="50"/>
        <v>-9.3005906769621963E-2</v>
      </c>
      <c r="J469">
        <f t="shared" ca="1" si="51"/>
        <v>-0.12734674700754212</v>
      </c>
      <c r="K469">
        <f t="shared" ca="1" si="52"/>
        <v>17.389564435300152</v>
      </c>
      <c r="L469">
        <f t="shared" ca="1" si="53"/>
        <v>19.156567108781694</v>
      </c>
      <c r="M469">
        <f t="shared" ca="1" si="54"/>
        <v>0</v>
      </c>
      <c r="N469">
        <f t="shared" ca="1" si="55"/>
        <v>0</v>
      </c>
    </row>
    <row r="470" spans="6:14" x14ac:dyDescent="0.75">
      <c r="F470">
        <v>465</v>
      </c>
      <c r="G470">
        <f t="shared" ca="1" si="49"/>
        <v>0.87254471535352085</v>
      </c>
      <c r="H470">
        <f t="shared" ca="1" si="49"/>
        <v>1.2974971658551051</v>
      </c>
      <c r="I470">
        <f t="shared" ca="1" si="50"/>
        <v>0.87254471535352085</v>
      </c>
      <c r="J470">
        <f t="shared" ca="1" si="51"/>
        <v>1.5126222434310743</v>
      </c>
      <c r="K470">
        <f t="shared" ca="1" si="52"/>
        <v>22.13716647064911</v>
      </c>
      <c r="L470">
        <f t="shared" ca="1" si="53"/>
        <v>28.865232245804982</v>
      </c>
      <c r="M470">
        <f t="shared" ca="1" si="54"/>
        <v>5.2783395704570282</v>
      </c>
      <c r="N470">
        <f t="shared" ca="1" si="55"/>
        <v>5.5011993582270478</v>
      </c>
    </row>
    <row r="471" spans="6:14" x14ac:dyDescent="0.75">
      <c r="F471">
        <v>466</v>
      </c>
      <c r="G471">
        <f t="shared" ca="1" si="49"/>
        <v>-0.70620029309118182</v>
      </c>
      <c r="H471">
        <f t="shared" ca="1" si="49"/>
        <v>-8.4319352127127378E-2</v>
      </c>
      <c r="I471">
        <f t="shared" ca="1" si="50"/>
        <v>-0.70620029309118182</v>
      </c>
      <c r="J471">
        <f t="shared" ca="1" si="51"/>
        <v>-0.58542222892800233</v>
      </c>
      <c r="K471">
        <f t="shared" ca="1" si="52"/>
        <v>14.918046948368428</v>
      </c>
      <c r="L471">
        <f t="shared" ca="1" si="53"/>
        <v>17.083732865436442</v>
      </c>
      <c r="M471">
        <f t="shared" ca="1" si="54"/>
        <v>0</v>
      </c>
      <c r="N471">
        <f t="shared" ca="1" si="55"/>
        <v>0</v>
      </c>
    </row>
    <row r="472" spans="6:14" x14ac:dyDescent="0.75">
      <c r="F472">
        <v>467</v>
      </c>
      <c r="G472">
        <f t="shared" ca="1" si="49"/>
        <v>1.8384758168470301</v>
      </c>
      <c r="H472">
        <f t="shared" ca="1" si="49"/>
        <v>-0.40133484116916174</v>
      </c>
      <c r="I472">
        <f t="shared" ca="1" si="50"/>
        <v>1.8384758168470301</v>
      </c>
      <c r="J472">
        <f t="shared" ca="1" si="51"/>
        <v>1.1133988170854705</v>
      </c>
      <c r="K472">
        <f t="shared" ca="1" si="52"/>
        <v>28.183613066464389</v>
      </c>
      <c r="L472">
        <f t="shared" ca="1" si="53"/>
        <v>26.123413412671685</v>
      </c>
      <c r="M472">
        <f t="shared" ca="1" si="54"/>
        <v>7.1339671923960424</v>
      </c>
      <c r="N472">
        <f t="shared" ca="1" si="55"/>
        <v>7.153513239568035</v>
      </c>
    </row>
    <row r="473" spans="6:14" x14ac:dyDescent="0.75">
      <c r="F473">
        <v>468</v>
      </c>
      <c r="G473">
        <f t="shared" ca="1" si="49"/>
        <v>-1.5158621297607009</v>
      </c>
      <c r="H473">
        <f t="shared" ca="1" si="49"/>
        <v>0.22004996999129456</v>
      </c>
      <c r="I473">
        <f t="shared" ca="1" si="50"/>
        <v>-1.5158621297607009</v>
      </c>
      <c r="J473">
        <f t="shared" ca="1" si="51"/>
        <v>-0.99134722316947776</v>
      </c>
      <c r="K473">
        <f t="shared" ca="1" si="52"/>
        <v>12.184397325050684</v>
      </c>
      <c r="L473">
        <f t="shared" ca="1" si="53"/>
        <v>15.435120544849461</v>
      </c>
      <c r="M473">
        <f t="shared" ca="1" si="54"/>
        <v>0</v>
      </c>
      <c r="N473">
        <f t="shared" ca="1" si="55"/>
        <v>0</v>
      </c>
    </row>
    <row r="474" spans="6:14" x14ac:dyDescent="0.75">
      <c r="F474">
        <v>469</v>
      </c>
      <c r="G474">
        <f t="shared" ca="1" si="49"/>
        <v>-0.35368120024088695</v>
      </c>
      <c r="H474">
        <f t="shared" ca="1" si="49"/>
        <v>-1.7442581719586465E-2</v>
      </c>
      <c r="I474">
        <f t="shared" ca="1" si="50"/>
        <v>-0.35368120024088695</v>
      </c>
      <c r="J474">
        <f t="shared" ca="1" si="51"/>
        <v>-0.27679808354390201</v>
      </c>
      <c r="K474">
        <f t="shared" ca="1" si="52"/>
        <v>16.29244425712395</v>
      </c>
      <c r="L474">
        <f t="shared" ca="1" si="53"/>
        <v>18.454029591227741</v>
      </c>
      <c r="M474">
        <f t="shared" ca="1" si="54"/>
        <v>0</v>
      </c>
      <c r="N474">
        <f t="shared" ca="1" si="55"/>
        <v>0</v>
      </c>
    </row>
    <row r="475" spans="6:14" x14ac:dyDescent="0.75">
      <c r="F475">
        <v>470</v>
      </c>
      <c r="G475">
        <f t="shared" ca="1" si="49"/>
        <v>-0.79749717666765696</v>
      </c>
      <c r="H475">
        <f t="shared" ca="1" si="49"/>
        <v>-1.4602609902658741</v>
      </c>
      <c r="I475">
        <f t="shared" ca="1" si="50"/>
        <v>-0.79749717666765696</v>
      </c>
      <c r="J475">
        <f t="shared" ca="1" si="51"/>
        <v>-1.5639947398738463</v>
      </c>
      <c r="K475">
        <f t="shared" ca="1" si="52"/>
        <v>14.581410495851179</v>
      </c>
      <c r="L475">
        <f t="shared" ca="1" si="53"/>
        <v>13.376288018385655</v>
      </c>
      <c r="M475">
        <f t="shared" ca="1" si="54"/>
        <v>0</v>
      </c>
      <c r="N475">
        <f t="shared" ca="1" si="55"/>
        <v>0</v>
      </c>
    </row>
    <row r="476" spans="6:14" x14ac:dyDescent="0.75">
      <c r="F476">
        <v>471</v>
      </c>
      <c r="G476">
        <f t="shared" ca="1" si="49"/>
        <v>-1.5873867743643875</v>
      </c>
      <c r="H476">
        <f t="shared" ca="1" si="49"/>
        <v>1.8173577178832958</v>
      </c>
      <c r="I476">
        <f t="shared" ca="1" si="50"/>
        <v>-1.5873867743643875</v>
      </c>
      <c r="J476">
        <f t="shared" ca="1" si="51"/>
        <v>1.152906041748003E-2</v>
      </c>
      <c r="K476">
        <f t="shared" ca="1" si="52"/>
        <v>11.968462489232968</v>
      </c>
      <c r="L476">
        <f t="shared" ca="1" si="53"/>
        <v>19.833343543037881</v>
      </c>
      <c r="M476">
        <f t="shared" ca="1" si="54"/>
        <v>0</v>
      </c>
      <c r="N476">
        <f t="shared" ca="1" si="55"/>
        <v>0</v>
      </c>
    </row>
    <row r="477" spans="6:14" x14ac:dyDescent="0.75">
      <c r="F477">
        <v>472</v>
      </c>
      <c r="G477">
        <f t="shared" ca="1" si="49"/>
        <v>-3.0022080887991667</v>
      </c>
      <c r="H477">
        <f t="shared" ca="1" si="49"/>
        <v>1.9410450368331267</v>
      </c>
      <c r="I477">
        <f t="shared" ca="1" si="50"/>
        <v>-3.0022080887991667</v>
      </c>
      <c r="J477">
        <f t="shared" ca="1" si="51"/>
        <v>-0.96777545384020969</v>
      </c>
      <c r="K477">
        <f t="shared" ca="1" si="52"/>
        <v>8.402839930679308</v>
      </c>
      <c r="L477">
        <f t="shared" ca="1" si="53"/>
        <v>15.526347353272346</v>
      </c>
      <c r="M477">
        <f t="shared" ca="1" si="54"/>
        <v>0</v>
      </c>
      <c r="N477">
        <f t="shared" ca="1" si="55"/>
        <v>0</v>
      </c>
    </row>
    <row r="478" spans="6:14" x14ac:dyDescent="0.75">
      <c r="F478">
        <v>473</v>
      </c>
      <c r="G478">
        <f t="shared" ca="1" si="49"/>
        <v>-0.74729093276437564</v>
      </c>
      <c r="H478">
        <f t="shared" ca="1" si="49"/>
        <v>-0.90335154320177091</v>
      </c>
      <c r="I478">
        <f t="shared" ca="1" si="50"/>
        <v>-0.74729093276437564</v>
      </c>
      <c r="J478">
        <f t="shared" ca="1" si="51"/>
        <v>-1.1579790820178584</v>
      </c>
      <c r="K478">
        <f t="shared" ca="1" si="52"/>
        <v>14.765583369427357</v>
      </c>
      <c r="L478">
        <f t="shared" ca="1" si="53"/>
        <v>14.805333730609242</v>
      </c>
      <c r="M478">
        <f t="shared" ca="1" si="54"/>
        <v>0</v>
      </c>
      <c r="N478">
        <f t="shared" ca="1" si="55"/>
        <v>0</v>
      </c>
    </row>
    <row r="479" spans="6:14" x14ac:dyDescent="0.75">
      <c r="F479">
        <v>474</v>
      </c>
      <c r="G479">
        <f t="shared" ca="1" si="49"/>
        <v>0.63827494547627972</v>
      </c>
      <c r="H479">
        <f t="shared" ca="1" si="49"/>
        <v>1.5771950774180097</v>
      </c>
      <c r="I479">
        <f t="shared" ca="1" si="50"/>
        <v>0.63827494547627972</v>
      </c>
      <c r="J479">
        <f t="shared" ca="1" si="51"/>
        <v>1.5219226950780393</v>
      </c>
      <c r="K479">
        <f t="shared" ca="1" si="52"/>
        <v>20.877885615578975</v>
      </c>
      <c r="L479">
        <f t="shared" ca="1" si="53"/>
        <v>28.932425255395916</v>
      </c>
      <c r="M479">
        <f t="shared" ca="1" si="54"/>
        <v>4.5773852365023622</v>
      </c>
      <c r="N479">
        <f t="shared" ca="1" si="55"/>
        <v>4.905155435487444</v>
      </c>
    </row>
    <row r="480" spans="6:14" x14ac:dyDescent="0.75">
      <c r="F480">
        <v>475</v>
      </c>
      <c r="G480">
        <f t="shared" ca="1" si="49"/>
        <v>-0.35152865371316167</v>
      </c>
      <c r="H480">
        <f t="shared" ca="1" si="49"/>
        <v>-1.5675664123366611</v>
      </c>
      <c r="I480">
        <f t="shared" ca="1" si="50"/>
        <v>-0.35152865371316167</v>
      </c>
      <c r="J480">
        <f t="shared" ca="1" si="51"/>
        <v>-1.3004942129400057</v>
      </c>
      <c r="K480">
        <f t="shared" ca="1" si="52"/>
        <v>16.301214177698526</v>
      </c>
      <c r="L480">
        <f t="shared" ca="1" si="53"/>
        <v>14.287124117936816</v>
      </c>
      <c r="M480">
        <f t="shared" ca="1" si="54"/>
        <v>0</v>
      </c>
      <c r="N480">
        <f t="shared" ca="1" si="55"/>
        <v>0</v>
      </c>
    </row>
    <row r="481" spans="6:14" x14ac:dyDescent="0.75">
      <c r="F481">
        <v>476</v>
      </c>
      <c r="G481">
        <f t="shared" ca="1" si="49"/>
        <v>0.51587043977228919</v>
      </c>
      <c r="H481">
        <f t="shared" ca="1" si="49"/>
        <v>0.57455876271234141</v>
      </c>
      <c r="I481">
        <f t="shared" ca="1" si="50"/>
        <v>0.51587043977228919</v>
      </c>
      <c r="J481">
        <f t="shared" ca="1" si="51"/>
        <v>0.76693772976167351</v>
      </c>
      <c r="K481">
        <f t="shared" ca="1" si="52"/>
        <v>20.248675172644809</v>
      </c>
      <c r="L481">
        <f t="shared" ca="1" si="53"/>
        <v>23.955949491035831</v>
      </c>
      <c r="M481">
        <f t="shared" ca="1" si="54"/>
        <v>2.0244464106653624</v>
      </c>
      <c r="N481">
        <f t="shared" ca="1" si="55"/>
        <v>2.1023123318403201</v>
      </c>
    </row>
    <row r="482" spans="6:14" x14ac:dyDescent="0.75">
      <c r="F482">
        <v>477</v>
      </c>
      <c r="G482">
        <f t="shared" ca="1" si="49"/>
        <v>-0.78136721475477466</v>
      </c>
      <c r="H482">
        <f t="shared" ca="1" si="49"/>
        <v>0.23658888799142014</v>
      </c>
      <c r="I482">
        <f t="shared" ca="1" si="50"/>
        <v>-0.78136721475477466</v>
      </c>
      <c r="J482">
        <f t="shared" ca="1" si="51"/>
        <v>-0.42953657091942765</v>
      </c>
      <c r="K482">
        <f t="shared" ca="1" si="52"/>
        <v>14.640328608359738</v>
      </c>
      <c r="L482">
        <f t="shared" ca="1" si="53"/>
        <v>17.762653422496339</v>
      </c>
      <c r="M482">
        <f t="shared" ca="1" si="54"/>
        <v>0</v>
      </c>
      <c r="N482">
        <f t="shared" ca="1" si="55"/>
        <v>0</v>
      </c>
    </row>
    <row r="483" spans="6:14" x14ac:dyDescent="0.75">
      <c r="F483">
        <v>478</v>
      </c>
      <c r="G483">
        <f t="shared" ca="1" si="49"/>
        <v>-0.4168985368418705</v>
      </c>
      <c r="H483">
        <f t="shared" ca="1" si="49"/>
        <v>1.839174527667037</v>
      </c>
      <c r="I483">
        <f t="shared" ca="1" si="50"/>
        <v>-0.4168985368418705</v>
      </c>
      <c r="J483">
        <f t="shared" ca="1" si="51"/>
        <v>0.90382570183151278</v>
      </c>
      <c r="K483">
        <f t="shared" ca="1" si="52"/>
        <v>16.03697708569366</v>
      </c>
      <c r="L483">
        <f t="shared" ca="1" si="53"/>
        <v>24.789959170030276</v>
      </c>
      <c r="M483">
        <f t="shared" ca="1" si="54"/>
        <v>0</v>
      </c>
      <c r="N483">
        <f t="shared" ca="1" si="55"/>
        <v>0.41346812786196807</v>
      </c>
    </row>
    <row r="484" spans="6:14" x14ac:dyDescent="0.75">
      <c r="F484">
        <v>479</v>
      </c>
      <c r="G484">
        <f t="shared" ca="1" si="49"/>
        <v>0.38575692764859271</v>
      </c>
      <c r="H484">
        <f t="shared" ca="1" si="49"/>
        <v>0.97645328968199518</v>
      </c>
      <c r="I484">
        <f t="shared" ca="1" si="50"/>
        <v>0.38575692764859271</v>
      </c>
      <c r="J484">
        <f t="shared" ca="1" si="51"/>
        <v>0.93518083857881229</v>
      </c>
      <c r="K484">
        <f t="shared" ca="1" si="52"/>
        <v>19.600615911685111</v>
      </c>
      <c r="L484">
        <f t="shared" ca="1" si="53"/>
        <v>24.985045932529324</v>
      </c>
      <c r="M484">
        <f t="shared" ca="1" si="54"/>
        <v>2.1296698768715849</v>
      </c>
      <c r="N484">
        <f t="shared" ca="1" si="55"/>
        <v>2.2928309221072176</v>
      </c>
    </row>
    <row r="485" spans="6:14" x14ac:dyDescent="0.75">
      <c r="F485">
        <v>480</v>
      </c>
      <c r="G485">
        <f t="shared" ca="1" si="49"/>
        <v>0.1524569090468309</v>
      </c>
      <c r="H485">
        <f t="shared" ca="1" si="49"/>
        <v>1.7687515053833209</v>
      </c>
      <c r="I485">
        <f t="shared" ca="1" si="50"/>
        <v>0.1524569090468309</v>
      </c>
      <c r="J485">
        <f t="shared" ca="1" si="51"/>
        <v>1.2842618353639708</v>
      </c>
      <c r="K485">
        <f t="shared" ca="1" si="52"/>
        <v>18.490109826467101</v>
      </c>
      <c r="L485">
        <f t="shared" ca="1" si="53"/>
        <v>27.263470585919777</v>
      </c>
      <c r="M485">
        <f t="shared" ca="1" si="54"/>
        <v>2.4522730560696679</v>
      </c>
      <c r="N485">
        <f t="shared" ca="1" si="55"/>
        <v>2.8767902061934407</v>
      </c>
    </row>
    <row r="486" spans="6:14" x14ac:dyDescent="0.75">
      <c r="F486">
        <v>481</v>
      </c>
      <c r="G486">
        <f t="shared" ca="1" si="49"/>
        <v>1.1058127586689124</v>
      </c>
      <c r="H486">
        <f t="shared" ca="1" si="49"/>
        <v>1.3610147651689708</v>
      </c>
      <c r="I486">
        <f t="shared" ca="1" si="50"/>
        <v>1.1058127586689124</v>
      </c>
      <c r="J486">
        <f t="shared" ca="1" si="51"/>
        <v>1.729586218832702</v>
      </c>
      <c r="K486">
        <f t="shared" ca="1" si="52"/>
        <v>23.466525235077</v>
      </c>
      <c r="L486">
        <f t="shared" ca="1" si="53"/>
        <v>30.474151371285963</v>
      </c>
      <c r="M486">
        <f t="shared" ca="1" si="54"/>
        <v>6.7417733550308583</v>
      </c>
      <c r="N486">
        <f t="shared" ca="1" si="55"/>
        <v>6.9703383031814816</v>
      </c>
    </row>
    <row r="487" spans="6:14" x14ac:dyDescent="0.75">
      <c r="F487">
        <v>482</v>
      </c>
      <c r="G487">
        <f t="shared" ca="1" si="49"/>
        <v>1.5005332424594251</v>
      </c>
      <c r="H487">
        <f t="shared" ca="1" si="49"/>
        <v>0.33883484081035908</v>
      </c>
      <c r="I487">
        <f t="shared" ca="1" si="50"/>
        <v>1.5005332424594251</v>
      </c>
      <c r="J487">
        <f t="shared" ca="1" si="51"/>
        <v>1.3495181129216611</v>
      </c>
      <c r="K487">
        <f t="shared" ca="1" si="52"/>
        <v>25.900313386859153</v>
      </c>
      <c r="L487">
        <f t="shared" ca="1" si="53"/>
        <v>27.71189661792706</v>
      </c>
      <c r="M487">
        <f t="shared" ca="1" si="54"/>
        <v>6.7907970569849461</v>
      </c>
      <c r="N487">
        <f t="shared" ca="1" si="55"/>
        <v>6.8061050023931067</v>
      </c>
    </row>
    <row r="488" spans="6:14" x14ac:dyDescent="0.75">
      <c r="F488">
        <v>483</v>
      </c>
      <c r="G488">
        <f t="shared" ca="1" si="49"/>
        <v>0.21898776379072599</v>
      </c>
      <c r="H488">
        <f t="shared" ca="1" si="49"/>
        <v>1.6218736506260134</v>
      </c>
      <c r="I488">
        <f t="shared" ca="1" si="50"/>
        <v>0.21898776379072599</v>
      </c>
      <c r="J488">
        <f t="shared" ca="1" si="51"/>
        <v>1.2370094072242668</v>
      </c>
      <c r="K488">
        <f t="shared" ca="1" si="52"/>
        <v>18.800222386664625</v>
      </c>
      <c r="L488">
        <f t="shared" ca="1" si="53"/>
        <v>26.943299122930906</v>
      </c>
      <c r="M488">
        <f t="shared" ca="1" si="54"/>
        <v>2.5064438626258116</v>
      </c>
      <c r="N488">
        <f t="shared" ca="1" si="55"/>
        <v>2.8717607547977657</v>
      </c>
    </row>
    <row r="489" spans="6:14" x14ac:dyDescent="0.75">
      <c r="F489">
        <v>484</v>
      </c>
      <c r="G489">
        <f t="shared" ca="1" si="49"/>
        <v>0.1169901761946139</v>
      </c>
      <c r="H489">
        <f t="shared" ca="1" si="49"/>
        <v>0.41361424464708318</v>
      </c>
      <c r="I489">
        <f t="shared" ca="1" si="50"/>
        <v>0.1169901761946139</v>
      </c>
      <c r="J489">
        <f t="shared" ca="1" si="51"/>
        <v>0.36132273965846307</v>
      </c>
      <c r="K489">
        <f t="shared" ca="1" si="52"/>
        <v>18.326888565014368</v>
      </c>
      <c r="L489">
        <f t="shared" ca="1" si="53"/>
        <v>21.645832863126753</v>
      </c>
      <c r="M489">
        <f t="shared" ca="1" si="54"/>
        <v>0</v>
      </c>
      <c r="N489">
        <f t="shared" ca="1" si="55"/>
        <v>0</v>
      </c>
    </row>
    <row r="490" spans="6:14" x14ac:dyDescent="0.75">
      <c r="F490">
        <v>485</v>
      </c>
      <c r="G490">
        <f t="shared" ca="1" si="49"/>
        <v>0.99458764736680794</v>
      </c>
      <c r="H490">
        <f t="shared" ca="1" si="49"/>
        <v>-0.57194192941285038</v>
      </c>
      <c r="I490">
        <f t="shared" ca="1" si="50"/>
        <v>0.99458764736680794</v>
      </c>
      <c r="J490">
        <f t="shared" ca="1" si="51"/>
        <v>0.36763670812589083</v>
      </c>
      <c r="K490">
        <f t="shared" ca="1" si="52"/>
        <v>22.822997040225143</v>
      </c>
      <c r="L490">
        <f t="shared" ca="1" si="53"/>
        <v>21.680027620641511</v>
      </c>
      <c r="M490">
        <f t="shared" ca="1" si="54"/>
        <v>2.2441724102718759</v>
      </c>
      <c r="N490">
        <f t="shared" ca="1" si="55"/>
        <v>2.2515123304333287</v>
      </c>
    </row>
    <row r="491" spans="6:14" x14ac:dyDescent="0.75">
      <c r="F491">
        <v>486</v>
      </c>
      <c r="G491">
        <f t="shared" ca="1" si="49"/>
        <v>-0.16700114132036323</v>
      </c>
      <c r="H491">
        <f t="shared" ca="1" si="49"/>
        <v>1.0972854706540136</v>
      </c>
      <c r="I491">
        <f t="shared" ca="1" si="50"/>
        <v>-0.16700114132036323</v>
      </c>
      <c r="J491">
        <f t="shared" ca="1" si="51"/>
        <v>0.6005352621584733</v>
      </c>
      <c r="K491">
        <f t="shared" ca="1" si="52"/>
        <v>17.070835353857671</v>
      </c>
      <c r="L491">
        <f t="shared" ca="1" si="53"/>
        <v>22.979811947914982</v>
      </c>
      <c r="M491">
        <f t="shared" ca="1" si="54"/>
        <v>0</v>
      </c>
      <c r="N491">
        <f t="shared" ca="1" si="55"/>
        <v>2.5323650886328153E-2</v>
      </c>
    </row>
    <row r="492" spans="6:14" x14ac:dyDescent="0.75">
      <c r="F492">
        <v>487</v>
      </c>
      <c r="G492">
        <f t="shared" ca="1" si="49"/>
        <v>-1.1439902018953036</v>
      </c>
      <c r="H492">
        <f t="shared" ca="1" si="49"/>
        <v>-0.88513066201742296</v>
      </c>
      <c r="I492">
        <f t="shared" ca="1" si="50"/>
        <v>-1.1439902018953036</v>
      </c>
      <c r="J492">
        <f t="shared" ca="1" si="51"/>
        <v>-1.4434515537954942</v>
      </c>
      <c r="K492">
        <f t="shared" ca="1" si="52"/>
        <v>13.371481696141004</v>
      </c>
      <c r="L492">
        <f t="shared" ca="1" si="53"/>
        <v>13.785528535707822</v>
      </c>
      <c r="M492">
        <f t="shared" ca="1" si="54"/>
        <v>0</v>
      </c>
      <c r="N492">
        <f t="shared" ca="1" si="55"/>
        <v>0</v>
      </c>
    </row>
    <row r="493" spans="6:14" x14ac:dyDescent="0.75">
      <c r="F493">
        <v>488</v>
      </c>
      <c r="G493">
        <f t="shared" ca="1" si="49"/>
        <v>0.92741041243828248</v>
      </c>
      <c r="H493">
        <f t="shared" ca="1" si="49"/>
        <v>-0.81562561391936106</v>
      </c>
      <c r="I493">
        <f t="shared" ca="1" si="50"/>
        <v>0.92741041243828248</v>
      </c>
      <c r="J493">
        <f t="shared" ca="1" si="51"/>
        <v>0.15607217498745896</v>
      </c>
      <c r="K493">
        <f t="shared" ca="1" si="52"/>
        <v>22.442901238614354</v>
      </c>
      <c r="L493">
        <f t="shared" ca="1" si="53"/>
        <v>20.563143385506706</v>
      </c>
      <c r="M493">
        <f t="shared" ca="1" si="54"/>
        <v>1.4824718353450415</v>
      </c>
      <c r="N493">
        <f t="shared" ca="1" si="55"/>
        <v>1.5030223120605299</v>
      </c>
    </row>
    <row r="494" spans="6:14" x14ac:dyDescent="0.75">
      <c r="F494">
        <v>489</v>
      </c>
      <c r="G494">
        <f t="shared" ca="1" si="49"/>
        <v>-0.89068489905527315</v>
      </c>
      <c r="H494">
        <f t="shared" ca="1" si="49"/>
        <v>-0.60512821562038965</v>
      </c>
      <c r="I494">
        <f t="shared" ca="1" si="50"/>
        <v>-0.89068489905527315</v>
      </c>
      <c r="J494">
        <f t="shared" ca="1" si="51"/>
        <v>-1.0682683667514103</v>
      </c>
      <c r="K494">
        <f t="shared" ca="1" si="52"/>
        <v>14.245634845170244</v>
      </c>
      <c r="L494">
        <f t="shared" ca="1" si="53"/>
        <v>15.141134541099731</v>
      </c>
      <c r="M494">
        <f t="shared" ca="1" si="54"/>
        <v>0</v>
      </c>
      <c r="N494">
        <f t="shared" ca="1" si="55"/>
        <v>0</v>
      </c>
    </row>
    <row r="495" spans="6:14" x14ac:dyDescent="0.75">
      <c r="F495">
        <v>490</v>
      </c>
      <c r="G495">
        <f t="shared" ca="1" si="49"/>
        <v>6.2453374914074357E-3</v>
      </c>
      <c r="H495">
        <f t="shared" ca="1" si="49"/>
        <v>-0.19852735058386928</v>
      </c>
      <c r="I495">
        <f t="shared" ca="1" si="50"/>
        <v>6.2453374914074357E-3</v>
      </c>
      <c r="J495">
        <f t="shared" ca="1" si="51"/>
        <v>-0.12662949640380738</v>
      </c>
      <c r="K495">
        <f t="shared" ca="1" si="52"/>
        <v>17.826446129049828</v>
      </c>
      <c r="L495">
        <f t="shared" ca="1" si="53"/>
        <v>19.160002431601974</v>
      </c>
      <c r="M495">
        <f t="shared" ca="1" si="54"/>
        <v>0</v>
      </c>
      <c r="N495">
        <f t="shared" ca="1" si="55"/>
        <v>0</v>
      </c>
    </row>
    <row r="496" spans="6:14" x14ac:dyDescent="0.75">
      <c r="F496">
        <v>491</v>
      </c>
      <c r="G496">
        <f t="shared" ca="1" si="49"/>
        <v>8.7233868515389057E-2</v>
      </c>
      <c r="H496">
        <f t="shared" ca="1" si="49"/>
        <v>0.77285500642514438</v>
      </c>
      <c r="I496">
        <f t="shared" ca="1" si="50"/>
        <v>8.7233868515389057E-2</v>
      </c>
      <c r="J496">
        <f t="shared" ca="1" si="51"/>
        <v>0.57662093801458147</v>
      </c>
      <c r="K496">
        <f t="shared" ca="1" si="52"/>
        <v>18.191059279925664</v>
      </c>
      <c r="L496">
        <f t="shared" ca="1" si="53"/>
        <v>22.842835151433341</v>
      </c>
      <c r="M496">
        <f t="shared" ca="1" si="54"/>
        <v>0.38468465199532176</v>
      </c>
      <c r="N496">
        <f t="shared" ca="1" si="55"/>
        <v>0.51694721567950097</v>
      </c>
    </row>
    <row r="497" spans="6:14" x14ac:dyDescent="0.75">
      <c r="F497">
        <v>492</v>
      </c>
      <c r="G497">
        <f t="shared" ca="1" si="49"/>
        <v>8.898092431178832E-2</v>
      </c>
      <c r="H497">
        <f t="shared" ca="1" si="49"/>
        <v>-0.78944777275249767</v>
      </c>
      <c r="I497">
        <f t="shared" ca="1" si="50"/>
        <v>8.898092431178832E-2</v>
      </c>
      <c r="J497">
        <f t="shared" ca="1" si="51"/>
        <v>-0.45543492671039421</v>
      </c>
      <c r="K497">
        <f t="shared" ca="1" si="52"/>
        <v>18.199006214155929</v>
      </c>
      <c r="L497">
        <f t="shared" ca="1" si="53"/>
        <v>17.648019048648138</v>
      </c>
      <c r="M497">
        <f t="shared" ca="1" si="54"/>
        <v>0</v>
      </c>
      <c r="N497">
        <f t="shared" ca="1" si="55"/>
        <v>0</v>
      </c>
    </row>
    <row r="498" spans="6:14" x14ac:dyDescent="0.75">
      <c r="F498">
        <v>493</v>
      </c>
      <c r="G498">
        <f t="shared" ca="1" si="49"/>
        <v>0.34526883429908428</v>
      </c>
      <c r="H498">
        <f t="shared" ca="1" si="49"/>
        <v>3.066351971387971</v>
      </c>
      <c r="I498">
        <f t="shared" ca="1" si="50"/>
        <v>0.34526883429908428</v>
      </c>
      <c r="J498">
        <f t="shared" ca="1" si="51"/>
        <v>2.2871528128456173</v>
      </c>
      <c r="K498">
        <f t="shared" ca="1" si="52"/>
        <v>19.403218734779387</v>
      </c>
      <c r="L498">
        <f t="shared" ca="1" si="53"/>
        <v>35.032299429112605</v>
      </c>
      <c r="M498">
        <f t="shared" ca="1" si="54"/>
        <v>6.0718117630010298</v>
      </c>
      <c r="N498">
        <f t="shared" ca="1" si="55"/>
        <v>7.2177590819459958</v>
      </c>
    </row>
    <row r="499" spans="6:14" x14ac:dyDescent="0.75">
      <c r="F499">
        <v>494</v>
      </c>
      <c r="G499">
        <f t="shared" ca="1" si="49"/>
        <v>-0.74030849284890232</v>
      </c>
      <c r="H499">
        <f t="shared" ca="1" si="49"/>
        <v>0.44456872523766205</v>
      </c>
      <c r="I499">
        <f t="shared" ca="1" si="50"/>
        <v>-0.74030849284890232</v>
      </c>
      <c r="J499">
        <f t="shared" ca="1" si="51"/>
        <v>-0.26117679772271218</v>
      </c>
      <c r="K499">
        <f t="shared" ca="1" si="52"/>
        <v>14.791380828701275</v>
      </c>
      <c r="L499">
        <f t="shared" ca="1" si="53"/>
        <v>18.526239418444941</v>
      </c>
      <c r="M499">
        <f t="shared" ca="1" si="54"/>
        <v>0</v>
      </c>
      <c r="N499">
        <f t="shared" ca="1" si="55"/>
        <v>0</v>
      </c>
    </row>
    <row r="500" spans="6:14" x14ac:dyDescent="0.75">
      <c r="F500">
        <v>495</v>
      </c>
      <c r="G500">
        <f t="shared" ca="1" si="49"/>
        <v>0.55137849895529889</v>
      </c>
      <c r="H500">
        <f t="shared" ca="1" si="49"/>
        <v>-0.41448911216396128</v>
      </c>
      <c r="I500">
        <f t="shared" ca="1" si="50"/>
        <v>0.55137849895529889</v>
      </c>
      <c r="J500">
        <f t="shared" ca="1" si="51"/>
        <v>0.13937509623402444</v>
      </c>
      <c r="K500">
        <f t="shared" ca="1" si="52"/>
        <v>20.429223139616138</v>
      </c>
      <c r="L500">
        <f t="shared" ca="1" si="53"/>
        <v>20.477486181887535</v>
      </c>
      <c r="M500">
        <f t="shared" ca="1" si="54"/>
        <v>0.45334042517716711</v>
      </c>
      <c r="N500">
        <f t="shared" ca="1" si="55"/>
        <v>0.45335466075183461</v>
      </c>
    </row>
    <row r="501" spans="6:14" x14ac:dyDescent="0.75">
      <c r="F501">
        <v>496</v>
      </c>
      <c r="G501">
        <f t="shared" ca="1" si="49"/>
        <v>-0.6863512117924202</v>
      </c>
      <c r="H501">
        <f t="shared" ca="1" si="49"/>
        <v>-0.99994057095909095</v>
      </c>
      <c r="I501">
        <f t="shared" ca="1" si="50"/>
        <v>-0.6863512117924202</v>
      </c>
      <c r="J501">
        <f t="shared" ca="1" si="51"/>
        <v>-1.1761619279947377</v>
      </c>
      <c r="K501">
        <f t="shared" ca="1" si="52"/>
        <v>14.992258306169514</v>
      </c>
      <c r="L501">
        <f t="shared" ca="1" si="53"/>
        <v>14.738185688334095</v>
      </c>
      <c r="M501">
        <f t="shared" ca="1" si="54"/>
        <v>0</v>
      </c>
      <c r="N501">
        <f t="shared" ca="1" si="55"/>
        <v>0</v>
      </c>
    </row>
    <row r="502" spans="6:14" x14ac:dyDescent="0.75">
      <c r="F502">
        <v>497</v>
      </c>
      <c r="G502">
        <f t="shared" ca="1" si="49"/>
        <v>-1.2034100132604968</v>
      </c>
      <c r="H502">
        <f t="shared" ca="1" si="49"/>
        <v>-1.0489633757732606</v>
      </c>
      <c r="I502">
        <f t="shared" ca="1" si="50"/>
        <v>-1.2034100132604968</v>
      </c>
      <c r="J502">
        <f t="shared" ca="1" si="51"/>
        <v>-1.5963815666230834</v>
      </c>
      <c r="K502">
        <f t="shared" ca="1" si="52"/>
        <v>13.174317027726612</v>
      </c>
      <c r="L502">
        <f t="shared" ca="1" si="53"/>
        <v>13.268421409164493</v>
      </c>
      <c r="M502">
        <f t="shared" ca="1" si="54"/>
        <v>0</v>
      </c>
      <c r="N502">
        <f t="shared" ca="1" si="55"/>
        <v>0</v>
      </c>
    </row>
    <row r="503" spans="6:14" x14ac:dyDescent="0.75">
      <c r="F503">
        <v>498</v>
      </c>
      <c r="G503">
        <f t="shared" ca="1" si="49"/>
        <v>-0.47977850405331635</v>
      </c>
      <c r="H503">
        <f t="shared" ca="1" si="49"/>
        <v>-7.1502148140356686E-2</v>
      </c>
      <c r="I503">
        <f t="shared" ca="1" si="50"/>
        <v>-0.47977850405331635</v>
      </c>
      <c r="J503">
        <f t="shared" ca="1" si="51"/>
        <v>-0.40712810358655804</v>
      </c>
      <c r="K503">
        <f t="shared" ca="1" si="52"/>
        <v>15.786847108906302</v>
      </c>
      <c r="L503">
        <f t="shared" ca="1" si="53"/>
        <v>17.862441132466394</v>
      </c>
      <c r="M503">
        <f t="shared" ca="1" si="54"/>
        <v>0</v>
      </c>
      <c r="N503">
        <f t="shared" ca="1" si="55"/>
        <v>0</v>
      </c>
    </row>
    <row r="504" spans="6:14" x14ac:dyDescent="0.75">
      <c r="F504">
        <v>499</v>
      </c>
      <c r="G504">
        <f t="shared" ca="1" si="49"/>
        <v>-1.5538759613212583</v>
      </c>
      <c r="H504">
        <f t="shared" ca="1" si="49"/>
        <v>-5.2574731529133389E-2</v>
      </c>
      <c r="I504">
        <f t="shared" ca="1" si="50"/>
        <v>-1.5538759613212583</v>
      </c>
      <c r="J504">
        <f t="shared" ca="1" si="51"/>
        <v>-1.200181887208962</v>
      </c>
      <c r="K504">
        <f t="shared" ca="1" si="52"/>
        <v>12.069151900546151</v>
      </c>
      <c r="L504">
        <f t="shared" ca="1" si="53"/>
        <v>14.649948231220545</v>
      </c>
      <c r="M504">
        <f t="shared" ca="1" si="54"/>
        <v>0</v>
      </c>
      <c r="N504">
        <f t="shared" ca="1" si="55"/>
        <v>0</v>
      </c>
    </row>
    <row r="505" spans="6:14" x14ac:dyDescent="0.75">
      <c r="F505">
        <v>500</v>
      </c>
      <c r="G505">
        <f t="shared" ca="1" si="49"/>
        <v>-0.9838907757828308</v>
      </c>
      <c r="H505">
        <f t="shared" ca="1" si="49"/>
        <v>-0.26903355449396082</v>
      </c>
      <c r="I505">
        <f t="shared" ca="1" si="50"/>
        <v>-0.9838907757828308</v>
      </c>
      <c r="J505">
        <f t="shared" ca="1" si="51"/>
        <v>-0.91586705171781413</v>
      </c>
      <c r="K505">
        <f t="shared" ca="1" si="52"/>
        <v>13.917528153390331</v>
      </c>
      <c r="L505">
        <f t="shared" ca="1" si="53"/>
        <v>15.729147355719558</v>
      </c>
      <c r="M505">
        <f t="shared" ca="1" si="54"/>
        <v>0</v>
      </c>
      <c r="N505">
        <f t="shared" ca="1" si="55"/>
        <v>0</v>
      </c>
    </row>
    <row r="506" spans="6:14" x14ac:dyDescent="0.75">
      <c r="F506">
        <v>501</v>
      </c>
      <c r="G506">
        <f t="shared" ca="1" si="49"/>
        <v>0.18637084104163246</v>
      </c>
      <c r="H506">
        <f t="shared" ca="1" si="49"/>
        <v>0.25120981228074568</v>
      </c>
      <c r="I506">
        <f t="shared" ca="1" si="50"/>
        <v>0.18637084104163246</v>
      </c>
      <c r="J506">
        <f t="shared" ca="1" si="51"/>
        <v>0.30593780332974252</v>
      </c>
      <c r="K506">
        <f t="shared" ca="1" si="52"/>
        <v>18.647544368224665</v>
      </c>
      <c r="L506">
        <f t="shared" ca="1" si="53"/>
        <v>21.348185000749215</v>
      </c>
      <c r="M506">
        <f t="shared" ca="1" si="54"/>
        <v>0</v>
      </c>
      <c r="N506">
        <f t="shared" ca="1" si="55"/>
        <v>0</v>
      </c>
    </row>
    <row r="507" spans="6:14" x14ac:dyDescent="0.75">
      <c r="F507">
        <v>502</v>
      </c>
      <c r="G507">
        <f t="shared" ca="1" si="49"/>
        <v>1.075429616259973</v>
      </c>
      <c r="H507">
        <f t="shared" ca="1" si="49"/>
        <v>0.37517993341641331</v>
      </c>
      <c r="I507">
        <f t="shared" ca="1" si="50"/>
        <v>1.075429616259973</v>
      </c>
      <c r="J507">
        <f t="shared" ca="1" si="51"/>
        <v>1.0547304123753802</v>
      </c>
      <c r="K507">
        <f t="shared" ca="1" si="52"/>
        <v>23.288953791630743</v>
      </c>
      <c r="L507">
        <f t="shared" ca="1" si="53"/>
        <v>25.743054862374994</v>
      </c>
      <c r="M507">
        <f t="shared" ca="1" si="54"/>
        <v>4.4852775182407569</v>
      </c>
      <c r="N507">
        <f t="shared" ca="1" si="55"/>
        <v>4.516004327002868</v>
      </c>
    </row>
    <row r="508" spans="6:14" x14ac:dyDescent="0.75">
      <c r="F508">
        <v>503</v>
      </c>
      <c r="G508">
        <f t="shared" ca="1" si="49"/>
        <v>0.65497205809303893</v>
      </c>
      <c r="H508">
        <f t="shared" ca="1" si="49"/>
        <v>-7.3955035950777653E-2</v>
      </c>
      <c r="I508">
        <f t="shared" ca="1" si="50"/>
        <v>0.65497205809303893</v>
      </c>
      <c r="J508">
        <f t="shared" ca="1" si="51"/>
        <v>0.44231238523812949</v>
      </c>
      <c r="K508">
        <f t="shared" ca="1" si="52"/>
        <v>20.965217865149786</v>
      </c>
      <c r="L508">
        <f t="shared" ca="1" si="53"/>
        <v>22.088571981371246</v>
      </c>
      <c r="M508">
        <f t="shared" ca="1" si="54"/>
        <v>1.519566071821508</v>
      </c>
      <c r="N508">
        <f t="shared" ca="1" si="55"/>
        <v>1.5268949232605138</v>
      </c>
    </row>
    <row r="509" spans="6:14" x14ac:dyDescent="0.75">
      <c r="F509">
        <v>504</v>
      </c>
      <c r="G509">
        <f t="shared" ca="1" si="49"/>
        <v>0.23553933506362337</v>
      </c>
      <c r="H509">
        <f t="shared" ca="1" si="49"/>
        <v>-1.7076822651940584</v>
      </c>
      <c r="I509">
        <f t="shared" ca="1" si="50"/>
        <v>0.23553933506362337</v>
      </c>
      <c r="J509">
        <f t="shared" ca="1" si="51"/>
        <v>-0.95287114670701489</v>
      </c>
      <c r="K509">
        <f t="shared" ca="1" si="52"/>
        <v>18.878176864266901</v>
      </c>
      <c r="L509">
        <f t="shared" ca="1" si="53"/>
        <v>15.584307630838774</v>
      </c>
      <c r="M509">
        <f t="shared" ca="1" si="54"/>
        <v>0</v>
      </c>
      <c r="N509">
        <f t="shared" ca="1" si="55"/>
        <v>0</v>
      </c>
    </row>
    <row r="510" spans="6:14" x14ac:dyDescent="0.75">
      <c r="F510">
        <v>505</v>
      </c>
      <c r="G510">
        <f t="shared" ca="1" si="49"/>
        <v>-0.57554703962225384</v>
      </c>
      <c r="H510">
        <f t="shared" ca="1" si="49"/>
        <v>2.4328675358502627</v>
      </c>
      <c r="I510">
        <f t="shared" ca="1" si="50"/>
        <v>-0.57554703962225384</v>
      </c>
      <c r="J510">
        <f t="shared" ca="1" si="51"/>
        <v>1.1775303384388878</v>
      </c>
      <c r="K510">
        <f t="shared" ca="1" si="52"/>
        <v>15.413365120200041</v>
      </c>
      <c r="L510">
        <f t="shared" ca="1" si="53"/>
        <v>26.545622544039794</v>
      </c>
      <c r="M510">
        <f t="shared" ca="1" si="54"/>
        <v>0.22763882944074254</v>
      </c>
      <c r="N510">
        <f t="shared" ca="1" si="55"/>
        <v>0.97949383211991758</v>
      </c>
    </row>
    <row r="511" spans="6:14" x14ac:dyDescent="0.75">
      <c r="F511">
        <v>506</v>
      </c>
      <c r="G511">
        <f t="shared" ca="1" si="49"/>
        <v>-1.2713720719114896</v>
      </c>
      <c r="H511">
        <f t="shared" ca="1" si="49"/>
        <v>9.0932440220264185E-2</v>
      </c>
      <c r="I511">
        <f t="shared" ca="1" si="50"/>
        <v>-1.2713720719114896</v>
      </c>
      <c r="J511">
        <f t="shared" ca="1" si="51"/>
        <v>-0.89338289820085059</v>
      </c>
      <c r="K511">
        <f t="shared" ca="1" si="52"/>
        <v>12.952369442197272</v>
      </c>
      <c r="L511">
        <f t="shared" ca="1" si="53"/>
        <v>15.817810452563537</v>
      </c>
      <c r="M511">
        <f t="shared" ca="1" si="54"/>
        <v>0</v>
      </c>
      <c r="N511">
        <f t="shared" ca="1" si="55"/>
        <v>0</v>
      </c>
    </row>
    <row r="512" spans="6:14" x14ac:dyDescent="0.75">
      <c r="F512">
        <v>507</v>
      </c>
      <c r="G512">
        <f t="shared" ca="1" si="49"/>
        <v>-1.2346011150550609</v>
      </c>
      <c r="H512">
        <f t="shared" ca="1" si="49"/>
        <v>0.98289910082792054</v>
      </c>
      <c r="I512">
        <f t="shared" ca="1" si="50"/>
        <v>-1.2346011150550609</v>
      </c>
      <c r="J512">
        <f t="shared" ca="1" si="51"/>
        <v>-0.27582419012637605</v>
      </c>
      <c r="K512">
        <f t="shared" ca="1" si="52"/>
        <v>13.071986156952175</v>
      </c>
      <c r="L512">
        <f t="shared" ca="1" si="53"/>
        <v>18.458523202729307</v>
      </c>
      <c r="M512">
        <f t="shared" ca="1" si="54"/>
        <v>0</v>
      </c>
      <c r="N512">
        <f t="shared" ca="1" si="55"/>
        <v>0</v>
      </c>
    </row>
    <row r="513" spans="6:14" x14ac:dyDescent="0.75">
      <c r="F513">
        <v>508</v>
      </c>
      <c r="G513">
        <f t="shared" ca="1" si="49"/>
        <v>0.60642065294460645</v>
      </c>
      <c r="H513">
        <f t="shared" ca="1" si="49"/>
        <v>0.21168439571414888</v>
      </c>
      <c r="I513">
        <f t="shared" ca="1" si="50"/>
        <v>0.60642065294460645</v>
      </c>
      <c r="J513">
        <f t="shared" ca="1" si="51"/>
        <v>0.59483155658161113</v>
      </c>
      <c r="K513">
        <f t="shared" ca="1" si="52"/>
        <v>20.712283314821633</v>
      </c>
      <c r="L513">
        <f t="shared" ca="1" si="53"/>
        <v>22.947067778460216</v>
      </c>
      <c r="M513">
        <f t="shared" ca="1" si="54"/>
        <v>1.8010588979499502</v>
      </c>
      <c r="N513">
        <f t="shared" ca="1" si="55"/>
        <v>1.8296755466409245</v>
      </c>
    </row>
    <row r="514" spans="6:14" x14ac:dyDescent="0.75">
      <c r="F514">
        <v>509</v>
      </c>
      <c r="G514">
        <f t="shared" ca="1" si="49"/>
        <v>-0.55035380312863202</v>
      </c>
      <c r="H514">
        <f t="shared" ca="1" si="49"/>
        <v>0.57245846429899661</v>
      </c>
      <c r="I514">
        <f t="shared" ca="1" si="50"/>
        <v>-0.55035380312863202</v>
      </c>
      <c r="J514">
        <f t="shared" ca="1" si="51"/>
        <v>-3.4119669234200956E-2</v>
      </c>
      <c r="K514">
        <f t="shared" ca="1" si="52"/>
        <v>15.510749615259702</v>
      </c>
      <c r="L514">
        <f t="shared" ca="1" si="53"/>
        <v>19.608288436186335</v>
      </c>
      <c r="M514">
        <f t="shared" ca="1" si="54"/>
        <v>0</v>
      </c>
      <c r="N514">
        <f t="shared" ca="1" si="55"/>
        <v>0</v>
      </c>
    </row>
    <row r="515" spans="6:14" x14ac:dyDescent="0.75">
      <c r="F515">
        <v>510</v>
      </c>
      <c r="G515">
        <f t="shared" ca="1" si="49"/>
        <v>-1.4041749178624412</v>
      </c>
      <c r="H515">
        <f t="shared" ca="1" si="49"/>
        <v>0.59104223484290452</v>
      </c>
      <c r="I515">
        <f t="shared" ca="1" si="50"/>
        <v>-1.4041749178624412</v>
      </c>
      <c r="J515">
        <f t="shared" ca="1" si="51"/>
        <v>-0.66219349646429082</v>
      </c>
      <c r="K515">
        <f t="shared" ca="1" si="52"/>
        <v>12.529401826096562</v>
      </c>
      <c r="L515">
        <f t="shared" ca="1" si="53"/>
        <v>16.758974392857176</v>
      </c>
      <c r="M515">
        <f t="shared" ca="1" si="54"/>
        <v>0</v>
      </c>
      <c r="N515">
        <f t="shared" ca="1" si="55"/>
        <v>0</v>
      </c>
    </row>
    <row r="516" spans="6:14" x14ac:dyDescent="0.75">
      <c r="F516">
        <v>511</v>
      </c>
      <c r="G516">
        <f t="shared" ca="1" si="49"/>
        <v>-0.50156497644212727</v>
      </c>
      <c r="H516">
        <f t="shared" ca="1" si="49"/>
        <v>9.014593448411283E-2</v>
      </c>
      <c r="I516">
        <f t="shared" ca="1" si="50"/>
        <v>-0.50156497644212727</v>
      </c>
      <c r="J516">
        <f t="shared" ca="1" si="51"/>
        <v>-0.3165478012444744</v>
      </c>
      <c r="K516">
        <f t="shared" ca="1" si="52"/>
        <v>15.701095920720489</v>
      </c>
      <c r="L516">
        <f t="shared" ca="1" si="53"/>
        <v>18.27155215455257</v>
      </c>
      <c r="M516">
        <f t="shared" ca="1" si="54"/>
        <v>0</v>
      </c>
      <c r="N516">
        <f t="shared" ca="1" si="55"/>
        <v>0</v>
      </c>
    </row>
    <row r="517" spans="6:14" x14ac:dyDescent="0.75">
      <c r="F517">
        <v>512</v>
      </c>
      <c r="G517">
        <f t="shared" ca="1" si="49"/>
        <v>1.1171695157587094</v>
      </c>
      <c r="H517">
        <f t="shared" ca="1" si="49"/>
        <v>0.50874696005623954</v>
      </c>
      <c r="I517">
        <f t="shared" ca="1" si="50"/>
        <v>1.1171695157587094</v>
      </c>
      <c r="J517">
        <f t="shared" ca="1" si="51"/>
        <v>1.1743816209612623</v>
      </c>
      <c r="K517">
        <f t="shared" ca="1" si="52"/>
        <v>23.53324581314132</v>
      </c>
      <c r="L517">
        <f t="shared" ca="1" si="53"/>
        <v>26.524734599982999</v>
      </c>
      <c r="M517">
        <f t="shared" ca="1" si="54"/>
        <v>4.9842570325742237</v>
      </c>
      <c r="N517">
        <f t="shared" ca="1" si="55"/>
        <v>5.0289902065621597</v>
      </c>
    </row>
    <row r="518" spans="6:14" x14ac:dyDescent="0.75">
      <c r="F518">
        <v>513</v>
      </c>
      <c r="G518">
        <f t="shared" ca="1" si="49"/>
        <v>-0.88555785525547082</v>
      </c>
      <c r="H518">
        <f t="shared" ca="1" si="49"/>
        <v>0.57493222974233649</v>
      </c>
      <c r="I518">
        <f t="shared" ca="1" si="50"/>
        <v>-0.88555785525547082</v>
      </c>
      <c r="J518">
        <f t="shared" ca="1" si="51"/>
        <v>-0.28388646628808428</v>
      </c>
      <c r="K518">
        <f t="shared" ca="1" si="52"/>
        <v>14.26390605077947</v>
      </c>
      <c r="L518">
        <f t="shared" ca="1" si="53"/>
        <v>18.421356243698476</v>
      </c>
      <c r="M518">
        <f t="shared" ca="1" si="54"/>
        <v>0</v>
      </c>
      <c r="N518">
        <f t="shared" ca="1" si="55"/>
        <v>0</v>
      </c>
    </row>
    <row r="519" spans="6:14" x14ac:dyDescent="0.75">
      <c r="F519">
        <v>514</v>
      </c>
      <c r="G519">
        <f t="shared" ref="G519:H582" ca="1" si="56">NORMSINV(RAND())</f>
        <v>0.72443642235474748</v>
      </c>
      <c r="H519">
        <f t="shared" ca="1" si="56"/>
        <v>1.9031923526460526</v>
      </c>
      <c r="I519">
        <f t="shared" ref="I519:I582" ca="1" si="57">G519</f>
        <v>0.72443642235474748</v>
      </c>
      <c r="J519">
        <f t="shared" ref="J519:J582" ca="1" si="58">G519*$C$8+SQRT(1-$C$8^2)*H519</f>
        <v>1.8021707323214098</v>
      </c>
      <c r="K519">
        <f t="shared" ref="K519:K582" ca="1" si="59">C$3*EXP(($C$5-0.5*C$4^2)*$C$6+C$4*SQRT($C$6)*I519)</f>
        <v>21.332481484597963</v>
      </c>
      <c r="L519">
        <f t="shared" ref="L519:L582" ca="1" si="60">D$3*EXP(($C$5-0.5*D$4^2)*$C$6+D$4*SQRT($C$6)*J519)</f>
        <v>31.032187014808414</v>
      </c>
      <c r="M519">
        <f t="shared" ref="M519:M582" ca="1" si="61">MAX(SQRT(K519*L519)-$C$7,0)</f>
        <v>5.7292354126581451</v>
      </c>
      <c r="N519">
        <f t="shared" ref="N519:N582" ca="1" si="62">MAX((K519+L519)*0.5-$C$7,0)</f>
        <v>6.1823342497031888</v>
      </c>
    </row>
    <row r="520" spans="6:14" x14ac:dyDescent="0.75">
      <c r="F520">
        <v>515</v>
      </c>
      <c r="G520">
        <f t="shared" ca="1" si="56"/>
        <v>0.13235053620847861</v>
      </c>
      <c r="H520">
        <f t="shared" ca="1" si="56"/>
        <v>0.16981938938280133</v>
      </c>
      <c r="I520">
        <f t="shared" ca="1" si="57"/>
        <v>0.13235053620847861</v>
      </c>
      <c r="J520">
        <f t="shared" ca="1" si="58"/>
        <v>0.21158787018229269</v>
      </c>
      <c r="K520">
        <f t="shared" ca="1" si="59"/>
        <v>18.397400766538183</v>
      </c>
      <c r="L520">
        <f t="shared" ca="1" si="60"/>
        <v>20.850527362690841</v>
      </c>
      <c r="M520">
        <f t="shared" ca="1" si="61"/>
        <v>0</v>
      </c>
      <c r="N520">
        <f t="shared" ca="1" si="62"/>
        <v>0</v>
      </c>
    </row>
    <row r="521" spans="6:14" x14ac:dyDescent="0.75">
      <c r="F521">
        <v>516</v>
      </c>
      <c r="G521">
        <f t="shared" ca="1" si="56"/>
        <v>-1.1797687375451833</v>
      </c>
      <c r="H521">
        <f t="shared" ca="1" si="56"/>
        <v>-8.6140308111260971E-2</v>
      </c>
      <c r="I521">
        <f t="shared" ca="1" si="57"/>
        <v>-1.1797687375451833</v>
      </c>
      <c r="J521">
        <f t="shared" ca="1" si="58"/>
        <v>-0.94180301143910661</v>
      </c>
      <c r="K521">
        <f t="shared" ca="1" si="59"/>
        <v>13.252411998789349</v>
      </c>
      <c r="L521">
        <f t="shared" ca="1" si="60"/>
        <v>15.62748965257285</v>
      </c>
      <c r="M521">
        <f t="shared" ca="1" si="61"/>
        <v>0</v>
      </c>
      <c r="N521">
        <f t="shared" ca="1" si="62"/>
        <v>0</v>
      </c>
    </row>
    <row r="522" spans="6:14" x14ac:dyDescent="0.75">
      <c r="F522">
        <v>517</v>
      </c>
      <c r="G522">
        <f t="shared" ca="1" si="56"/>
        <v>-1.6800798839810809</v>
      </c>
      <c r="H522">
        <f t="shared" ca="1" si="56"/>
        <v>2.7806332823725795E-2</v>
      </c>
      <c r="I522">
        <f t="shared" ca="1" si="57"/>
        <v>-1.6800798839810809</v>
      </c>
      <c r="J522">
        <f t="shared" ca="1" si="58"/>
        <v>-1.2416677526047428</v>
      </c>
      <c r="K522">
        <f t="shared" ca="1" si="59"/>
        <v>11.694302845163277</v>
      </c>
      <c r="L522">
        <f t="shared" ca="1" si="60"/>
        <v>14.498791996978506</v>
      </c>
      <c r="M522">
        <f t="shared" ca="1" si="61"/>
        <v>0</v>
      </c>
      <c r="N522">
        <f t="shared" ca="1" si="62"/>
        <v>0</v>
      </c>
    </row>
    <row r="523" spans="6:14" x14ac:dyDescent="0.75">
      <c r="F523">
        <v>518</v>
      </c>
      <c r="G523">
        <f t="shared" ca="1" si="56"/>
        <v>-0.66742374508211078</v>
      </c>
      <c r="H523">
        <f t="shared" ca="1" si="56"/>
        <v>-1.1686712270172321</v>
      </c>
      <c r="I523">
        <f t="shared" ca="1" si="57"/>
        <v>-0.66742374508211078</v>
      </c>
      <c r="J523">
        <f t="shared" ca="1" si="58"/>
        <v>-1.2735711665826595</v>
      </c>
      <c r="K523">
        <f t="shared" ca="1" si="59"/>
        <v>15.063367781266233</v>
      </c>
      <c r="L523">
        <f t="shared" ca="1" si="60"/>
        <v>14.38361169735292</v>
      </c>
      <c r="M523">
        <f t="shared" ca="1" si="61"/>
        <v>0</v>
      </c>
      <c r="N523">
        <f t="shared" ca="1" si="62"/>
        <v>0</v>
      </c>
    </row>
    <row r="524" spans="6:14" x14ac:dyDescent="0.75">
      <c r="F524">
        <v>519</v>
      </c>
      <c r="G524">
        <f t="shared" ca="1" si="56"/>
        <v>-0.85168735424645636</v>
      </c>
      <c r="H524">
        <f t="shared" ca="1" si="56"/>
        <v>-0.75382639609483881</v>
      </c>
      <c r="I524">
        <f t="shared" ca="1" si="57"/>
        <v>-0.85168735424645636</v>
      </c>
      <c r="J524">
        <f t="shared" ca="1" si="58"/>
        <v>-1.1373748096305962</v>
      </c>
      <c r="K524">
        <f t="shared" ca="1" si="59"/>
        <v>14.38520027412614</v>
      </c>
      <c r="L524">
        <f t="shared" ca="1" si="60"/>
        <v>14.881793769221836</v>
      </c>
      <c r="M524">
        <f t="shared" ca="1" si="61"/>
        <v>0</v>
      </c>
      <c r="N524">
        <f t="shared" ca="1" si="62"/>
        <v>0</v>
      </c>
    </row>
    <row r="525" spans="6:14" x14ac:dyDescent="0.75">
      <c r="F525">
        <v>520</v>
      </c>
      <c r="G525">
        <f t="shared" ca="1" si="56"/>
        <v>-0.25461497349874185</v>
      </c>
      <c r="H525">
        <f t="shared" ca="1" si="56"/>
        <v>0.65491257159153426</v>
      </c>
      <c r="I525">
        <f t="shared" ca="1" si="57"/>
        <v>-0.25461497349874185</v>
      </c>
      <c r="J525">
        <f t="shared" ca="1" si="58"/>
        <v>0.24222271860618974</v>
      </c>
      <c r="K525">
        <f t="shared" ca="1" si="59"/>
        <v>16.700990257507875</v>
      </c>
      <c r="L525">
        <f t="shared" ca="1" si="60"/>
        <v>21.010828616044218</v>
      </c>
      <c r="M525">
        <f t="shared" ca="1" si="61"/>
        <v>0</v>
      </c>
      <c r="N525">
        <f t="shared" ca="1" si="62"/>
        <v>0</v>
      </c>
    </row>
    <row r="526" spans="6:14" x14ac:dyDescent="0.75">
      <c r="F526">
        <v>521</v>
      </c>
      <c r="G526">
        <f t="shared" ca="1" si="56"/>
        <v>1.7824999563806292</v>
      </c>
      <c r="H526">
        <f t="shared" ca="1" si="56"/>
        <v>-1.7024036739160007</v>
      </c>
      <c r="I526">
        <f t="shared" ca="1" si="57"/>
        <v>1.7824999563806292</v>
      </c>
      <c r="J526">
        <f t="shared" ca="1" si="58"/>
        <v>0.21084077922936317</v>
      </c>
      <c r="K526">
        <f t="shared" ca="1" si="59"/>
        <v>27.791959354023309</v>
      </c>
      <c r="L526">
        <f t="shared" ca="1" si="60"/>
        <v>20.846633416254562</v>
      </c>
      <c r="M526">
        <f t="shared" ca="1" si="61"/>
        <v>4.0700807761995463</v>
      </c>
      <c r="N526">
        <f t="shared" ca="1" si="62"/>
        <v>4.3192963851389337</v>
      </c>
    </row>
    <row r="527" spans="6:14" x14ac:dyDescent="0.75">
      <c r="F527">
        <v>522</v>
      </c>
      <c r="G527">
        <f t="shared" ca="1" si="56"/>
        <v>0.60179826443043405</v>
      </c>
      <c r="H527">
        <f t="shared" ca="1" si="56"/>
        <v>-0.78658920339918248</v>
      </c>
      <c r="I527">
        <f t="shared" ca="1" si="57"/>
        <v>0.60179826443043405</v>
      </c>
      <c r="J527">
        <f t="shared" ca="1" si="58"/>
        <v>-6.8931155717834258E-2</v>
      </c>
      <c r="K527">
        <f t="shared" ca="1" si="59"/>
        <v>20.688362084012311</v>
      </c>
      <c r="L527">
        <f t="shared" ca="1" si="60"/>
        <v>19.438380435380605</v>
      </c>
      <c r="M527">
        <f t="shared" ca="1" si="61"/>
        <v>5.3634403118422824E-2</v>
      </c>
      <c r="N527">
        <f t="shared" ca="1" si="62"/>
        <v>6.3371259696459958E-2</v>
      </c>
    </row>
    <row r="528" spans="6:14" x14ac:dyDescent="0.75">
      <c r="F528">
        <v>523</v>
      </c>
      <c r="G528">
        <f t="shared" ca="1" si="56"/>
        <v>0.17487393626504194</v>
      </c>
      <c r="H528">
        <f t="shared" ca="1" si="56"/>
        <v>-0.70381334774003312</v>
      </c>
      <c r="I528">
        <f t="shared" ca="1" si="57"/>
        <v>0.17487393626504194</v>
      </c>
      <c r="J528">
        <f t="shared" ca="1" si="58"/>
        <v>-0.33437331968320638</v>
      </c>
      <c r="K528">
        <f t="shared" ca="1" si="59"/>
        <v>18.594024059326909</v>
      </c>
      <c r="L528">
        <f t="shared" ca="1" si="60"/>
        <v>18.190308343179822</v>
      </c>
      <c r="M528">
        <f t="shared" ca="1" si="61"/>
        <v>0</v>
      </c>
      <c r="N528">
        <f t="shared" ca="1" si="62"/>
        <v>0</v>
      </c>
    </row>
    <row r="529" spans="6:14" x14ac:dyDescent="0.75">
      <c r="F529">
        <v>524</v>
      </c>
      <c r="G529">
        <f t="shared" ca="1" si="56"/>
        <v>1.5883414858061382</v>
      </c>
      <c r="H529">
        <f t="shared" ca="1" si="56"/>
        <v>1.1091926382662549</v>
      </c>
      <c r="I529">
        <f t="shared" ca="1" si="57"/>
        <v>1.5883414858061382</v>
      </c>
      <c r="J529">
        <f t="shared" ca="1" si="58"/>
        <v>1.9249180835836377</v>
      </c>
      <c r="K529">
        <f t="shared" ca="1" si="59"/>
        <v>26.475165147864651</v>
      </c>
      <c r="L529">
        <f t="shared" ca="1" si="60"/>
        <v>31.999228542104888</v>
      </c>
      <c r="M529">
        <f t="shared" ca="1" si="61"/>
        <v>9.1064401852320493</v>
      </c>
      <c r="N529">
        <f t="shared" ca="1" si="62"/>
        <v>9.2371968449847692</v>
      </c>
    </row>
    <row r="530" spans="6:14" x14ac:dyDescent="0.75">
      <c r="F530">
        <v>525</v>
      </c>
      <c r="G530">
        <f t="shared" ca="1" si="56"/>
        <v>-0.46481606669036463</v>
      </c>
      <c r="H530">
        <f t="shared" ca="1" si="56"/>
        <v>0.49686137953556558</v>
      </c>
      <c r="I530">
        <f t="shared" ca="1" si="57"/>
        <v>-0.46481606669036463</v>
      </c>
      <c r="J530">
        <f t="shared" ca="1" si="58"/>
        <v>-1.9969138436877476E-2</v>
      </c>
      <c r="K530">
        <f t="shared" ca="1" si="59"/>
        <v>15.846010120534805</v>
      </c>
      <c r="L530">
        <f t="shared" ca="1" si="60"/>
        <v>19.677778200696579</v>
      </c>
      <c r="M530">
        <f t="shared" ca="1" si="61"/>
        <v>0</v>
      </c>
      <c r="N530">
        <f t="shared" ca="1" si="62"/>
        <v>0</v>
      </c>
    </row>
    <row r="531" spans="6:14" x14ac:dyDescent="0.75">
      <c r="F531">
        <v>526</v>
      </c>
      <c r="G531">
        <f t="shared" ca="1" si="56"/>
        <v>-0.21638707399019058</v>
      </c>
      <c r="H531">
        <f t="shared" ca="1" si="56"/>
        <v>1.7034572630377687</v>
      </c>
      <c r="I531">
        <f t="shared" ca="1" si="57"/>
        <v>-0.21638707399019058</v>
      </c>
      <c r="J531">
        <f t="shared" ca="1" si="58"/>
        <v>0.96444076626352593</v>
      </c>
      <c r="K531">
        <f t="shared" ca="1" si="59"/>
        <v>16.861366336228969</v>
      </c>
      <c r="L531">
        <f t="shared" ca="1" si="60"/>
        <v>25.168481186657665</v>
      </c>
      <c r="M531">
        <f t="shared" ca="1" si="61"/>
        <v>0.60036362336164473</v>
      </c>
      <c r="N531">
        <f t="shared" ca="1" si="62"/>
        <v>1.0149237614433169</v>
      </c>
    </row>
    <row r="532" spans="6:14" x14ac:dyDescent="0.75">
      <c r="F532">
        <v>527</v>
      </c>
      <c r="G532">
        <f t="shared" ca="1" si="56"/>
        <v>7.0445382770202791E-2</v>
      </c>
      <c r="H532">
        <f t="shared" ca="1" si="56"/>
        <v>1.2015050493132446</v>
      </c>
      <c r="I532">
        <f t="shared" ca="1" si="57"/>
        <v>7.0445382770202791E-2</v>
      </c>
      <c r="J532">
        <f t="shared" ca="1" si="58"/>
        <v>0.84755492694546275</v>
      </c>
      <c r="K532">
        <f t="shared" ca="1" si="59"/>
        <v>18.11486919643519</v>
      </c>
      <c r="L532">
        <f t="shared" ca="1" si="60"/>
        <v>24.443663121412307</v>
      </c>
      <c r="M532">
        <f t="shared" ca="1" si="61"/>
        <v>1.0426652334277904</v>
      </c>
      <c r="N532">
        <f t="shared" ca="1" si="62"/>
        <v>1.2792661589237468</v>
      </c>
    </row>
    <row r="533" spans="6:14" x14ac:dyDescent="0.75">
      <c r="F533">
        <v>528</v>
      </c>
      <c r="G533">
        <f t="shared" ca="1" si="56"/>
        <v>-1.5210203131813844</v>
      </c>
      <c r="H533">
        <f t="shared" ca="1" si="56"/>
        <v>0.8598077368130842</v>
      </c>
      <c r="I533">
        <f t="shared" ca="1" si="57"/>
        <v>-1.5210203131813844</v>
      </c>
      <c r="J533">
        <f t="shared" ca="1" si="58"/>
        <v>-0.57205587315186424</v>
      </c>
      <c r="K533">
        <f t="shared" ca="1" si="59"/>
        <v>12.168695112519925</v>
      </c>
      <c r="L533">
        <f t="shared" ca="1" si="60"/>
        <v>17.140915164963214</v>
      </c>
      <c r="M533">
        <f t="shared" ca="1" si="61"/>
        <v>0</v>
      </c>
      <c r="N533">
        <f t="shared" ca="1" si="62"/>
        <v>0</v>
      </c>
    </row>
    <row r="534" spans="6:14" x14ac:dyDescent="0.75">
      <c r="F534">
        <v>529</v>
      </c>
      <c r="G534">
        <f t="shared" ca="1" si="56"/>
        <v>0.95547866078043886</v>
      </c>
      <c r="H534">
        <f t="shared" ca="1" si="56"/>
        <v>0.90510213121885397</v>
      </c>
      <c r="I534">
        <f t="shared" ca="1" si="57"/>
        <v>0.95547866078043886</v>
      </c>
      <c r="J534">
        <f t="shared" ca="1" si="58"/>
        <v>1.3152777831652387</v>
      </c>
      <c r="K534">
        <f t="shared" ca="1" si="59"/>
        <v>22.600938299452039</v>
      </c>
      <c r="L534">
        <f t="shared" ca="1" si="60"/>
        <v>27.47569290229017</v>
      </c>
      <c r="M534">
        <f t="shared" ca="1" si="61"/>
        <v>4.9193988695424302</v>
      </c>
      <c r="N534">
        <f t="shared" ca="1" si="62"/>
        <v>5.0383156008711047</v>
      </c>
    </row>
    <row r="535" spans="6:14" x14ac:dyDescent="0.75">
      <c r="F535">
        <v>530</v>
      </c>
      <c r="G535">
        <f t="shared" ca="1" si="56"/>
        <v>-0.33345989683726335</v>
      </c>
      <c r="H535">
        <f t="shared" ca="1" si="56"/>
        <v>0.12666564122468055</v>
      </c>
      <c r="I535">
        <f t="shared" ca="1" si="57"/>
        <v>-0.33345989683726335</v>
      </c>
      <c r="J535">
        <f t="shared" ca="1" si="58"/>
        <v>-0.16631347604368862</v>
      </c>
      <c r="K535">
        <f t="shared" ca="1" si="59"/>
        <v>16.375016410468831</v>
      </c>
      <c r="L535">
        <f t="shared" ca="1" si="60"/>
        <v>18.970855957019388</v>
      </c>
      <c r="M535">
        <f t="shared" ca="1" si="61"/>
        <v>0</v>
      </c>
      <c r="N535">
        <f t="shared" ca="1" si="62"/>
        <v>0</v>
      </c>
    </row>
    <row r="536" spans="6:14" x14ac:dyDescent="0.75">
      <c r="F536">
        <v>531</v>
      </c>
      <c r="G536">
        <f t="shared" ca="1" si="56"/>
        <v>0.72968678118596353</v>
      </c>
      <c r="H536">
        <f t="shared" ca="1" si="56"/>
        <v>-0.24936228030008814</v>
      </c>
      <c r="I536">
        <f t="shared" ca="1" si="57"/>
        <v>0.72968678118596353</v>
      </c>
      <c r="J536">
        <f t="shared" ca="1" si="58"/>
        <v>0.38232744088096909</v>
      </c>
      <c r="K536">
        <f t="shared" ca="1" si="59"/>
        <v>21.360500665057675</v>
      </c>
      <c r="L536">
        <f t="shared" ca="1" si="60"/>
        <v>21.759797889412678</v>
      </c>
      <c r="M536">
        <f t="shared" ca="1" si="61"/>
        <v>1.5592248767974048</v>
      </c>
      <c r="N536">
        <f t="shared" ca="1" si="62"/>
        <v>1.5601492772351762</v>
      </c>
    </row>
    <row r="537" spans="6:14" x14ac:dyDescent="0.75">
      <c r="F537">
        <v>532</v>
      </c>
      <c r="G537">
        <f t="shared" ca="1" si="56"/>
        <v>0.65190469648139515</v>
      </c>
      <c r="H537">
        <f t="shared" ca="1" si="56"/>
        <v>0.86237545979519492</v>
      </c>
      <c r="I537">
        <f t="shared" ca="1" si="57"/>
        <v>0.65190469648139515</v>
      </c>
      <c r="J537">
        <f t="shared" ca="1" si="58"/>
        <v>1.0593362732068128</v>
      </c>
      <c r="K537">
        <f t="shared" ca="1" si="59"/>
        <v>20.949147051697018</v>
      </c>
      <c r="L537">
        <f t="shared" ca="1" si="60"/>
        <v>25.772714166944617</v>
      </c>
      <c r="M537">
        <f t="shared" ca="1" si="61"/>
        <v>3.2361007702384903</v>
      </c>
      <c r="N537">
        <f t="shared" ca="1" si="62"/>
        <v>3.3609306093208176</v>
      </c>
    </row>
    <row r="538" spans="6:14" x14ac:dyDescent="0.75">
      <c r="F538">
        <v>533</v>
      </c>
      <c r="G538">
        <f t="shared" ca="1" si="56"/>
        <v>1.4735367239168018</v>
      </c>
      <c r="H538">
        <f t="shared" ca="1" si="56"/>
        <v>-0.88053849717736254</v>
      </c>
      <c r="I538">
        <f t="shared" ca="1" si="57"/>
        <v>1.4735367239168018</v>
      </c>
      <c r="J538">
        <f t="shared" ca="1" si="58"/>
        <v>0.52273107210013858</v>
      </c>
      <c r="K538">
        <f t="shared" ca="1" si="59"/>
        <v>25.726097378724216</v>
      </c>
      <c r="L538">
        <f t="shared" ca="1" si="60"/>
        <v>22.537149613328861</v>
      </c>
      <c r="M538">
        <f t="shared" ca="1" si="61"/>
        <v>4.0788892100814138</v>
      </c>
      <c r="N538">
        <f t="shared" ca="1" si="62"/>
        <v>4.1316234960265383</v>
      </c>
    </row>
    <row r="539" spans="6:14" x14ac:dyDescent="0.75">
      <c r="F539">
        <v>534</v>
      </c>
      <c r="G539">
        <f t="shared" ca="1" si="56"/>
        <v>0.14253844982845082</v>
      </c>
      <c r="H539">
        <f t="shared" ca="1" si="56"/>
        <v>8.8146212301450793E-4</v>
      </c>
      <c r="I539">
        <f t="shared" ca="1" si="57"/>
        <v>0.14253844982845082</v>
      </c>
      <c r="J539">
        <f t="shared" ca="1" si="58"/>
        <v>0.10748686976324297</v>
      </c>
      <c r="K539">
        <f t="shared" ca="1" si="59"/>
        <v>18.444318272572691</v>
      </c>
      <c r="L539">
        <f t="shared" ca="1" si="60"/>
        <v>20.31488748680367</v>
      </c>
      <c r="M539">
        <f t="shared" ca="1" si="61"/>
        <v>0</v>
      </c>
      <c r="N539">
        <f t="shared" ca="1" si="62"/>
        <v>0</v>
      </c>
    </row>
    <row r="540" spans="6:14" x14ac:dyDescent="0.75">
      <c r="F540">
        <v>535</v>
      </c>
      <c r="G540">
        <f t="shared" ca="1" si="56"/>
        <v>-0.1711618213837823</v>
      </c>
      <c r="H540">
        <f t="shared" ca="1" si="56"/>
        <v>-4.0407304377141372E-2</v>
      </c>
      <c r="I540">
        <f t="shared" ca="1" si="57"/>
        <v>-0.1711618213837823</v>
      </c>
      <c r="J540">
        <f t="shared" ca="1" si="58"/>
        <v>-0.15509828567093867</v>
      </c>
      <c r="K540">
        <f t="shared" ca="1" si="59"/>
        <v>17.053088014502272</v>
      </c>
      <c r="L540">
        <f t="shared" ca="1" si="60"/>
        <v>19.024121034646306</v>
      </c>
      <c r="M540">
        <f t="shared" ca="1" si="61"/>
        <v>0</v>
      </c>
      <c r="N540">
        <f t="shared" ca="1" si="62"/>
        <v>0</v>
      </c>
    </row>
    <row r="541" spans="6:14" x14ac:dyDescent="0.75">
      <c r="F541">
        <v>536</v>
      </c>
      <c r="G541">
        <f t="shared" ca="1" si="56"/>
        <v>1.4029205886053664</v>
      </c>
      <c r="H541">
        <f t="shared" ca="1" si="56"/>
        <v>-1.1330568320318357</v>
      </c>
      <c r="I541">
        <f t="shared" ca="1" si="57"/>
        <v>1.4029205886053664</v>
      </c>
      <c r="J541">
        <f t="shared" ca="1" si="58"/>
        <v>0.30274379173929455</v>
      </c>
      <c r="K541">
        <f t="shared" ca="1" si="59"/>
        <v>25.275913458569207</v>
      </c>
      <c r="L541">
        <f t="shared" ca="1" si="60"/>
        <v>21.331145217231011</v>
      </c>
      <c r="M541">
        <f t="shared" ca="1" si="61"/>
        <v>3.219909140280965</v>
      </c>
      <c r="N541">
        <f t="shared" ca="1" si="62"/>
        <v>3.3035293379001089</v>
      </c>
    </row>
    <row r="542" spans="6:14" x14ac:dyDescent="0.75">
      <c r="F542">
        <v>537</v>
      </c>
      <c r="G542">
        <f t="shared" ca="1" si="56"/>
        <v>-0.73150799016516288</v>
      </c>
      <c r="H542">
        <f t="shared" ca="1" si="56"/>
        <v>-0.26060203790530134</v>
      </c>
      <c r="I542">
        <f t="shared" ca="1" si="57"/>
        <v>-0.73150799016516288</v>
      </c>
      <c r="J542">
        <f t="shared" ca="1" si="58"/>
        <v>-0.72100303848738601</v>
      </c>
      <c r="K542">
        <f t="shared" ca="1" si="59"/>
        <v>14.823959550870974</v>
      </c>
      <c r="L542">
        <f t="shared" ca="1" si="60"/>
        <v>16.514379957441093</v>
      </c>
      <c r="M542">
        <f t="shared" ca="1" si="61"/>
        <v>0</v>
      </c>
      <c r="N542">
        <f t="shared" ca="1" si="62"/>
        <v>0</v>
      </c>
    </row>
    <row r="543" spans="6:14" x14ac:dyDescent="0.75">
      <c r="F543">
        <v>538</v>
      </c>
      <c r="G543">
        <f t="shared" ca="1" si="56"/>
        <v>-0.51123069131159271</v>
      </c>
      <c r="H543">
        <f t="shared" ca="1" si="56"/>
        <v>0.456022151392873</v>
      </c>
      <c r="I543">
        <f t="shared" ca="1" si="57"/>
        <v>-0.51123069131159271</v>
      </c>
      <c r="J543">
        <f t="shared" ca="1" si="58"/>
        <v>-8.1792717253147296E-2</v>
      </c>
      <c r="K543">
        <f t="shared" ca="1" si="59"/>
        <v>15.663201145094934</v>
      </c>
      <c r="L543">
        <f t="shared" ca="1" si="60"/>
        <v>19.375978830374621</v>
      </c>
      <c r="M543">
        <f t="shared" ca="1" si="61"/>
        <v>0</v>
      </c>
      <c r="N543">
        <f t="shared" ca="1" si="62"/>
        <v>0</v>
      </c>
    </row>
    <row r="544" spans="6:14" x14ac:dyDescent="0.75">
      <c r="F544">
        <v>539</v>
      </c>
      <c r="G544">
        <f t="shared" ca="1" si="56"/>
        <v>-0.82875811922342169</v>
      </c>
      <c r="H544">
        <f t="shared" ca="1" si="56"/>
        <v>-0.10609307874075835</v>
      </c>
      <c r="I544">
        <f t="shared" ca="1" si="57"/>
        <v>-0.82875811922342169</v>
      </c>
      <c r="J544">
        <f t="shared" ca="1" si="58"/>
        <v>-0.69174256496087627</v>
      </c>
      <c r="K544">
        <f t="shared" ca="1" si="59"/>
        <v>14.467897480121852</v>
      </c>
      <c r="L544">
        <f t="shared" ca="1" si="60"/>
        <v>16.635627531334883</v>
      </c>
      <c r="M544">
        <f t="shared" ca="1" si="61"/>
        <v>0</v>
      </c>
      <c r="N544">
        <f t="shared" ca="1" si="62"/>
        <v>0</v>
      </c>
    </row>
    <row r="545" spans="6:14" x14ac:dyDescent="0.75">
      <c r="F545">
        <v>540</v>
      </c>
      <c r="G545">
        <f t="shared" ca="1" si="56"/>
        <v>0.6298787771394877</v>
      </c>
      <c r="H545">
        <f t="shared" ca="1" si="56"/>
        <v>-0.95382133515076051</v>
      </c>
      <c r="I545">
        <f t="shared" ca="1" si="57"/>
        <v>0.6298787771394877</v>
      </c>
      <c r="J545">
        <f t="shared" ca="1" si="58"/>
        <v>-0.15848442914451</v>
      </c>
      <c r="K545">
        <f t="shared" ca="1" si="59"/>
        <v>20.834108016627667</v>
      </c>
      <c r="L545">
        <f t="shared" ca="1" si="60"/>
        <v>19.008023248463871</v>
      </c>
      <c r="M545">
        <f t="shared" ca="1" si="61"/>
        <v>0</v>
      </c>
      <c r="N545">
        <f t="shared" ca="1" si="62"/>
        <v>0</v>
      </c>
    </row>
    <row r="546" spans="6:14" x14ac:dyDescent="0.75">
      <c r="F546">
        <v>541</v>
      </c>
      <c r="G546">
        <f t="shared" ca="1" si="56"/>
        <v>0.88471528146128775</v>
      </c>
      <c r="H546">
        <f t="shared" ca="1" si="56"/>
        <v>-0.60063826905545747</v>
      </c>
      <c r="I546">
        <f t="shared" ca="1" si="57"/>
        <v>0.88471528146128775</v>
      </c>
      <c r="J546">
        <f t="shared" ca="1" si="58"/>
        <v>0.266251589138705</v>
      </c>
      <c r="K546">
        <f t="shared" ca="1" si="59"/>
        <v>22.204624505909237</v>
      </c>
      <c r="L546">
        <f t="shared" ca="1" si="60"/>
        <v>21.137425101810457</v>
      </c>
      <c r="M546">
        <f t="shared" ca="1" si="61"/>
        <v>1.6644544682639442</v>
      </c>
      <c r="N546">
        <f t="shared" ca="1" si="62"/>
        <v>1.6710248038598472</v>
      </c>
    </row>
    <row r="547" spans="6:14" x14ac:dyDescent="0.75">
      <c r="F547">
        <v>542</v>
      </c>
      <c r="G547">
        <f t="shared" ca="1" si="56"/>
        <v>0.17609072977621865</v>
      </c>
      <c r="H547">
        <f t="shared" ca="1" si="56"/>
        <v>-0.72347304642831878</v>
      </c>
      <c r="I547">
        <f t="shared" ca="1" si="57"/>
        <v>0.17609072977621865</v>
      </c>
      <c r="J547">
        <f t="shared" ca="1" si="58"/>
        <v>-0.34646439294474052</v>
      </c>
      <c r="K547">
        <f t="shared" ca="1" si="59"/>
        <v>18.599681191684041</v>
      </c>
      <c r="L547">
        <f t="shared" ca="1" si="60"/>
        <v>18.135406275392413</v>
      </c>
      <c r="M547">
        <f t="shared" ca="1" si="61"/>
        <v>0</v>
      </c>
      <c r="N547">
        <f t="shared" ca="1" si="62"/>
        <v>0</v>
      </c>
    </row>
    <row r="548" spans="6:14" x14ac:dyDescent="0.75">
      <c r="F548">
        <v>543</v>
      </c>
      <c r="G548">
        <f t="shared" ca="1" si="56"/>
        <v>1.8345827820039762</v>
      </c>
      <c r="H548">
        <f t="shared" ca="1" si="56"/>
        <v>1.0566101882554515</v>
      </c>
      <c r="I548">
        <f t="shared" ca="1" si="57"/>
        <v>1.8345827820039762</v>
      </c>
      <c r="J548">
        <f t="shared" ca="1" si="58"/>
        <v>2.0748190342182484</v>
      </c>
      <c r="K548">
        <f t="shared" ca="1" si="59"/>
        <v>28.156196463434682</v>
      </c>
      <c r="L548">
        <f t="shared" ca="1" si="60"/>
        <v>33.221160325879261</v>
      </c>
      <c r="M548">
        <f t="shared" ca="1" si="61"/>
        <v>10.584007534636761</v>
      </c>
      <c r="N548">
        <f t="shared" ca="1" si="62"/>
        <v>10.688678394656971</v>
      </c>
    </row>
    <row r="549" spans="6:14" x14ac:dyDescent="0.75">
      <c r="F549">
        <v>544</v>
      </c>
      <c r="G549">
        <f t="shared" ca="1" si="56"/>
        <v>-2.0809505160952488</v>
      </c>
      <c r="H549">
        <f t="shared" ca="1" si="56"/>
        <v>0.32855694781175188</v>
      </c>
      <c r="I549">
        <f t="shared" ca="1" si="57"/>
        <v>-2.0809505160952488</v>
      </c>
      <c r="J549">
        <f t="shared" ca="1" si="58"/>
        <v>-1.3433928932133559</v>
      </c>
      <c r="K549">
        <f t="shared" ca="1" si="59"/>
        <v>10.579139906800679</v>
      </c>
      <c r="L549">
        <f t="shared" ca="1" si="60"/>
        <v>14.134718138260862</v>
      </c>
      <c r="M549">
        <f t="shared" ca="1" si="61"/>
        <v>0</v>
      </c>
      <c r="N549">
        <f t="shared" ca="1" si="62"/>
        <v>0</v>
      </c>
    </row>
    <row r="550" spans="6:14" x14ac:dyDescent="0.75">
      <c r="F550">
        <v>545</v>
      </c>
      <c r="G550">
        <f t="shared" ca="1" si="56"/>
        <v>0.93599240246430382</v>
      </c>
      <c r="H550">
        <f t="shared" ca="1" si="56"/>
        <v>-0.44055457703688855</v>
      </c>
      <c r="I550">
        <f t="shared" ca="1" si="57"/>
        <v>0.93599240246430382</v>
      </c>
      <c r="J550">
        <f t="shared" ca="1" si="58"/>
        <v>0.41059483940051433</v>
      </c>
      <c r="K550">
        <f t="shared" ca="1" si="59"/>
        <v>22.491104118349224</v>
      </c>
      <c r="L550">
        <f t="shared" ca="1" si="60"/>
        <v>21.914115737363623</v>
      </c>
      <c r="M550">
        <f t="shared" ca="1" si="61"/>
        <v>2.200735544359798</v>
      </c>
      <c r="N550">
        <f t="shared" ca="1" si="62"/>
        <v>2.2026099278564217</v>
      </c>
    </row>
    <row r="551" spans="6:14" x14ac:dyDescent="0.75">
      <c r="F551">
        <v>546</v>
      </c>
      <c r="G551">
        <f t="shared" ca="1" si="56"/>
        <v>-1.97124204889997</v>
      </c>
      <c r="H551">
        <f t="shared" ca="1" si="56"/>
        <v>0.13619415833398954</v>
      </c>
      <c r="I551">
        <f t="shared" ca="1" si="57"/>
        <v>-1.97124204889997</v>
      </c>
      <c r="J551">
        <f t="shared" ca="1" si="58"/>
        <v>-1.3883475684321045</v>
      </c>
      <c r="K551">
        <f t="shared" ca="1" si="59"/>
        <v>10.873310903261812</v>
      </c>
      <c r="L551">
        <f t="shared" ca="1" si="60"/>
        <v>13.976752049425379</v>
      </c>
      <c r="M551">
        <f t="shared" ca="1" si="61"/>
        <v>0</v>
      </c>
      <c r="N551">
        <f t="shared" ca="1" si="62"/>
        <v>0</v>
      </c>
    </row>
    <row r="552" spans="6:14" x14ac:dyDescent="0.75">
      <c r="F552">
        <v>547</v>
      </c>
      <c r="G552">
        <f t="shared" ca="1" si="56"/>
        <v>-1.2114991484145672</v>
      </c>
      <c r="H552">
        <f t="shared" ca="1" si="56"/>
        <v>-1.2897788418212013</v>
      </c>
      <c r="I552">
        <f t="shared" ca="1" si="57"/>
        <v>-1.2114991484145672</v>
      </c>
      <c r="J552">
        <f t="shared" ca="1" si="58"/>
        <v>-1.7617328767438787</v>
      </c>
      <c r="K552">
        <f t="shared" ca="1" si="59"/>
        <v>13.14770174087877</v>
      </c>
      <c r="L552">
        <f t="shared" ca="1" si="60"/>
        <v>12.731115728989064</v>
      </c>
      <c r="M552">
        <f t="shared" ca="1" si="61"/>
        <v>0</v>
      </c>
      <c r="N552">
        <f t="shared" ca="1" si="62"/>
        <v>0</v>
      </c>
    </row>
    <row r="553" spans="6:14" x14ac:dyDescent="0.75">
      <c r="F553">
        <v>548</v>
      </c>
      <c r="G553">
        <f t="shared" ca="1" si="56"/>
        <v>-0.60576691751348355</v>
      </c>
      <c r="H553">
        <f t="shared" ca="1" si="56"/>
        <v>-1.5475704731627276</v>
      </c>
      <c r="I553">
        <f t="shared" ca="1" si="57"/>
        <v>-0.60576691751348355</v>
      </c>
      <c r="J553">
        <f t="shared" ca="1" si="58"/>
        <v>-1.4779468402188964</v>
      </c>
      <c r="K553">
        <f t="shared" ca="1" si="59"/>
        <v>15.297356390241184</v>
      </c>
      <c r="L553">
        <f t="shared" ca="1" si="60"/>
        <v>13.667155743412806</v>
      </c>
      <c r="M553">
        <f t="shared" ca="1" si="61"/>
        <v>0</v>
      </c>
      <c r="N553">
        <f t="shared" ca="1" si="62"/>
        <v>0</v>
      </c>
    </row>
    <row r="554" spans="6:14" x14ac:dyDescent="0.75">
      <c r="F554">
        <v>549</v>
      </c>
      <c r="G554">
        <f t="shared" ca="1" si="56"/>
        <v>-0.2027930462228682</v>
      </c>
      <c r="H554">
        <f t="shared" ca="1" si="56"/>
        <v>0.14895617458270757</v>
      </c>
      <c r="I554">
        <f t="shared" ca="1" si="57"/>
        <v>-0.2027930462228682</v>
      </c>
      <c r="J554">
        <f t="shared" ca="1" si="58"/>
        <v>-5.3569536118809991E-2</v>
      </c>
      <c r="K554">
        <f t="shared" ca="1" si="59"/>
        <v>16.918767290294134</v>
      </c>
      <c r="L554">
        <f t="shared" ca="1" si="60"/>
        <v>19.513175216041841</v>
      </c>
      <c r="M554">
        <f t="shared" ca="1" si="61"/>
        <v>0</v>
      </c>
      <c r="N554">
        <f t="shared" ca="1" si="62"/>
        <v>0</v>
      </c>
    </row>
    <row r="555" spans="6:14" x14ac:dyDescent="0.75">
      <c r="F555">
        <v>550</v>
      </c>
      <c r="G555">
        <f t="shared" ca="1" si="56"/>
        <v>-0.59422464015837273</v>
      </c>
      <c r="H555">
        <f t="shared" ca="1" si="56"/>
        <v>0.33231628448290951</v>
      </c>
      <c r="I555">
        <f t="shared" ca="1" si="57"/>
        <v>-0.59422464015837273</v>
      </c>
      <c r="J555">
        <f t="shared" ca="1" si="58"/>
        <v>-0.22586191877908673</v>
      </c>
      <c r="K555">
        <f t="shared" ca="1" si="59"/>
        <v>15.341561720905601</v>
      </c>
      <c r="L555">
        <f t="shared" ca="1" si="60"/>
        <v>18.690526549418813</v>
      </c>
      <c r="M555">
        <f t="shared" ca="1" si="61"/>
        <v>0</v>
      </c>
      <c r="N555">
        <f t="shared" ca="1" si="62"/>
        <v>0</v>
      </c>
    </row>
    <row r="556" spans="6:14" x14ac:dyDescent="0.75">
      <c r="F556">
        <v>551</v>
      </c>
      <c r="G556">
        <f t="shared" ca="1" si="56"/>
        <v>0.48559137258194213</v>
      </c>
      <c r="H556">
        <f t="shared" ca="1" si="56"/>
        <v>-1.1555104318417193</v>
      </c>
      <c r="I556">
        <f t="shared" ca="1" si="57"/>
        <v>0.48559137258194213</v>
      </c>
      <c r="J556">
        <f t="shared" ca="1" si="58"/>
        <v>-0.40010478056205351</v>
      </c>
      <c r="K556">
        <f t="shared" ca="1" si="59"/>
        <v>20.095976100964016</v>
      </c>
      <c r="L556">
        <f t="shared" ca="1" si="60"/>
        <v>17.893832106540437</v>
      </c>
      <c r="M556">
        <f t="shared" ca="1" si="61"/>
        <v>0</v>
      </c>
      <c r="N556">
        <f t="shared" ca="1" si="62"/>
        <v>0</v>
      </c>
    </row>
    <row r="557" spans="6:14" x14ac:dyDescent="0.75">
      <c r="F557">
        <v>552</v>
      </c>
      <c r="G557">
        <f t="shared" ca="1" si="56"/>
        <v>0.35056232684800293</v>
      </c>
      <c r="H557">
        <f t="shared" ca="1" si="56"/>
        <v>-2.5131570976955504</v>
      </c>
      <c r="I557">
        <f t="shared" ca="1" si="57"/>
        <v>0.35056232684800293</v>
      </c>
      <c r="J557">
        <f t="shared" ca="1" si="58"/>
        <v>-1.399375426398819</v>
      </c>
      <c r="K557">
        <f t="shared" ca="1" si="59"/>
        <v>19.428913431314406</v>
      </c>
      <c r="L557">
        <f t="shared" ca="1" si="60"/>
        <v>13.938271709155607</v>
      </c>
      <c r="M557">
        <f t="shared" ca="1" si="61"/>
        <v>0</v>
      </c>
      <c r="N557">
        <f t="shared" ca="1" si="62"/>
        <v>0</v>
      </c>
    </row>
    <row r="558" spans="6:14" x14ac:dyDescent="0.75">
      <c r="F558">
        <v>553</v>
      </c>
      <c r="G558">
        <f t="shared" ca="1" si="56"/>
        <v>0.48826299723943517</v>
      </c>
      <c r="H558">
        <f t="shared" ca="1" si="56"/>
        <v>-2.08181371488278</v>
      </c>
      <c r="I558">
        <f t="shared" ca="1" si="57"/>
        <v>0.48826299723943517</v>
      </c>
      <c r="J558">
        <f t="shared" ca="1" si="58"/>
        <v>-1.0107930934562639</v>
      </c>
      <c r="K558">
        <f t="shared" ca="1" si="59"/>
        <v>20.109402810672901</v>
      </c>
      <c r="L558">
        <f t="shared" ca="1" si="60"/>
        <v>15.360265307436578</v>
      </c>
      <c r="M558">
        <f t="shared" ca="1" si="61"/>
        <v>0</v>
      </c>
      <c r="N558">
        <f t="shared" ca="1" si="62"/>
        <v>0</v>
      </c>
    </row>
    <row r="559" spans="6:14" x14ac:dyDescent="0.75">
      <c r="F559">
        <v>554</v>
      </c>
      <c r="G559">
        <f t="shared" ca="1" si="56"/>
        <v>-1.4728764694941918</v>
      </c>
      <c r="H559">
        <f t="shared" ca="1" si="56"/>
        <v>-0.83709102174320227</v>
      </c>
      <c r="I559">
        <f t="shared" ca="1" si="57"/>
        <v>-1.4728764694941918</v>
      </c>
      <c r="J559">
        <f t="shared" ca="1" si="58"/>
        <v>-1.6583410191850125</v>
      </c>
      <c r="K559">
        <f t="shared" ca="1" si="59"/>
        <v>12.316042003301455</v>
      </c>
      <c r="L559">
        <f t="shared" ca="1" si="60"/>
        <v>13.064478975382499</v>
      </c>
      <c r="M559">
        <f t="shared" ca="1" si="61"/>
        <v>0</v>
      </c>
      <c r="N559">
        <f t="shared" ca="1" si="62"/>
        <v>0</v>
      </c>
    </row>
    <row r="560" spans="6:14" x14ac:dyDescent="0.75">
      <c r="F560">
        <v>555</v>
      </c>
      <c r="G560">
        <f t="shared" ca="1" si="56"/>
        <v>-9.6907580872323457E-2</v>
      </c>
      <c r="H560">
        <f t="shared" ca="1" si="56"/>
        <v>0.5085420875762664</v>
      </c>
      <c r="I560">
        <f t="shared" ca="1" si="57"/>
        <v>-9.6907580872323457E-2</v>
      </c>
      <c r="J560">
        <f t="shared" ca="1" si="58"/>
        <v>0.26368828807986511</v>
      </c>
      <c r="K560">
        <f t="shared" ca="1" si="59"/>
        <v>17.37261060188235</v>
      </c>
      <c r="L560">
        <f t="shared" ca="1" si="60"/>
        <v>21.123884044963365</v>
      </c>
      <c r="M560">
        <f t="shared" ca="1" si="61"/>
        <v>0</v>
      </c>
      <c r="N560">
        <f t="shared" ca="1" si="62"/>
        <v>0</v>
      </c>
    </row>
    <row r="561" spans="6:14" x14ac:dyDescent="0.75">
      <c r="F561">
        <v>556</v>
      </c>
      <c r="G561">
        <f t="shared" ca="1" si="56"/>
        <v>0.49428687731931942</v>
      </c>
      <c r="H561">
        <f t="shared" ca="1" si="56"/>
        <v>0.31603210784728347</v>
      </c>
      <c r="I561">
        <f t="shared" ca="1" si="57"/>
        <v>0.49428687731931942</v>
      </c>
      <c r="J561">
        <f t="shared" ca="1" si="58"/>
        <v>0.57975074890835365</v>
      </c>
      <c r="K561">
        <f t="shared" ca="1" si="59"/>
        <v>20.13970978339357</v>
      </c>
      <c r="L561">
        <f t="shared" ca="1" si="60"/>
        <v>22.860715584393226</v>
      </c>
      <c r="M561">
        <f t="shared" ca="1" si="61"/>
        <v>1.4571241621607385</v>
      </c>
      <c r="N561">
        <f t="shared" ca="1" si="62"/>
        <v>1.5002126838933982</v>
      </c>
    </row>
    <row r="562" spans="6:14" x14ac:dyDescent="0.75">
      <c r="F562">
        <v>557</v>
      </c>
      <c r="G562">
        <f t="shared" ca="1" si="56"/>
        <v>-0.32577261672954877</v>
      </c>
      <c r="H562">
        <f t="shared" ca="1" si="56"/>
        <v>-0.70368046097274428</v>
      </c>
      <c r="I562">
        <f t="shared" ca="1" si="57"/>
        <v>-0.32577261672954877</v>
      </c>
      <c r="J562">
        <f t="shared" ca="1" si="58"/>
        <v>-0.709770338094455</v>
      </c>
      <c r="K562">
        <f t="shared" ca="1" si="59"/>
        <v>16.406516504007879</v>
      </c>
      <c r="L562">
        <f t="shared" ca="1" si="60"/>
        <v>16.560820403934514</v>
      </c>
      <c r="M562">
        <f t="shared" ca="1" si="61"/>
        <v>0</v>
      </c>
      <c r="N562">
        <f t="shared" ca="1" si="62"/>
        <v>0</v>
      </c>
    </row>
    <row r="563" spans="6:14" x14ac:dyDescent="0.75">
      <c r="F563">
        <v>558</v>
      </c>
      <c r="G563">
        <f t="shared" ca="1" si="56"/>
        <v>0.33441345430514119</v>
      </c>
      <c r="H563">
        <f t="shared" ca="1" si="56"/>
        <v>0.65989038279305023</v>
      </c>
      <c r="I563">
        <f t="shared" ca="1" si="57"/>
        <v>0.33441345430514119</v>
      </c>
      <c r="J563">
        <f t="shared" ca="1" si="58"/>
        <v>0.68728655208726275</v>
      </c>
      <c r="K563">
        <f t="shared" ca="1" si="59"/>
        <v>19.350632793982115</v>
      </c>
      <c r="L563">
        <f t="shared" ca="1" si="60"/>
        <v>23.483637723906252</v>
      </c>
      <c r="M563">
        <f t="shared" ca="1" si="61"/>
        <v>1.3172054984281623</v>
      </c>
      <c r="N563">
        <f t="shared" ca="1" si="62"/>
        <v>1.4171352589441852</v>
      </c>
    </row>
    <row r="564" spans="6:14" x14ac:dyDescent="0.75">
      <c r="F564">
        <v>559</v>
      </c>
      <c r="G564">
        <f t="shared" ca="1" si="56"/>
        <v>-0.35934994194829084</v>
      </c>
      <c r="H564">
        <f t="shared" ca="1" si="56"/>
        <v>0.63900464668550816</v>
      </c>
      <c r="I564">
        <f t="shared" ca="1" si="57"/>
        <v>-0.35934994194829084</v>
      </c>
      <c r="J564">
        <f t="shared" ca="1" si="58"/>
        <v>0.15314938897491909</v>
      </c>
      <c r="K564">
        <f t="shared" ca="1" si="59"/>
        <v>16.269371195819776</v>
      </c>
      <c r="L564">
        <f t="shared" ca="1" si="60"/>
        <v>20.548123456714464</v>
      </c>
      <c r="M564">
        <f t="shared" ca="1" si="61"/>
        <v>0</v>
      </c>
      <c r="N564">
        <f t="shared" ca="1" si="62"/>
        <v>0</v>
      </c>
    </row>
    <row r="565" spans="6:14" x14ac:dyDescent="0.75">
      <c r="F565">
        <v>560</v>
      </c>
      <c r="G565">
        <f t="shared" ca="1" si="56"/>
        <v>0.70186732870771507</v>
      </c>
      <c r="H565">
        <f t="shared" ca="1" si="56"/>
        <v>-0.302349803006975</v>
      </c>
      <c r="I565">
        <f t="shared" ca="1" si="57"/>
        <v>0.70186732870771507</v>
      </c>
      <c r="J565">
        <f t="shared" ca="1" si="58"/>
        <v>0.32641489960433001</v>
      </c>
      <c r="K565">
        <f t="shared" ca="1" si="59"/>
        <v>21.212456716208344</v>
      </c>
      <c r="L565">
        <f t="shared" ca="1" si="60"/>
        <v>21.457752424185298</v>
      </c>
      <c r="M565">
        <f t="shared" ca="1" si="61"/>
        <v>1.3347520380515618</v>
      </c>
      <c r="N565">
        <f t="shared" ca="1" si="62"/>
        <v>1.3351045701968189</v>
      </c>
    </row>
    <row r="566" spans="6:14" x14ac:dyDescent="0.75">
      <c r="F566">
        <v>561</v>
      </c>
      <c r="G566">
        <f t="shared" ca="1" si="56"/>
        <v>0.20239570065514997</v>
      </c>
      <c r="H566">
        <f t="shared" ca="1" si="56"/>
        <v>0.50903698736598535</v>
      </c>
      <c r="I566">
        <f t="shared" ca="1" si="57"/>
        <v>0.20239570065514997</v>
      </c>
      <c r="J566">
        <f t="shared" ca="1" si="58"/>
        <v>0.48849309466734381</v>
      </c>
      <c r="K566">
        <f t="shared" ca="1" si="59"/>
        <v>18.722400282705923</v>
      </c>
      <c r="L566">
        <f t="shared" ca="1" si="60"/>
        <v>22.345066249345493</v>
      </c>
      <c r="M566">
        <f t="shared" ca="1" si="61"/>
        <v>0.45368608989168635</v>
      </c>
      <c r="N566">
        <f t="shared" ca="1" si="62"/>
        <v>0.53373326602570614</v>
      </c>
    </row>
    <row r="567" spans="6:14" x14ac:dyDescent="0.75">
      <c r="F567">
        <v>562</v>
      </c>
      <c r="G567">
        <f t="shared" ca="1" si="56"/>
        <v>-0.6803153667393862</v>
      </c>
      <c r="H567">
        <f t="shared" ca="1" si="56"/>
        <v>0.74039537954553714</v>
      </c>
      <c r="I567">
        <f t="shared" ca="1" si="57"/>
        <v>-0.6803153667393862</v>
      </c>
      <c r="J567">
        <f t="shared" ca="1" si="58"/>
        <v>-2.0511013519847132E-2</v>
      </c>
      <c r="K567">
        <f t="shared" ca="1" si="59"/>
        <v>15.014898120207647</v>
      </c>
      <c r="L567">
        <f t="shared" ca="1" si="60"/>
        <v>19.675112656825842</v>
      </c>
      <c r="M567">
        <f t="shared" ca="1" si="61"/>
        <v>0</v>
      </c>
      <c r="N567">
        <f t="shared" ca="1" si="62"/>
        <v>0</v>
      </c>
    </row>
    <row r="568" spans="6:14" x14ac:dyDescent="0.75">
      <c r="F568">
        <v>563</v>
      </c>
      <c r="G568">
        <f t="shared" ca="1" si="56"/>
        <v>-0.68260100392239065</v>
      </c>
      <c r="H568">
        <f t="shared" ca="1" si="56"/>
        <v>-0.73840999181136591</v>
      </c>
      <c r="I568">
        <f t="shared" ca="1" si="57"/>
        <v>-0.68260100392239065</v>
      </c>
      <c r="J568">
        <f t="shared" ca="1" si="58"/>
        <v>-1.0003630539263217</v>
      </c>
      <c r="K568">
        <f t="shared" ca="1" si="59"/>
        <v>15.006320918626738</v>
      </c>
      <c r="L568">
        <f t="shared" ca="1" si="60"/>
        <v>15.400369614489014</v>
      </c>
      <c r="M568">
        <f t="shared" ca="1" si="61"/>
        <v>0</v>
      </c>
      <c r="N568">
        <f t="shared" ca="1" si="62"/>
        <v>0</v>
      </c>
    </row>
    <row r="569" spans="6:14" x14ac:dyDescent="0.75">
      <c r="F569">
        <v>564</v>
      </c>
      <c r="G569">
        <f t="shared" ca="1" si="56"/>
        <v>-1.1543810182654561</v>
      </c>
      <c r="H569">
        <f t="shared" ca="1" si="56"/>
        <v>0.77189941459054201</v>
      </c>
      <c r="I569">
        <f t="shared" ca="1" si="57"/>
        <v>-1.1543810182654561</v>
      </c>
      <c r="J569">
        <f t="shared" ca="1" si="58"/>
        <v>-0.35522229165836294</v>
      </c>
      <c r="K569">
        <f t="shared" ca="1" si="59"/>
        <v>13.336791620199337</v>
      </c>
      <c r="L569">
        <f t="shared" ca="1" si="60"/>
        <v>18.095742699612188</v>
      </c>
      <c r="M569">
        <f t="shared" ca="1" si="61"/>
        <v>0</v>
      </c>
      <c r="N569">
        <f t="shared" ca="1" si="62"/>
        <v>0</v>
      </c>
    </row>
    <row r="570" spans="6:14" x14ac:dyDescent="0.75">
      <c r="F570">
        <v>565</v>
      </c>
      <c r="G570">
        <f t="shared" ca="1" si="56"/>
        <v>0.90365119686472661</v>
      </c>
      <c r="H570">
        <f t="shared" ca="1" si="56"/>
        <v>-0.91617042857449049</v>
      </c>
      <c r="I570">
        <f t="shared" ca="1" si="57"/>
        <v>0.90365119686472661</v>
      </c>
      <c r="J570">
        <f t="shared" ca="1" si="58"/>
        <v>7.1748619508653411E-2</v>
      </c>
      <c r="K570">
        <f t="shared" ca="1" si="59"/>
        <v>22.309989930783239</v>
      </c>
      <c r="L570">
        <f t="shared" ca="1" si="60"/>
        <v>20.134191276403634</v>
      </c>
      <c r="M570">
        <f t="shared" ca="1" si="61"/>
        <v>1.19418799201868</v>
      </c>
      <c r="N570">
        <f t="shared" ca="1" si="62"/>
        <v>1.2220906035934362</v>
      </c>
    </row>
    <row r="571" spans="6:14" x14ac:dyDescent="0.75">
      <c r="F571">
        <v>566</v>
      </c>
      <c r="G571">
        <f t="shared" ca="1" si="56"/>
        <v>1.9491288750546926E-2</v>
      </c>
      <c r="H571">
        <f t="shared" ca="1" si="56"/>
        <v>0.20134248002899641</v>
      </c>
      <c r="I571">
        <f t="shared" ca="1" si="57"/>
        <v>1.9491288750546926E-2</v>
      </c>
      <c r="J571">
        <f t="shared" ca="1" si="58"/>
        <v>0.14779399919033853</v>
      </c>
      <c r="K571">
        <f t="shared" ca="1" si="59"/>
        <v>17.885576038139181</v>
      </c>
      <c r="L571">
        <f t="shared" ca="1" si="60"/>
        <v>20.520631062269118</v>
      </c>
      <c r="M571">
        <f t="shared" ca="1" si="61"/>
        <v>0</v>
      </c>
      <c r="N571">
        <f t="shared" ca="1" si="62"/>
        <v>0</v>
      </c>
    </row>
    <row r="572" spans="6:14" x14ac:dyDescent="0.75">
      <c r="F572">
        <v>567</v>
      </c>
      <c r="G572">
        <f t="shared" ca="1" si="56"/>
        <v>0.21138757265938374</v>
      </c>
      <c r="H572">
        <f t="shared" ca="1" si="56"/>
        <v>0.90654117554956426</v>
      </c>
      <c r="I572">
        <f t="shared" ca="1" si="57"/>
        <v>0.21138757265938374</v>
      </c>
      <c r="J572">
        <f t="shared" ca="1" si="58"/>
        <v>0.75816130543061155</v>
      </c>
      <c r="K572">
        <f t="shared" ca="1" si="59"/>
        <v>18.764534980427079</v>
      </c>
      <c r="L572">
        <f t="shared" ca="1" si="60"/>
        <v>23.903445217575417</v>
      </c>
      <c r="M572">
        <f t="shared" ca="1" si="61"/>
        <v>1.1786929232640873</v>
      </c>
      <c r="N572">
        <f t="shared" ca="1" si="62"/>
        <v>1.3339900990012481</v>
      </c>
    </row>
    <row r="573" spans="6:14" x14ac:dyDescent="0.75">
      <c r="F573">
        <v>568</v>
      </c>
      <c r="G573">
        <f t="shared" ca="1" si="56"/>
        <v>-0.95522394940542177</v>
      </c>
      <c r="H573">
        <f t="shared" ca="1" si="56"/>
        <v>-1.1100289161316088</v>
      </c>
      <c r="I573">
        <f t="shared" ca="1" si="57"/>
        <v>-0.95522394940542177</v>
      </c>
      <c r="J573">
        <f t="shared" ca="1" si="58"/>
        <v>-1.4506330770977689</v>
      </c>
      <c r="K573">
        <f t="shared" ca="1" si="59"/>
        <v>14.017629263380424</v>
      </c>
      <c r="L573">
        <f t="shared" ca="1" si="60"/>
        <v>13.760800466897136</v>
      </c>
      <c r="M573">
        <f t="shared" ca="1" si="61"/>
        <v>0</v>
      </c>
      <c r="N573">
        <f t="shared" ca="1" si="62"/>
        <v>0</v>
      </c>
    </row>
    <row r="574" spans="6:14" x14ac:dyDescent="0.75">
      <c r="F574">
        <v>569</v>
      </c>
      <c r="G574">
        <f t="shared" ca="1" si="56"/>
        <v>1.7836119898483795</v>
      </c>
      <c r="H574">
        <f t="shared" ca="1" si="56"/>
        <v>-1.178560741637618</v>
      </c>
      <c r="I574">
        <f t="shared" ca="1" si="57"/>
        <v>1.7836119898483795</v>
      </c>
      <c r="J574">
        <f t="shared" ca="1" si="58"/>
        <v>0.55816433554703848</v>
      </c>
      <c r="K574">
        <f t="shared" ca="1" si="59"/>
        <v>27.799686825358389</v>
      </c>
      <c r="L574">
        <f t="shared" ca="1" si="60"/>
        <v>22.737677662344737</v>
      </c>
      <c r="M574">
        <f t="shared" ca="1" si="61"/>
        <v>5.1416053216402773</v>
      </c>
      <c r="N574">
        <f t="shared" ca="1" si="62"/>
        <v>5.2686822438515648</v>
      </c>
    </row>
    <row r="575" spans="6:14" x14ac:dyDescent="0.75">
      <c r="F575">
        <v>570</v>
      </c>
      <c r="G575">
        <f t="shared" ca="1" si="56"/>
        <v>-0.82710769782488658</v>
      </c>
      <c r="H575">
        <f t="shared" ca="1" si="56"/>
        <v>-0.21530088518604698</v>
      </c>
      <c r="I575">
        <f t="shared" ca="1" si="57"/>
        <v>-0.82710769782488658</v>
      </c>
      <c r="J575">
        <f t="shared" ca="1" si="58"/>
        <v>-0.76273892318225256</v>
      </c>
      <c r="K575">
        <f t="shared" ca="1" si="59"/>
        <v>14.473868243719895</v>
      </c>
      <c r="L575">
        <f t="shared" ca="1" si="60"/>
        <v>16.342965216372221</v>
      </c>
      <c r="M575">
        <f t="shared" ca="1" si="61"/>
        <v>0</v>
      </c>
      <c r="N575">
        <f t="shared" ca="1" si="62"/>
        <v>0</v>
      </c>
    </row>
    <row r="576" spans="6:14" x14ac:dyDescent="0.75">
      <c r="F576">
        <v>571</v>
      </c>
      <c r="G576">
        <f t="shared" ca="1" si="56"/>
        <v>2.2547806401245349</v>
      </c>
      <c r="H576">
        <f t="shared" ca="1" si="56"/>
        <v>-0.41648387583920748</v>
      </c>
      <c r="I576">
        <f t="shared" ca="1" si="57"/>
        <v>2.2547806401245349</v>
      </c>
      <c r="J576">
        <f t="shared" ca="1" si="58"/>
        <v>1.4156072899586898</v>
      </c>
      <c r="K576">
        <f t="shared" ca="1" si="59"/>
        <v>31.27493312080848</v>
      </c>
      <c r="L576">
        <f t="shared" ca="1" si="60"/>
        <v>28.173564129208764</v>
      </c>
      <c r="M576">
        <f t="shared" ca="1" si="61"/>
        <v>9.6837722319083461</v>
      </c>
      <c r="N576">
        <f t="shared" ca="1" si="62"/>
        <v>9.7242486250086202</v>
      </c>
    </row>
    <row r="577" spans="6:14" x14ac:dyDescent="0.75">
      <c r="F577">
        <v>572</v>
      </c>
      <c r="G577">
        <f t="shared" ca="1" si="56"/>
        <v>0.90885336877036282</v>
      </c>
      <c r="H577">
        <f t="shared" ca="1" si="56"/>
        <v>1.6648961493206511</v>
      </c>
      <c r="I577">
        <f t="shared" ca="1" si="57"/>
        <v>0.90885336877036282</v>
      </c>
      <c r="J577">
        <f t="shared" ca="1" si="58"/>
        <v>1.7828653190406474</v>
      </c>
      <c r="K577">
        <f t="shared" ca="1" si="59"/>
        <v>22.339023907366268</v>
      </c>
      <c r="L577">
        <f t="shared" ca="1" si="60"/>
        <v>30.882775562235331</v>
      </c>
      <c r="M577">
        <f t="shared" ca="1" si="61"/>
        <v>6.2657773844712565</v>
      </c>
      <c r="N577">
        <f t="shared" ca="1" si="62"/>
        <v>6.6108997348007996</v>
      </c>
    </row>
    <row r="578" spans="6:14" x14ac:dyDescent="0.75">
      <c r="F578">
        <v>573</v>
      </c>
      <c r="G578">
        <f t="shared" ca="1" si="56"/>
        <v>0.24401984998391302</v>
      </c>
      <c r="H578">
        <f t="shared" ca="1" si="56"/>
        <v>-0.19350634164522734</v>
      </c>
      <c r="I578">
        <f t="shared" ca="1" si="57"/>
        <v>0.24401984998391302</v>
      </c>
      <c r="J578">
        <f t="shared" ca="1" si="58"/>
        <v>5.5022473211141537E-2</v>
      </c>
      <c r="K578">
        <f t="shared" ca="1" si="59"/>
        <v>18.918243487599739</v>
      </c>
      <c r="L578">
        <f t="shared" ca="1" si="60"/>
        <v>20.050175199754626</v>
      </c>
      <c r="M578">
        <f t="shared" ca="1" si="61"/>
        <v>0</v>
      </c>
      <c r="N578">
        <f t="shared" ca="1" si="62"/>
        <v>0</v>
      </c>
    </row>
    <row r="579" spans="6:14" x14ac:dyDescent="0.75">
      <c r="F579">
        <v>574</v>
      </c>
      <c r="G579">
        <f t="shared" ca="1" si="56"/>
        <v>-8.3032159044961945E-2</v>
      </c>
      <c r="H579">
        <f t="shared" ca="1" si="56"/>
        <v>0.14971595401948606</v>
      </c>
      <c r="I579">
        <f t="shared" ca="1" si="57"/>
        <v>-8.3032159044961945E-2</v>
      </c>
      <c r="J579">
        <f t="shared" ca="1" si="58"/>
        <v>3.6753676124863847E-2</v>
      </c>
      <c r="K579">
        <f t="shared" ca="1" si="59"/>
        <v>17.432978319878739</v>
      </c>
      <c r="L579">
        <f t="shared" ca="1" si="60"/>
        <v>19.958810852593746</v>
      </c>
      <c r="M579">
        <f t="shared" ca="1" si="61"/>
        <v>0</v>
      </c>
      <c r="N579">
        <f t="shared" ca="1" si="62"/>
        <v>0</v>
      </c>
    </row>
    <row r="580" spans="6:14" x14ac:dyDescent="0.75">
      <c r="F580">
        <v>575</v>
      </c>
      <c r="G580">
        <f t="shared" ca="1" si="56"/>
        <v>7.9107028422923512E-2</v>
      </c>
      <c r="H580">
        <f t="shared" ca="1" si="56"/>
        <v>-1.7794342106860186</v>
      </c>
      <c r="I580">
        <f t="shared" ca="1" si="57"/>
        <v>7.9107028422923512E-2</v>
      </c>
      <c r="J580">
        <f t="shared" ca="1" si="58"/>
        <v>-1.1176548276517371</v>
      </c>
      <c r="K580">
        <f t="shared" ca="1" si="59"/>
        <v>18.1541378419838</v>
      </c>
      <c r="L580">
        <f t="shared" ca="1" si="60"/>
        <v>14.955342092944617</v>
      </c>
      <c r="M580">
        <f t="shared" ca="1" si="61"/>
        <v>0</v>
      </c>
      <c r="N580">
        <f t="shared" ca="1" si="62"/>
        <v>0</v>
      </c>
    </row>
    <row r="581" spans="6:14" x14ac:dyDescent="0.75">
      <c r="F581">
        <v>576</v>
      </c>
      <c r="G581">
        <f t="shared" ca="1" si="56"/>
        <v>-0.62067847487993832</v>
      </c>
      <c r="H581">
        <f t="shared" ca="1" si="56"/>
        <v>-0.6058424434104247</v>
      </c>
      <c r="I581">
        <f t="shared" ca="1" si="57"/>
        <v>-0.62067847487993832</v>
      </c>
      <c r="J581">
        <f t="shared" ca="1" si="58"/>
        <v>-0.86623596589788032</v>
      </c>
      <c r="K581">
        <f t="shared" ca="1" si="59"/>
        <v>15.240435701333526</v>
      </c>
      <c r="L581">
        <f t="shared" ca="1" si="60"/>
        <v>15.925526817607786</v>
      </c>
      <c r="M581">
        <f t="shared" ca="1" si="61"/>
        <v>0</v>
      </c>
      <c r="N581">
        <f t="shared" ca="1" si="62"/>
        <v>0</v>
      </c>
    </row>
    <row r="582" spans="6:14" x14ac:dyDescent="0.75">
      <c r="F582">
        <v>577</v>
      </c>
      <c r="G582">
        <f t="shared" ca="1" si="56"/>
        <v>-0.54257277492095768</v>
      </c>
      <c r="H582">
        <f t="shared" ca="1" si="56"/>
        <v>-0.48575518552307717</v>
      </c>
      <c r="I582">
        <f t="shared" ca="1" si="57"/>
        <v>-0.54257277492095768</v>
      </c>
      <c r="J582">
        <f t="shared" ca="1" si="58"/>
        <v>-0.72822643592924452</v>
      </c>
      <c r="K582">
        <f t="shared" ca="1" si="59"/>
        <v>15.540951375899578</v>
      </c>
      <c r="L582">
        <f t="shared" ca="1" si="60"/>
        <v>16.48458438621028</v>
      </c>
      <c r="M582">
        <f t="shared" ca="1" si="61"/>
        <v>0</v>
      </c>
      <c r="N582">
        <f t="shared" ca="1" si="62"/>
        <v>0</v>
      </c>
    </row>
    <row r="583" spans="6:14" x14ac:dyDescent="0.75">
      <c r="F583">
        <v>578</v>
      </c>
      <c r="G583">
        <f t="shared" ref="G583:H646" ca="1" si="63">NORMSINV(RAND())</f>
        <v>-0.60879091647967387</v>
      </c>
      <c r="H583">
        <f t="shared" ca="1" si="63"/>
        <v>-0.34265515583398476</v>
      </c>
      <c r="I583">
        <f t="shared" ref="I583:I646" ca="1" si="64">G583</f>
        <v>-0.60879091647967387</v>
      </c>
      <c r="J583">
        <f t="shared" ref="J583:J646" ca="1" si="65">G583*$C$8+SQRT(1-$C$8^2)*H583</f>
        <v>-0.68323826930745712</v>
      </c>
      <c r="K583">
        <f t="shared" ref="K583:K646" ca="1" si="66">C$3*EXP(($C$5-0.5*C$4^2)*$C$6+C$4*SQRT($C$6)*I583)</f>
        <v>15.285795963154346</v>
      </c>
      <c r="L583">
        <f t="shared" ref="L583:L646" ca="1" si="67">D$3*EXP(($C$5-0.5*D$4^2)*$C$6+D$4*SQRT($C$6)*J583)</f>
        <v>16.671033729822135</v>
      </c>
      <c r="M583">
        <f t="shared" ref="M583:M646" ca="1" si="68">MAX(SQRT(K583*L583)-$C$7,0)</f>
        <v>0</v>
      </c>
      <c r="N583">
        <f t="shared" ref="N583:N646" ca="1" si="69">MAX((K583+L583)*0.5-$C$7,0)</f>
        <v>0</v>
      </c>
    </row>
    <row r="584" spans="6:14" x14ac:dyDescent="0.75">
      <c r="F584">
        <v>579</v>
      </c>
      <c r="G584">
        <f t="shared" ca="1" si="63"/>
        <v>-0.85410614493232262</v>
      </c>
      <c r="H584">
        <f t="shared" ca="1" si="63"/>
        <v>0.75937225446890633</v>
      </c>
      <c r="I584">
        <f t="shared" ca="1" si="64"/>
        <v>-0.85410614493232262</v>
      </c>
      <c r="J584">
        <f t="shared" ca="1" si="65"/>
        <v>-0.13830207423744623</v>
      </c>
      <c r="K584">
        <f t="shared" ca="1" si="66"/>
        <v>14.376504206527693</v>
      </c>
      <c r="L584">
        <f t="shared" ca="1" si="67"/>
        <v>19.104172276530676</v>
      </c>
      <c r="M584">
        <f t="shared" ca="1" si="68"/>
        <v>0</v>
      </c>
      <c r="N584">
        <f t="shared" ca="1" si="69"/>
        <v>0</v>
      </c>
    </row>
    <row r="585" spans="6:14" x14ac:dyDescent="0.75">
      <c r="F585">
        <v>580</v>
      </c>
      <c r="G585">
        <f t="shared" ca="1" si="63"/>
        <v>-0.26643107116921599</v>
      </c>
      <c r="H585">
        <f t="shared" ca="1" si="63"/>
        <v>-1.4331534832664814</v>
      </c>
      <c r="I585">
        <f t="shared" ca="1" si="64"/>
        <v>-0.26643107116921599</v>
      </c>
      <c r="J585">
        <f t="shared" ca="1" si="65"/>
        <v>-1.1477652302041816</v>
      </c>
      <c r="K585">
        <f t="shared" ca="1" si="66"/>
        <v>16.651727921383667</v>
      </c>
      <c r="L585">
        <f t="shared" ca="1" si="67"/>
        <v>14.843186909581011</v>
      </c>
      <c r="M585">
        <f t="shared" ca="1" si="68"/>
        <v>0</v>
      </c>
      <c r="N585">
        <f t="shared" ca="1" si="69"/>
        <v>0</v>
      </c>
    </row>
    <row r="586" spans="6:14" x14ac:dyDescent="0.75">
      <c r="F586">
        <v>581</v>
      </c>
      <c r="G586">
        <f t="shared" ca="1" si="63"/>
        <v>-0.69954174395711821</v>
      </c>
      <c r="H586">
        <f t="shared" ca="1" si="63"/>
        <v>-0.89398296835790469</v>
      </c>
      <c r="I586">
        <f t="shared" ca="1" si="64"/>
        <v>-0.69954174395711821</v>
      </c>
      <c r="J586">
        <f t="shared" ca="1" si="65"/>
        <v>-1.1159704606184238</v>
      </c>
      <c r="K586">
        <f t="shared" ca="1" si="66"/>
        <v>14.942900766072523</v>
      </c>
      <c r="L586">
        <f t="shared" ca="1" si="67"/>
        <v>14.961640990356756</v>
      </c>
      <c r="M586">
        <f t="shared" ca="1" si="68"/>
        <v>0</v>
      </c>
      <c r="N586">
        <f t="shared" ca="1" si="69"/>
        <v>0</v>
      </c>
    </row>
    <row r="587" spans="6:14" x14ac:dyDescent="0.75">
      <c r="F587">
        <v>582</v>
      </c>
      <c r="G587">
        <f t="shared" ca="1" si="63"/>
        <v>1.1904685480312804</v>
      </c>
      <c r="H587">
        <f t="shared" ca="1" si="63"/>
        <v>0.32395004351246398</v>
      </c>
      <c r="I587">
        <f t="shared" ca="1" si="64"/>
        <v>1.1904685480312804</v>
      </c>
      <c r="J587">
        <f t="shared" ca="1" si="65"/>
        <v>1.1071242241090935</v>
      </c>
      <c r="K587">
        <f t="shared" ca="1" si="66"/>
        <v>23.968462288916207</v>
      </c>
      <c r="L587">
        <f t="shared" ca="1" si="67"/>
        <v>26.082467089677223</v>
      </c>
      <c r="M587">
        <f t="shared" ca="1" si="68"/>
        <v>5.003132380580368</v>
      </c>
      <c r="N587">
        <f t="shared" ca="1" si="69"/>
        <v>5.0254646892967152</v>
      </c>
    </row>
    <row r="588" spans="6:14" x14ac:dyDescent="0.75">
      <c r="F588">
        <v>583</v>
      </c>
      <c r="G588">
        <f t="shared" ca="1" si="63"/>
        <v>0.34449798198369197</v>
      </c>
      <c r="H588">
        <f t="shared" ca="1" si="63"/>
        <v>-1.017875279736659</v>
      </c>
      <c r="I588">
        <f t="shared" ca="1" si="64"/>
        <v>0.34449798198369197</v>
      </c>
      <c r="J588">
        <f t="shared" ca="1" si="65"/>
        <v>-0.4148877274781067</v>
      </c>
      <c r="K588">
        <f t="shared" ca="1" si="66"/>
        <v>19.39947984103588</v>
      </c>
      <c r="L588">
        <f t="shared" ca="1" si="67"/>
        <v>17.827823264783586</v>
      </c>
      <c r="M588">
        <f t="shared" ca="1" si="68"/>
        <v>0</v>
      </c>
      <c r="N588">
        <f t="shared" ca="1" si="69"/>
        <v>0</v>
      </c>
    </row>
    <row r="589" spans="6:14" x14ac:dyDescent="0.75">
      <c r="F589">
        <v>584</v>
      </c>
      <c r="G589">
        <f t="shared" ca="1" si="63"/>
        <v>1.0347713050006691</v>
      </c>
      <c r="H589">
        <f t="shared" ca="1" si="63"/>
        <v>9.7667624217706903E-2</v>
      </c>
      <c r="I589">
        <f t="shared" ca="1" si="64"/>
        <v>1.0347713050006691</v>
      </c>
      <c r="J589">
        <f t="shared" ca="1" si="65"/>
        <v>0.8406795399561422</v>
      </c>
      <c r="K589">
        <f t="shared" ca="1" si="66"/>
        <v>23.053430434162888</v>
      </c>
      <c r="L589">
        <f t="shared" ca="1" si="67"/>
        <v>24.401684298480166</v>
      </c>
      <c r="M589">
        <f t="shared" ca="1" si="68"/>
        <v>3.717979076038862</v>
      </c>
      <c r="N589">
        <f t="shared" ca="1" si="69"/>
        <v>3.7275573663215269</v>
      </c>
    </row>
    <row r="590" spans="6:14" x14ac:dyDescent="0.75">
      <c r="F590">
        <v>585</v>
      </c>
      <c r="G590">
        <f t="shared" ca="1" si="63"/>
        <v>0.73944004834944366</v>
      </c>
      <c r="H590">
        <f t="shared" ca="1" si="63"/>
        <v>-1.6328659117549846</v>
      </c>
      <c r="I590">
        <f t="shared" ca="1" si="64"/>
        <v>0.73944004834944366</v>
      </c>
      <c r="J590">
        <f t="shared" ca="1" si="65"/>
        <v>-0.52545924544252443</v>
      </c>
      <c r="K590">
        <f t="shared" ca="1" si="66"/>
        <v>21.412647882372177</v>
      </c>
      <c r="L590">
        <f t="shared" ca="1" si="67"/>
        <v>17.341759940489727</v>
      </c>
      <c r="M590">
        <f t="shared" ca="1" si="68"/>
        <v>0</v>
      </c>
      <c r="N590">
        <f t="shared" ca="1" si="69"/>
        <v>0</v>
      </c>
    </row>
    <row r="591" spans="6:14" x14ac:dyDescent="0.75">
      <c r="F591">
        <v>586</v>
      </c>
      <c r="G591">
        <f t="shared" ca="1" si="63"/>
        <v>0.75918178059101393</v>
      </c>
      <c r="H591">
        <f t="shared" ca="1" si="63"/>
        <v>-0.60266217190049376</v>
      </c>
      <c r="I591">
        <f t="shared" ca="1" si="64"/>
        <v>0.75918178059101393</v>
      </c>
      <c r="J591">
        <f t="shared" ca="1" si="65"/>
        <v>0.17076277758456915</v>
      </c>
      <c r="K591">
        <f t="shared" ca="1" si="66"/>
        <v>21.518589792194749</v>
      </c>
      <c r="L591">
        <f t="shared" ca="1" si="67"/>
        <v>20.638803478914053</v>
      </c>
      <c r="M591">
        <f t="shared" ca="1" si="68"/>
        <v>1.074106051371988</v>
      </c>
      <c r="N591">
        <f t="shared" ca="1" si="69"/>
        <v>1.078696635554401</v>
      </c>
    </row>
    <row r="592" spans="6:14" x14ac:dyDescent="0.75">
      <c r="F592">
        <v>587</v>
      </c>
      <c r="G592">
        <f t="shared" ca="1" si="63"/>
        <v>2.2625895040947146</v>
      </c>
      <c r="H592">
        <f t="shared" ca="1" si="63"/>
        <v>-0.87447439459054432</v>
      </c>
      <c r="I592">
        <f t="shared" ca="1" si="64"/>
        <v>2.2625895040947146</v>
      </c>
      <c r="J592">
        <f t="shared" ca="1" si="65"/>
        <v>1.1185316840759492</v>
      </c>
      <c r="K592">
        <f t="shared" ca="1" si="66"/>
        <v>31.33604818090167</v>
      </c>
      <c r="L592">
        <f t="shared" ca="1" si="67"/>
        <v>26.156956931467509</v>
      </c>
      <c r="M592">
        <f t="shared" ca="1" si="68"/>
        <v>8.6296291046572193</v>
      </c>
      <c r="N592">
        <f t="shared" ca="1" si="69"/>
        <v>8.7465025561845877</v>
      </c>
    </row>
    <row r="593" spans="6:14" x14ac:dyDescent="0.75">
      <c r="F593">
        <v>588</v>
      </c>
      <c r="G593">
        <f t="shared" ca="1" si="63"/>
        <v>-0.74356121380762352</v>
      </c>
      <c r="H593">
        <f t="shared" ca="1" si="63"/>
        <v>-2.2466525678525118</v>
      </c>
      <c r="I593">
        <f t="shared" ca="1" si="64"/>
        <v>-0.74356121380762352</v>
      </c>
      <c r="J593">
        <f t="shared" ca="1" si="65"/>
        <v>-2.0436919045813209</v>
      </c>
      <c r="K593">
        <f t="shared" ca="1" si="66"/>
        <v>14.779357659258231</v>
      </c>
      <c r="L593">
        <f t="shared" ca="1" si="67"/>
        <v>11.864601431930364</v>
      </c>
      <c r="M593">
        <f t="shared" ca="1" si="68"/>
        <v>0</v>
      </c>
      <c r="N593">
        <f t="shared" ca="1" si="69"/>
        <v>0</v>
      </c>
    </row>
    <row r="594" spans="6:14" x14ac:dyDescent="0.75">
      <c r="F594">
        <v>589</v>
      </c>
      <c r="G594">
        <f t="shared" ca="1" si="63"/>
        <v>-1.28042375544693E-2</v>
      </c>
      <c r="H594">
        <f t="shared" ca="1" si="63"/>
        <v>0.30294739518286762</v>
      </c>
      <c r="I594">
        <f t="shared" ca="1" si="64"/>
        <v>-1.28042375544693E-2</v>
      </c>
      <c r="J594">
        <f t="shared" ca="1" si="65"/>
        <v>0.19077768883131668</v>
      </c>
      <c r="K594">
        <f t="shared" ca="1" si="66"/>
        <v>17.741751408096768</v>
      </c>
      <c r="L594">
        <f t="shared" ca="1" si="67"/>
        <v>20.742333235233311</v>
      </c>
      <c r="M594">
        <f t="shared" ca="1" si="68"/>
        <v>0</v>
      </c>
      <c r="N594">
        <f t="shared" ca="1" si="69"/>
        <v>0</v>
      </c>
    </row>
    <row r="595" spans="6:14" x14ac:dyDescent="0.75">
      <c r="F595">
        <v>590</v>
      </c>
      <c r="G595">
        <f t="shared" ca="1" si="63"/>
        <v>-1.5225329992841383</v>
      </c>
      <c r="H595">
        <f t="shared" ca="1" si="63"/>
        <v>0.4606799529140288</v>
      </c>
      <c r="I595">
        <f t="shared" ca="1" si="64"/>
        <v>-1.5225329992841383</v>
      </c>
      <c r="J595">
        <f t="shared" ca="1" si="65"/>
        <v>-0.83718860211223745</v>
      </c>
      <c r="K595">
        <f t="shared" ca="1" si="66"/>
        <v>12.164094128558979</v>
      </c>
      <c r="L595">
        <f t="shared" ca="1" si="67"/>
        <v>16.041596389660015</v>
      </c>
      <c r="M595">
        <f t="shared" ca="1" si="68"/>
        <v>0</v>
      </c>
      <c r="N595">
        <f t="shared" ca="1" si="69"/>
        <v>0</v>
      </c>
    </row>
    <row r="596" spans="6:14" x14ac:dyDescent="0.75">
      <c r="F596">
        <v>591</v>
      </c>
      <c r="G596">
        <f t="shared" ca="1" si="63"/>
        <v>2.2752872383836804</v>
      </c>
      <c r="H596">
        <f t="shared" ca="1" si="63"/>
        <v>1.1797906536832112</v>
      </c>
      <c r="I596">
        <f t="shared" ca="1" si="64"/>
        <v>2.2752872383836804</v>
      </c>
      <c r="J596">
        <f t="shared" ca="1" si="65"/>
        <v>2.486823595978787</v>
      </c>
      <c r="K596">
        <f t="shared" ca="1" si="66"/>
        <v>31.435680438593934</v>
      </c>
      <c r="L596">
        <f t="shared" ca="1" si="67"/>
        <v>36.825412817928651</v>
      </c>
      <c r="M596">
        <f t="shared" ca="1" si="68"/>
        <v>14.023990203438899</v>
      </c>
      <c r="N596">
        <f t="shared" ca="1" si="69"/>
        <v>14.130546628261293</v>
      </c>
    </row>
    <row r="597" spans="6:14" x14ac:dyDescent="0.75">
      <c r="F597">
        <v>592</v>
      </c>
      <c r="G597">
        <f t="shared" ca="1" si="63"/>
        <v>0.75558933353219582</v>
      </c>
      <c r="H597">
        <f t="shared" ca="1" si="63"/>
        <v>0.55611013598479131</v>
      </c>
      <c r="I597">
        <f t="shared" ca="1" si="64"/>
        <v>0.75558933353219582</v>
      </c>
      <c r="J597">
        <f t="shared" ca="1" si="65"/>
        <v>0.93452428049366421</v>
      </c>
      <c r="K597">
        <f t="shared" ca="1" si="66"/>
        <v>21.499272369443304</v>
      </c>
      <c r="L597">
        <f t="shared" ca="1" si="67"/>
        <v>24.980945235603048</v>
      </c>
      <c r="M597">
        <f t="shared" ca="1" si="68"/>
        <v>3.1748170578836934</v>
      </c>
      <c r="N597">
        <f t="shared" ca="1" si="69"/>
        <v>3.2401088025231743</v>
      </c>
    </row>
    <row r="598" spans="6:14" x14ac:dyDescent="0.75">
      <c r="F598">
        <v>593</v>
      </c>
      <c r="G598">
        <f t="shared" ca="1" si="63"/>
        <v>-2.4524139973463824E-2</v>
      </c>
      <c r="H598">
        <f t="shared" ca="1" si="63"/>
        <v>0.53883600418343891</v>
      </c>
      <c r="I598">
        <f t="shared" ca="1" si="64"/>
        <v>-2.4524139973463824E-2</v>
      </c>
      <c r="J598">
        <f t="shared" ca="1" si="65"/>
        <v>0.33801341114918682</v>
      </c>
      <c r="K598">
        <f t="shared" ca="1" si="66"/>
        <v>17.689844589275907</v>
      </c>
      <c r="L598">
        <f t="shared" ca="1" si="67"/>
        <v>21.520062215436525</v>
      </c>
      <c r="M598">
        <f t="shared" ca="1" si="68"/>
        <v>0</v>
      </c>
      <c r="N598">
        <f t="shared" ca="1" si="69"/>
        <v>0</v>
      </c>
    </row>
    <row r="599" spans="6:14" x14ac:dyDescent="0.75">
      <c r="F599">
        <v>594</v>
      </c>
      <c r="G599">
        <f t="shared" ca="1" si="63"/>
        <v>-0.77932157008904079</v>
      </c>
      <c r="H599">
        <f t="shared" ca="1" si="63"/>
        <v>-5.6210311779813123E-2</v>
      </c>
      <c r="I599">
        <f t="shared" ca="1" si="64"/>
        <v>-0.77932157008904079</v>
      </c>
      <c r="J599">
        <f t="shared" ca="1" si="65"/>
        <v>-0.62167080408847808</v>
      </c>
      <c r="K599">
        <f t="shared" ca="1" si="66"/>
        <v>14.6478177507426</v>
      </c>
      <c r="L599">
        <f t="shared" ca="1" si="67"/>
        <v>16.92961698656158</v>
      </c>
      <c r="M599">
        <f t="shared" ca="1" si="68"/>
        <v>0</v>
      </c>
      <c r="N599">
        <f t="shared" ca="1" si="69"/>
        <v>0</v>
      </c>
    </row>
    <row r="600" spans="6:14" x14ac:dyDescent="0.75">
      <c r="F600">
        <v>595</v>
      </c>
      <c r="G600">
        <f t="shared" ca="1" si="63"/>
        <v>-0.49614873695270695</v>
      </c>
      <c r="H600">
        <f t="shared" ca="1" si="63"/>
        <v>-0.32022552765701368</v>
      </c>
      <c r="I600">
        <f t="shared" ca="1" si="64"/>
        <v>-0.49614873695270695</v>
      </c>
      <c r="J600">
        <f t="shared" ca="1" si="65"/>
        <v>-0.5839208301232538</v>
      </c>
      <c r="K600">
        <f t="shared" ca="1" si="66"/>
        <v>15.722370544965683</v>
      </c>
      <c r="L600">
        <f t="shared" ca="1" si="67"/>
        <v>17.090146443054564</v>
      </c>
      <c r="M600">
        <f t="shared" ca="1" si="68"/>
        <v>0</v>
      </c>
      <c r="N600">
        <f t="shared" ca="1" si="69"/>
        <v>0</v>
      </c>
    </row>
    <row r="601" spans="6:14" x14ac:dyDescent="0.75">
      <c r="F601">
        <v>596</v>
      </c>
      <c r="G601">
        <f t="shared" ca="1" si="63"/>
        <v>0.14848756677439298</v>
      </c>
      <c r="H601">
        <f t="shared" ca="1" si="63"/>
        <v>1.1142714021924795E-2</v>
      </c>
      <c r="I601">
        <f t="shared" ca="1" si="64"/>
        <v>0.14848756677439298</v>
      </c>
      <c r="J601">
        <f t="shared" ca="1" si="65"/>
        <v>0.11873588763887606</v>
      </c>
      <c r="K601">
        <f t="shared" ca="1" si="66"/>
        <v>18.471770533699242</v>
      </c>
      <c r="L601">
        <f t="shared" ca="1" si="67"/>
        <v>20.372098528221482</v>
      </c>
      <c r="M601">
        <f t="shared" ca="1" si="68"/>
        <v>0</v>
      </c>
      <c r="N601">
        <f t="shared" ca="1" si="69"/>
        <v>0</v>
      </c>
    </row>
    <row r="602" spans="6:14" x14ac:dyDescent="0.75">
      <c r="F602">
        <v>597</v>
      </c>
      <c r="G602">
        <f t="shared" ca="1" si="63"/>
        <v>0.1307588022472583</v>
      </c>
      <c r="H602">
        <f t="shared" ca="1" si="63"/>
        <v>1.3976836705572533</v>
      </c>
      <c r="I602">
        <f t="shared" ca="1" si="64"/>
        <v>0.1307588022472583</v>
      </c>
      <c r="J602">
        <f t="shared" ca="1" si="65"/>
        <v>1.0225499526430493</v>
      </c>
      <c r="K602">
        <f t="shared" ca="1" si="66"/>
        <v>18.390081281069399</v>
      </c>
      <c r="L602">
        <f t="shared" ca="1" si="67"/>
        <v>25.536779892772735</v>
      </c>
      <c r="M602">
        <f t="shared" ca="1" si="68"/>
        <v>1.6707973523096129</v>
      </c>
      <c r="N602">
        <f t="shared" ca="1" si="69"/>
        <v>1.9634305869210671</v>
      </c>
    </row>
    <row r="603" spans="6:14" x14ac:dyDescent="0.75">
      <c r="F603">
        <v>598</v>
      </c>
      <c r="G603">
        <f t="shared" ca="1" si="63"/>
        <v>-1.1301035575693552</v>
      </c>
      <c r="H603">
        <f t="shared" ca="1" si="63"/>
        <v>0.97145757827461299</v>
      </c>
      <c r="I603">
        <f t="shared" ca="1" si="64"/>
        <v>-1.1301035575693552</v>
      </c>
      <c r="J603">
        <f t="shared" ca="1" si="65"/>
        <v>-0.20501887783609396</v>
      </c>
      <c r="K603">
        <f t="shared" ca="1" si="66"/>
        <v>13.417983621504469</v>
      </c>
      <c r="L603">
        <f t="shared" ca="1" si="67"/>
        <v>18.788172586049633</v>
      </c>
      <c r="M603">
        <f t="shared" ca="1" si="68"/>
        <v>0</v>
      </c>
      <c r="N603">
        <f t="shared" ca="1" si="69"/>
        <v>0</v>
      </c>
    </row>
    <row r="604" spans="6:14" x14ac:dyDescent="0.75">
      <c r="F604">
        <v>599</v>
      </c>
      <c r="G604">
        <f t="shared" ca="1" si="63"/>
        <v>-1.3337930464188996</v>
      </c>
      <c r="H604">
        <f t="shared" ca="1" si="63"/>
        <v>-0.23979713175010944</v>
      </c>
      <c r="I604">
        <f t="shared" ca="1" si="64"/>
        <v>-1.3337930464188996</v>
      </c>
      <c r="J604">
        <f t="shared" ca="1" si="65"/>
        <v>-1.1589556787435198</v>
      </c>
      <c r="K604">
        <f t="shared" ca="1" si="66"/>
        <v>12.751813493718041</v>
      </c>
      <c r="L604">
        <f t="shared" ca="1" si="67"/>
        <v>14.80171946172668</v>
      </c>
      <c r="M604">
        <f t="shared" ca="1" si="68"/>
        <v>0</v>
      </c>
      <c r="N604">
        <f t="shared" ca="1" si="69"/>
        <v>0</v>
      </c>
    </row>
    <row r="605" spans="6:14" x14ac:dyDescent="0.75">
      <c r="F605">
        <v>600</v>
      </c>
      <c r="G605">
        <f t="shared" ca="1" si="63"/>
        <v>-1.1456536941988047</v>
      </c>
      <c r="H605">
        <f t="shared" ca="1" si="63"/>
        <v>-2.4369434963992127</v>
      </c>
      <c r="I605">
        <f t="shared" ca="1" si="64"/>
        <v>-1.1456536941988047</v>
      </c>
      <c r="J605">
        <f t="shared" ca="1" si="65"/>
        <v>-2.4711268832962396</v>
      </c>
      <c r="K605">
        <f t="shared" ca="1" si="66"/>
        <v>13.365922013060398</v>
      </c>
      <c r="L605">
        <f t="shared" ca="1" si="67"/>
        <v>10.662154966145819</v>
      </c>
      <c r="M605">
        <f t="shared" ca="1" si="68"/>
        <v>0</v>
      </c>
      <c r="N605">
        <f t="shared" ca="1" si="69"/>
        <v>0</v>
      </c>
    </row>
    <row r="606" spans="6:14" x14ac:dyDescent="0.75">
      <c r="F606">
        <v>601</v>
      </c>
      <c r="G606">
        <f t="shared" ca="1" si="63"/>
        <v>-0.23539614582060628</v>
      </c>
      <c r="H606">
        <f t="shared" ca="1" si="63"/>
        <v>-0.21692340876472629</v>
      </c>
      <c r="I606">
        <f t="shared" ca="1" si="64"/>
        <v>-0.23539614582060628</v>
      </c>
      <c r="J606">
        <f t="shared" ca="1" si="65"/>
        <v>-0.32002845765042337</v>
      </c>
      <c r="K606">
        <f t="shared" ca="1" si="66"/>
        <v>16.781426702993343</v>
      </c>
      <c r="L606">
        <f t="shared" ca="1" si="67"/>
        <v>18.255659821260974</v>
      </c>
      <c r="M606">
        <f t="shared" ca="1" si="68"/>
        <v>0</v>
      </c>
      <c r="N606">
        <f t="shared" ca="1" si="69"/>
        <v>0</v>
      </c>
    </row>
    <row r="607" spans="6:14" x14ac:dyDescent="0.75">
      <c r="F607">
        <v>602</v>
      </c>
      <c r="G607">
        <f t="shared" ca="1" si="63"/>
        <v>1.1491318086181816</v>
      </c>
      <c r="H607">
        <f t="shared" ca="1" si="63"/>
        <v>-1.0891326828396424</v>
      </c>
      <c r="I607">
        <f t="shared" ca="1" si="64"/>
        <v>1.1491318086181816</v>
      </c>
      <c r="J607">
        <f t="shared" ca="1" si="65"/>
        <v>0.14145530057706646</v>
      </c>
      <c r="K607">
        <f t="shared" ca="1" si="66"/>
        <v>23.722043232047092</v>
      </c>
      <c r="L607">
        <f t="shared" ca="1" si="67"/>
        <v>20.488138290390289</v>
      </c>
      <c r="M607">
        <f t="shared" ca="1" si="68"/>
        <v>2.0458726810439032</v>
      </c>
      <c r="N607">
        <f t="shared" ca="1" si="69"/>
        <v>2.1050907612186904</v>
      </c>
    </row>
    <row r="608" spans="6:14" x14ac:dyDescent="0.75">
      <c r="F608">
        <v>603</v>
      </c>
      <c r="G608">
        <f t="shared" ca="1" si="63"/>
        <v>0.31799813953888778</v>
      </c>
      <c r="H608">
        <f t="shared" ca="1" si="63"/>
        <v>-0.76140954520474069</v>
      </c>
      <c r="I608">
        <f t="shared" ca="1" si="64"/>
        <v>0.31799813953888778</v>
      </c>
      <c r="J608">
        <f t="shared" ca="1" si="65"/>
        <v>-0.26512647096646824</v>
      </c>
      <c r="K608">
        <f t="shared" ca="1" si="66"/>
        <v>19.271383835219623</v>
      </c>
      <c r="L608">
        <f t="shared" ca="1" si="67"/>
        <v>18.507955298933108</v>
      </c>
      <c r="M608">
        <f t="shared" ca="1" si="68"/>
        <v>0</v>
      </c>
      <c r="N608">
        <f t="shared" ca="1" si="69"/>
        <v>0</v>
      </c>
    </row>
    <row r="609" spans="6:14" x14ac:dyDescent="0.75">
      <c r="F609">
        <v>604</v>
      </c>
      <c r="G609">
        <f t="shared" ca="1" si="63"/>
        <v>-0.79775921276781236</v>
      </c>
      <c r="H609">
        <f t="shared" ca="1" si="63"/>
        <v>0.39961141395934352</v>
      </c>
      <c r="I609">
        <f t="shared" ca="1" si="64"/>
        <v>-0.79775921276781236</v>
      </c>
      <c r="J609">
        <f t="shared" ca="1" si="65"/>
        <v>-0.33400130397603228</v>
      </c>
      <c r="K609">
        <f t="shared" ca="1" si="66"/>
        <v>14.58045531315279</v>
      </c>
      <c r="L609">
        <f t="shared" ca="1" si="67"/>
        <v>18.192000191958396</v>
      </c>
      <c r="M609">
        <f t="shared" ca="1" si="68"/>
        <v>0</v>
      </c>
      <c r="N609">
        <f t="shared" ca="1" si="69"/>
        <v>0</v>
      </c>
    </row>
    <row r="610" spans="6:14" x14ac:dyDescent="0.75">
      <c r="F610">
        <v>605</v>
      </c>
      <c r="G610">
        <f t="shared" ca="1" si="63"/>
        <v>0.22262832741347352</v>
      </c>
      <c r="H610">
        <f t="shared" ca="1" si="63"/>
        <v>1.7013564354032109</v>
      </c>
      <c r="I610">
        <f t="shared" ca="1" si="64"/>
        <v>0.22262832741347352</v>
      </c>
      <c r="J610">
        <f t="shared" ca="1" si="65"/>
        <v>1.2923127504491612</v>
      </c>
      <c r="K610">
        <f t="shared" ca="1" si="66"/>
        <v>18.8173410271005</v>
      </c>
      <c r="L610">
        <f t="shared" ca="1" si="67"/>
        <v>27.318399817852686</v>
      </c>
      <c r="M610">
        <f t="shared" ca="1" si="68"/>
        <v>2.6728834885908199</v>
      </c>
      <c r="N610">
        <f t="shared" ca="1" si="69"/>
        <v>3.0678704224765951</v>
      </c>
    </row>
    <row r="611" spans="6:14" x14ac:dyDescent="0.75">
      <c r="F611">
        <v>606</v>
      </c>
      <c r="G611">
        <f t="shared" ca="1" si="63"/>
        <v>0.57263027541725009</v>
      </c>
      <c r="H611">
        <f t="shared" ca="1" si="63"/>
        <v>-0.58936897779167186</v>
      </c>
      <c r="I611">
        <f t="shared" ca="1" si="64"/>
        <v>0.57263027541725009</v>
      </c>
      <c r="J611">
        <f t="shared" ca="1" si="65"/>
        <v>3.9641770139659194E-2</v>
      </c>
      <c r="K611">
        <f t="shared" ca="1" si="66"/>
        <v>20.538051303461767</v>
      </c>
      <c r="L611">
        <f t="shared" ca="1" si="67"/>
        <v>19.973226786830597</v>
      </c>
      <c r="M611">
        <f t="shared" ca="1" si="68"/>
        <v>0.2536701968705799</v>
      </c>
      <c r="N611">
        <f t="shared" ca="1" si="69"/>
        <v>0.2556390451461823</v>
      </c>
    </row>
    <row r="612" spans="6:14" x14ac:dyDescent="0.75">
      <c r="F612">
        <v>607</v>
      </c>
      <c r="G612">
        <f t="shared" ca="1" si="63"/>
        <v>0.19625429330672903</v>
      </c>
      <c r="H612">
        <f t="shared" ca="1" si="63"/>
        <v>-0.3518966461657218</v>
      </c>
      <c r="I612">
        <f t="shared" ca="1" si="64"/>
        <v>0.19625429330672903</v>
      </c>
      <c r="J612">
        <f t="shared" ca="1" si="65"/>
        <v>-8.5567033258000941E-2</v>
      </c>
      <c r="K612">
        <f t="shared" ca="1" si="66"/>
        <v>18.693676866953908</v>
      </c>
      <c r="L612">
        <f t="shared" ca="1" si="67"/>
        <v>19.357704686527374</v>
      </c>
      <c r="M612">
        <f t="shared" ca="1" si="68"/>
        <v>0</v>
      </c>
      <c r="N612">
        <f t="shared" ca="1" si="69"/>
        <v>0</v>
      </c>
    </row>
    <row r="613" spans="6:14" x14ac:dyDescent="0.75">
      <c r="F613">
        <v>608</v>
      </c>
      <c r="G613">
        <f t="shared" ca="1" si="63"/>
        <v>-0.58101018283428618</v>
      </c>
      <c r="H613">
        <f t="shared" ca="1" si="63"/>
        <v>-0.16195885672490021</v>
      </c>
      <c r="I613">
        <f t="shared" ca="1" si="64"/>
        <v>-0.58101018283428618</v>
      </c>
      <c r="J613">
        <f t="shared" ca="1" si="65"/>
        <v>-0.54288335150532141</v>
      </c>
      <c r="K613">
        <f t="shared" ca="1" si="66"/>
        <v>15.392328134220834</v>
      </c>
      <c r="L613">
        <f t="shared" ca="1" si="67"/>
        <v>17.266383065382819</v>
      </c>
      <c r="M613">
        <f t="shared" ca="1" si="68"/>
        <v>0</v>
      </c>
      <c r="N613">
        <f t="shared" ca="1" si="69"/>
        <v>0</v>
      </c>
    </row>
    <row r="614" spans="6:14" x14ac:dyDescent="0.75">
      <c r="F614">
        <v>609</v>
      </c>
      <c r="G614">
        <f t="shared" ca="1" si="63"/>
        <v>-2.0804099673195164</v>
      </c>
      <c r="H614">
        <f t="shared" ca="1" si="63"/>
        <v>1.5092026242547396</v>
      </c>
      <c r="I614">
        <f t="shared" ca="1" si="64"/>
        <v>-2.0804099673195164</v>
      </c>
      <c r="J614">
        <f t="shared" ca="1" si="65"/>
        <v>-0.56206377004361274</v>
      </c>
      <c r="K614">
        <f t="shared" ca="1" si="66"/>
        <v>10.580569638684711</v>
      </c>
      <c r="L614">
        <f t="shared" ca="1" si="67"/>
        <v>17.183787138241023</v>
      </c>
      <c r="M614">
        <f t="shared" ca="1" si="68"/>
        <v>0</v>
      </c>
      <c r="N614">
        <f t="shared" ca="1" si="69"/>
        <v>0</v>
      </c>
    </row>
    <row r="615" spans="6:14" x14ac:dyDescent="0.75">
      <c r="F615">
        <v>610</v>
      </c>
      <c r="G615">
        <f t="shared" ca="1" si="63"/>
        <v>-0.58575998221929459</v>
      </c>
      <c r="H615">
        <f t="shared" ca="1" si="63"/>
        <v>-0.76271986453116158</v>
      </c>
      <c r="I615">
        <f t="shared" ca="1" si="64"/>
        <v>-0.58575998221929459</v>
      </c>
      <c r="J615">
        <f t="shared" ca="1" si="65"/>
        <v>-0.94381175705405285</v>
      </c>
      <c r="K615">
        <f t="shared" ca="1" si="66"/>
        <v>15.374061364127462</v>
      </c>
      <c r="L615">
        <f t="shared" ca="1" si="67"/>
        <v>15.619643709972536</v>
      </c>
      <c r="M615">
        <f t="shared" ca="1" si="68"/>
        <v>0</v>
      </c>
      <c r="N615">
        <f t="shared" ca="1" si="69"/>
        <v>0</v>
      </c>
    </row>
    <row r="616" spans="6:14" x14ac:dyDescent="0.75">
      <c r="F616">
        <v>611</v>
      </c>
      <c r="G616">
        <f t="shared" ca="1" si="63"/>
        <v>0.12892476886104887</v>
      </c>
      <c r="H616">
        <f t="shared" ca="1" si="63"/>
        <v>-1.319968452364535</v>
      </c>
      <c r="I616">
        <f t="shared" ca="1" si="64"/>
        <v>0.12892476886104887</v>
      </c>
      <c r="J616">
        <f t="shared" ca="1" si="65"/>
        <v>-0.77638348920605504</v>
      </c>
      <c r="K616">
        <f t="shared" ca="1" si="66"/>
        <v>18.381651208085355</v>
      </c>
      <c r="L616">
        <f t="shared" ca="1" si="67"/>
        <v>16.28731202381439</v>
      </c>
      <c r="M616">
        <f t="shared" ca="1" si="68"/>
        <v>0</v>
      </c>
      <c r="N616">
        <f t="shared" ca="1" si="69"/>
        <v>0</v>
      </c>
    </row>
    <row r="617" spans="6:14" x14ac:dyDescent="0.75">
      <c r="F617">
        <v>612</v>
      </c>
      <c r="G617">
        <f t="shared" ca="1" si="63"/>
        <v>0.63713891032960746</v>
      </c>
      <c r="H617">
        <f t="shared" ca="1" si="63"/>
        <v>6.3975699935409358E-2</v>
      </c>
      <c r="I617">
        <f t="shared" ca="1" si="64"/>
        <v>0.63713891032960746</v>
      </c>
      <c r="J617">
        <f t="shared" ca="1" si="65"/>
        <v>0.52017013074230167</v>
      </c>
      <c r="K617">
        <f t="shared" ca="1" si="66"/>
        <v>20.871956954552864</v>
      </c>
      <c r="L617">
        <f t="shared" ca="1" si="67"/>
        <v>22.522725151713487</v>
      </c>
      <c r="M617">
        <f t="shared" ca="1" si="68"/>
        <v>1.6816362358976278</v>
      </c>
      <c r="N617">
        <f t="shared" ca="1" si="69"/>
        <v>1.6973410531331758</v>
      </c>
    </row>
    <row r="618" spans="6:14" x14ac:dyDescent="0.75">
      <c r="F618">
        <v>613</v>
      </c>
      <c r="G618">
        <f t="shared" ca="1" si="63"/>
        <v>-5.0470198170896145E-2</v>
      </c>
      <c r="H618">
        <f t="shared" ca="1" si="63"/>
        <v>-0.9275713568277868</v>
      </c>
      <c r="I618">
        <f t="shared" ca="1" si="64"/>
        <v>-5.0470198170896145E-2</v>
      </c>
      <c r="J618">
        <f t="shared" ca="1" si="65"/>
        <v>-0.65138343198644166</v>
      </c>
      <c r="K618">
        <f t="shared" ca="1" si="66"/>
        <v>17.575470500589489</v>
      </c>
      <c r="L618">
        <f t="shared" ca="1" si="67"/>
        <v>16.804327046835638</v>
      </c>
      <c r="M618">
        <f t="shared" ca="1" si="68"/>
        <v>0</v>
      </c>
      <c r="N618">
        <f t="shared" ca="1" si="69"/>
        <v>0</v>
      </c>
    </row>
    <row r="619" spans="6:14" x14ac:dyDescent="0.75">
      <c r="F619">
        <v>614</v>
      </c>
      <c r="G619">
        <f t="shared" ca="1" si="63"/>
        <v>-7.3700810818232418E-2</v>
      </c>
      <c r="H619">
        <f t="shared" ca="1" si="63"/>
        <v>0.52774724973104381</v>
      </c>
      <c r="I619">
        <f t="shared" ca="1" si="64"/>
        <v>-7.3700810818232418E-2</v>
      </c>
      <c r="J619">
        <f t="shared" ca="1" si="65"/>
        <v>0.29379638635798594</v>
      </c>
      <c r="K619">
        <f t="shared" ca="1" si="66"/>
        <v>17.473694090876343</v>
      </c>
      <c r="L619">
        <f t="shared" ca="1" si="67"/>
        <v>21.283483941821267</v>
      </c>
      <c r="M619">
        <f t="shared" ca="1" si="68"/>
        <v>0</v>
      </c>
      <c r="N619">
        <f t="shared" ca="1" si="69"/>
        <v>0</v>
      </c>
    </row>
    <row r="620" spans="6:14" x14ac:dyDescent="0.75">
      <c r="F620">
        <v>615</v>
      </c>
      <c r="G620">
        <f t="shared" ca="1" si="63"/>
        <v>-1.1166604297005702</v>
      </c>
      <c r="H620">
        <f t="shared" ca="1" si="63"/>
        <v>-0.49489045489187528</v>
      </c>
      <c r="I620">
        <f t="shared" ca="1" si="64"/>
        <v>-1.1166604297005702</v>
      </c>
      <c r="J620">
        <f t="shared" ca="1" si="65"/>
        <v>-1.1648345897413104</v>
      </c>
      <c r="K620">
        <f t="shared" ca="1" si="66"/>
        <v>13.463154400949815</v>
      </c>
      <c r="L620">
        <f t="shared" ca="1" si="67"/>
        <v>14.779980942659707</v>
      </c>
      <c r="M620">
        <f t="shared" ca="1" si="68"/>
        <v>0</v>
      </c>
      <c r="N620">
        <f t="shared" ca="1" si="69"/>
        <v>0</v>
      </c>
    </row>
    <row r="621" spans="6:14" x14ac:dyDescent="0.75">
      <c r="F621">
        <v>616</v>
      </c>
      <c r="G621">
        <f t="shared" ca="1" si="63"/>
        <v>1.3791021299451922</v>
      </c>
      <c r="H621">
        <f t="shared" ca="1" si="63"/>
        <v>0.45810809391527346</v>
      </c>
      <c r="I621">
        <f t="shared" ca="1" si="64"/>
        <v>1.3791021299451922</v>
      </c>
      <c r="J621">
        <f t="shared" ca="1" si="65"/>
        <v>1.3373366199803032</v>
      </c>
      <c r="K621">
        <f t="shared" ca="1" si="66"/>
        <v>25.125852355038539</v>
      </c>
      <c r="L621">
        <f t="shared" ca="1" si="67"/>
        <v>27.627631923513505</v>
      </c>
      <c r="M621">
        <f t="shared" ca="1" si="68"/>
        <v>6.3470643645463802</v>
      </c>
      <c r="N621">
        <f t="shared" ca="1" si="69"/>
        <v>6.376742139276022</v>
      </c>
    </row>
    <row r="622" spans="6:14" x14ac:dyDescent="0.75">
      <c r="F622">
        <v>617</v>
      </c>
      <c r="G622">
        <f t="shared" ca="1" si="63"/>
        <v>0.33669535861610633</v>
      </c>
      <c r="H622">
        <f t="shared" ca="1" si="63"/>
        <v>-1.9566730222394775</v>
      </c>
      <c r="I622">
        <f t="shared" ca="1" si="64"/>
        <v>0.33669535861610633</v>
      </c>
      <c r="J622">
        <f t="shared" ca="1" si="65"/>
        <v>-1.0416960345166233</v>
      </c>
      <c r="K622">
        <f t="shared" ca="1" si="66"/>
        <v>19.361675016442646</v>
      </c>
      <c r="L622">
        <f t="shared" ca="1" si="67"/>
        <v>15.24205318980923</v>
      </c>
      <c r="M622">
        <f t="shared" ca="1" si="68"/>
        <v>0</v>
      </c>
      <c r="N622">
        <f t="shared" ca="1" si="69"/>
        <v>0</v>
      </c>
    </row>
    <row r="623" spans="6:14" x14ac:dyDescent="0.75">
      <c r="F623">
        <v>618</v>
      </c>
      <c r="G623">
        <f t="shared" ca="1" si="63"/>
        <v>-0.21007847449841952</v>
      </c>
      <c r="H623">
        <f t="shared" ca="1" si="63"/>
        <v>0.27201410420101479</v>
      </c>
      <c r="I623">
        <f t="shared" ca="1" si="64"/>
        <v>-0.21007847449841952</v>
      </c>
      <c r="J623">
        <f t="shared" ca="1" si="65"/>
        <v>2.236156233065914E-2</v>
      </c>
      <c r="K623">
        <f t="shared" ca="1" si="66"/>
        <v>16.887980219528508</v>
      </c>
      <c r="L623">
        <f t="shared" ca="1" si="67"/>
        <v>19.887127520015024</v>
      </c>
      <c r="M623">
        <f t="shared" ca="1" si="68"/>
        <v>0</v>
      </c>
      <c r="N623">
        <f t="shared" ca="1" si="69"/>
        <v>0</v>
      </c>
    </row>
    <row r="624" spans="6:14" x14ac:dyDescent="0.75">
      <c r="F624">
        <v>619</v>
      </c>
      <c r="G624">
        <f t="shared" ca="1" si="63"/>
        <v>-0.58600721041660053</v>
      </c>
      <c r="H624">
        <f t="shared" ca="1" si="63"/>
        <v>1.07749086000081</v>
      </c>
      <c r="I624">
        <f t="shared" ca="1" si="64"/>
        <v>-0.58600721041660053</v>
      </c>
      <c r="J624">
        <f t="shared" ca="1" si="65"/>
        <v>0.27318780606436366</v>
      </c>
      <c r="K624">
        <f t="shared" ca="1" si="66"/>
        <v>15.373111168123089</v>
      </c>
      <c r="L624">
        <f t="shared" ca="1" si="67"/>
        <v>21.174110341154183</v>
      </c>
      <c r="M624">
        <f t="shared" ca="1" si="68"/>
        <v>0</v>
      </c>
      <c r="N624">
        <f t="shared" ca="1" si="69"/>
        <v>0</v>
      </c>
    </row>
    <row r="625" spans="6:14" x14ac:dyDescent="0.75">
      <c r="F625">
        <v>620</v>
      </c>
      <c r="G625">
        <f t="shared" ca="1" si="63"/>
        <v>0.61584710039449797</v>
      </c>
      <c r="H625">
        <f t="shared" ca="1" si="63"/>
        <v>-0.29530529554965829</v>
      </c>
      <c r="I625">
        <f t="shared" ca="1" si="64"/>
        <v>0.61584710039449797</v>
      </c>
      <c r="J625">
        <f t="shared" ca="1" si="65"/>
        <v>0.26655923207966725</v>
      </c>
      <c r="K625">
        <f t="shared" ca="1" si="66"/>
        <v>20.761151686656262</v>
      </c>
      <c r="L625">
        <f t="shared" ca="1" si="67"/>
        <v>21.13905085923443</v>
      </c>
      <c r="M625">
        <f t="shared" ca="1" si="68"/>
        <v>0.9492491846487745</v>
      </c>
      <c r="N625">
        <f t="shared" ca="1" si="69"/>
        <v>0.95010127294534641</v>
      </c>
    </row>
    <row r="626" spans="6:14" x14ac:dyDescent="0.75">
      <c r="F626">
        <v>621</v>
      </c>
      <c r="G626">
        <f t="shared" ca="1" si="63"/>
        <v>-0.61449410455043108</v>
      </c>
      <c r="H626">
        <f t="shared" ca="1" si="63"/>
        <v>-1.0281925340361988</v>
      </c>
      <c r="I626">
        <f t="shared" ca="1" si="64"/>
        <v>-0.61449410455043108</v>
      </c>
      <c r="J626">
        <f t="shared" ca="1" si="65"/>
        <v>-1.1409560146510975</v>
      </c>
      <c r="K626">
        <f t="shared" ca="1" si="66"/>
        <v>15.264017050700808</v>
      </c>
      <c r="L626">
        <f t="shared" ca="1" si="67"/>
        <v>14.868476043159749</v>
      </c>
      <c r="M626">
        <f t="shared" ca="1" si="68"/>
        <v>0</v>
      </c>
      <c r="N626">
        <f t="shared" ca="1" si="69"/>
        <v>0</v>
      </c>
    </row>
    <row r="627" spans="6:14" x14ac:dyDescent="0.75">
      <c r="F627">
        <v>622</v>
      </c>
      <c r="G627">
        <f t="shared" ca="1" si="63"/>
        <v>-0.94719777990187604</v>
      </c>
      <c r="H627">
        <f t="shared" ca="1" si="63"/>
        <v>-1.1928301366925245</v>
      </c>
      <c r="I627">
        <f t="shared" ca="1" si="64"/>
        <v>-0.94719777990187604</v>
      </c>
      <c r="J627">
        <f t="shared" ca="1" si="65"/>
        <v>-1.4993813094343074</v>
      </c>
      <c r="K627">
        <f t="shared" ca="1" si="66"/>
        <v>14.045784468366245</v>
      </c>
      <c r="L627">
        <f t="shared" ca="1" si="67"/>
        <v>13.59411456080425</v>
      </c>
      <c r="M627">
        <f t="shared" ca="1" si="68"/>
        <v>0</v>
      </c>
      <c r="N627">
        <f t="shared" ca="1" si="69"/>
        <v>0</v>
      </c>
    </row>
    <row r="628" spans="6:14" x14ac:dyDescent="0.75">
      <c r="F628">
        <v>623</v>
      </c>
      <c r="G628">
        <f t="shared" ca="1" si="63"/>
        <v>-0.66874690864946962</v>
      </c>
      <c r="H628">
        <f t="shared" ca="1" si="63"/>
        <v>0.49171509814788977</v>
      </c>
      <c r="I628">
        <f t="shared" ca="1" si="64"/>
        <v>-0.66874690864946962</v>
      </c>
      <c r="J628">
        <f t="shared" ca="1" si="65"/>
        <v>-0.17632121508834392</v>
      </c>
      <c r="K628">
        <f t="shared" ca="1" si="66"/>
        <v>15.058385780449434</v>
      </c>
      <c r="L628">
        <f t="shared" ca="1" si="67"/>
        <v>18.92345143928495</v>
      </c>
      <c r="M628">
        <f t="shared" ca="1" si="68"/>
        <v>0</v>
      </c>
      <c r="N628">
        <f t="shared" ca="1" si="69"/>
        <v>0</v>
      </c>
    </row>
    <row r="629" spans="6:14" x14ac:dyDescent="0.75">
      <c r="F629">
        <v>624</v>
      </c>
      <c r="G629">
        <f t="shared" ca="1" si="63"/>
        <v>-3.3542282253593313E-2</v>
      </c>
      <c r="H629">
        <f t="shared" ca="1" si="63"/>
        <v>0.36485771029913755</v>
      </c>
      <c r="I629">
        <f t="shared" ca="1" si="64"/>
        <v>-3.3542282253593313E-2</v>
      </c>
      <c r="J629">
        <f t="shared" ca="1" si="65"/>
        <v>0.21617397965379698</v>
      </c>
      <c r="K629">
        <f t="shared" ca="1" si="66"/>
        <v>17.650007129780018</v>
      </c>
      <c r="L629">
        <f t="shared" ca="1" si="67"/>
        <v>20.874446772455553</v>
      </c>
      <c r="M629">
        <f t="shared" ca="1" si="68"/>
        <v>0</v>
      </c>
      <c r="N629">
        <f t="shared" ca="1" si="69"/>
        <v>0</v>
      </c>
    </row>
    <row r="630" spans="6:14" x14ac:dyDescent="0.75">
      <c r="F630">
        <v>625</v>
      </c>
      <c r="G630">
        <f t="shared" ca="1" si="63"/>
        <v>-6.4350454028482731E-2</v>
      </c>
      <c r="H630">
        <f t="shared" ca="1" si="63"/>
        <v>-0.72091150744376198</v>
      </c>
      <c r="I630">
        <f t="shared" ca="1" si="64"/>
        <v>-6.4350454028482731E-2</v>
      </c>
      <c r="J630">
        <f t="shared" ca="1" si="65"/>
        <v>-0.52510098201658295</v>
      </c>
      <c r="K630">
        <f t="shared" ca="1" si="66"/>
        <v>17.514588187600324</v>
      </c>
      <c r="L630">
        <f t="shared" ca="1" si="67"/>
        <v>17.343313239632007</v>
      </c>
      <c r="M630">
        <f t="shared" ca="1" si="68"/>
        <v>0</v>
      </c>
      <c r="N630">
        <f t="shared" ca="1" si="69"/>
        <v>0</v>
      </c>
    </row>
    <row r="631" spans="6:14" x14ac:dyDescent="0.75">
      <c r="F631">
        <v>626</v>
      </c>
      <c r="G631">
        <f t="shared" ca="1" si="63"/>
        <v>-0.25914063516232017</v>
      </c>
      <c r="H631">
        <f t="shared" ca="1" si="63"/>
        <v>2.624327965406258E-2</v>
      </c>
      <c r="I631">
        <f t="shared" ca="1" si="64"/>
        <v>-0.25914063516232017</v>
      </c>
      <c r="J631">
        <f t="shared" ca="1" si="65"/>
        <v>-0.17699717848389743</v>
      </c>
      <c r="K631">
        <f t="shared" ca="1" si="66"/>
        <v>16.682105185115407</v>
      </c>
      <c r="L631">
        <f t="shared" ca="1" si="67"/>
        <v>18.92025381935419</v>
      </c>
      <c r="M631">
        <f t="shared" ca="1" si="68"/>
        <v>0</v>
      </c>
      <c r="N631">
        <f t="shared" ca="1" si="69"/>
        <v>0</v>
      </c>
    </row>
    <row r="632" spans="6:14" x14ac:dyDescent="0.75">
      <c r="F632">
        <v>627</v>
      </c>
      <c r="G632">
        <f t="shared" ca="1" si="63"/>
        <v>-0.84013456537965592</v>
      </c>
      <c r="H632">
        <f t="shared" ca="1" si="63"/>
        <v>-0.47940265160354395</v>
      </c>
      <c r="I632">
        <f t="shared" ca="1" si="64"/>
        <v>-0.84013456537965592</v>
      </c>
      <c r="J632">
        <f t="shared" ca="1" si="65"/>
        <v>-0.94719597253672139</v>
      </c>
      <c r="K632">
        <f t="shared" ca="1" si="66"/>
        <v>14.42680762571513</v>
      </c>
      <c r="L632">
        <f t="shared" ca="1" si="67"/>
        <v>15.60643423870337</v>
      </c>
      <c r="M632">
        <f t="shared" ca="1" si="68"/>
        <v>0</v>
      </c>
      <c r="N632">
        <f t="shared" ca="1" si="69"/>
        <v>0</v>
      </c>
    </row>
    <row r="633" spans="6:14" x14ac:dyDescent="0.75">
      <c r="F633">
        <v>628</v>
      </c>
      <c r="G633">
        <f t="shared" ca="1" si="63"/>
        <v>-1.4614496751586943</v>
      </c>
      <c r="H633">
        <f t="shared" ca="1" si="63"/>
        <v>1.3796176501629456</v>
      </c>
      <c r="I633">
        <f t="shared" ca="1" si="64"/>
        <v>-1.4614496751586943</v>
      </c>
      <c r="J633">
        <f t="shared" ca="1" si="65"/>
        <v>-0.18355595469740493</v>
      </c>
      <c r="K633">
        <f t="shared" ca="1" si="66"/>
        <v>12.351275524865875</v>
      </c>
      <c r="L633">
        <f t="shared" ca="1" si="67"/>
        <v>18.889255812247267</v>
      </c>
      <c r="M633">
        <f t="shared" ca="1" si="68"/>
        <v>0</v>
      </c>
      <c r="N633">
        <f t="shared" ca="1" si="69"/>
        <v>0</v>
      </c>
    </row>
    <row r="634" spans="6:14" x14ac:dyDescent="0.75">
      <c r="F634">
        <v>629</v>
      </c>
      <c r="G634">
        <f t="shared" ca="1" si="63"/>
        <v>-1.7568591145538119</v>
      </c>
      <c r="H634">
        <f t="shared" ca="1" si="63"/>
        <v>-0.45857918634391515</v>
      </c>
      <c r="I634">
        <f t="shared" ca="1" si="64"/>
        <v>-1.7568591145538119</v>
      </c>
      <c r="J634">
        <f t="shared" ca="1" si="65"/>
        <v>-1.6209659567894457</v>
      </c>
      <c r="K634">
        <f t="shared" ca="1" si="66"/>
        <v>11.471973561664395</v>
      </c>
      <c r="L634">
        <f t="shared" ca="1" si="67"/>
        <v>13.187122488428056</v>
      </c>
      <c r="M634">
        <f t="shared" ca="1" si="68"/>
        <v>0</v>
      </c>
      <c r="N634">
        <f t="shared" ca="1" si="69"/>
        <v>0</v>
      </c>
    </row>
    <row r="635" spans="6:14" x14ac:dyDescent="0.75">
      <c r="F635">
        <v>630</v>
      </c>
      <c r="G635">
        <f t="shared" ca="1" si="63"/>
        <v>-0.89901165823784901</v>
      </c>
      <c r="H635">
        <f t="shared" ca="1" si="63"/>
        <v>-1.6942524647579538</v>
      </c>
      <c r="I635">
        <f t="shared" ca="1" si="64"/>
        <v>-0.89901165823784901</v>
      </c>
      <c r="J635">
        <f t="shared" ca="1" si="65"/>
        <v>-1.7949014136553294</v>
      </c>
      <c r="K635">
        <f t="shared" ca="1" si="66"/>
        <v>14.216010697321575</v>
      </c>
      <c r="L635">
        <f t="shared" ca="1" si="67"/>
        <v>12.625984093708615</v>
      </c>
      <c r="M635">
        <f t="shared" ca="1" si="68"/>
        <v>0</v>
      </c>
      <c r="N635">
        <f t="shared" ca="1" si="69"/>
        <v>0</v>
      </c>
    </row>
    <row r="636" spans="6:14" x14ac:dyDescent="0.75">
      <c r="F636">
        <v>631</v>
      </c>
      <c r="G636">
        <f t="shared" ca="1" si="63"/>
        <v>0.11319353771587426</v>
      </c>
      <c r="H636">
        <f t="shared" ca="1" si="63"/>
        <v>-1.4349123249268327E-2</v>
      </c>
      <c r="I636">
        <f t="shared" ca="1" si="64"/>
        <v>0.11319353771587426</v>
      </c>
      <c r="J636">
        <f t="shared" ca="1" si="65"/>
        <v>7.5404100374560926E-2</v>
      </c>
      <c r="K636">
        <f t="shared" ca="1" si="66"/>
        <v>18.309501675206175</v>
      </c>
      <c r="L636">
        <f t="shared" ca="1" si="67"/>
        <v>20.152599724328969</v>
      </c>
      <c r="M636">
        <f t="shared" ca="1" si="68"/>
        <v>0</v>
      </c>
      <c r="N636">
        <f t="shared" ca="1" si="69"/>
        <v>0</v>
      </c>
    </row>
    <row r="637" spans="6:14" x14ac:dyDescent="0.75">
      <c r="F637">
        <v>632</v>
      </c>
      <c r="G637">
        <f t="shared" ca="1" si="63"/>
        <v>5.4579834403293758E-3</v>
      </c>
      <c r="H637">
        <f t="shared" ca="1" si="63"/>
        <v>0.39440622914909124</v>
      </c>
      <c r="I637">
        <f t="shared" ca="1" si="64"/>
        <v>5.4579834403293758E-3</v>
      </c>
      <c r="J637">
        <f t="shared" ca="1" si="65"/>
        <v>0.26496868704605941</v>
      </c>
      <c r="K637">
        <f t="shared" ca="1" si="66"/>
        <v>17.822937543229553</v>
      </c>
      <c r="L637">
        <f t="shared" ca="1" si="67"/>
        <v>21.130646877119329</v>
      </c>
      <c r="M637">
        <f t="shared" ca="1" si="68"/>
        <v>0</v>
      </c>
      <c r="N637">
        <f t="shared" ca="1" si="69"/>
        <v>0</v>
      </c>
    </row>
    <row r="638" spans="6:14" x14ac:dyDescent="0.75">
      <c r="F638">
        <v>633</v>
      </c>
      <c r="G638">
        <f t="shared" ca="1" si="63"/>
        <v>-4.7644147263840635E-2</v>
      </c>
      <c r="H638">
        <f t="shared" ca="1" si="63"/>
        <v>-1.3805433439418646</v>
      </c>
      <c r="I638">
        <f t="shared" ca="1" si="64"/>
        <v>-4.7644147263840635E-2</v>
      </c>
      <c r="J638">
        <f t="shared" ca="1" si="65"/>
        <v>-0.9488767010018011</v>
      </c>
      <c r="K638">
        <f t="shared" ca="1" si="66"/>
        <v>17.587892181698216</v>
      </c>
      <c r="L638">
        <f t="shared" ca="1" si="67"/>
        <v>15.599878071626064</v>
      </c>
      <c r="M638">
        <f t="shared" ca="1" si="68"/>
        <v>0</v>
      </c>
      <c r="N638">
        <f t="shared" ca="1" si="69"/>
        <v>0</v>
      </c>
    </row>
    <row r="639" spans="6:14" x14ac:dyDescent="0.75">
      <c r="F639">
        <v>634</v>
      </c>
      <c r="G639">
        <f t="shared" ca="1" si="63"/>
        <v>-2.1669545318140044</v>
      </c>
      <c r="H639">
        <f t="shared" ca="1" si="63"/>
        <v>1.6799839958464597</v>
      </c>
      <c r="I639">
        <f t="shared" ca="1" si="64"/>
        <v>-2.1669545318140044</v>
      </c>
      <c r="J639">
        <f t="shared" ca="1" si="65"/>
        <v>-0.51401093396592801</v>
      </c>
      <c r="K639">
        <f t="shared" ca="1" si="66"/>
        <v>10.354105678256724</v>
      </c>
      <c r="L639">
        <f t="shared" ca="1" si="67"/>
        <v>17.391464503062238</v>
      </c>
      <c r="M639">
        <f t="shared" ca="1" si="68"/>
        <v>0</v>
      </c>
      <c r="N639">
        <f t="shared" ca="1" si="69"/>
        <v>0</v>
      </c>
    </row>
    <row r="640" spans="6:14" x14ac:dyDescent="0.75">
      <c r="F640">
        <v>635</v>
      </c>
      <c r="G640">
        <f t="shared" ca="1" si="63"/>
        <v>-0.78132285324526229</v>
      </c>
      <c r="H640">
        <f t="shared" ca="1" si="63"/>
        <v>4.0788502880940249E-2</v>
      </c>
      <c r="I640">
        <f t="shared" ca="1" si="64"/>
        <v>-0.78132285324526229</v>
      </c>
      <c r="J640">
        <f t="shared" ca="1" si="65"/>
        <v>-0.55901308119054438</v>
      </c>
      <c r="K640">
        <f t="shared" ca="1" si="66"/>
        <v>14.640490976029302</v>
      </c>
      <c r="L640">
        <f t="shared" ca="1" si="67"/>
        <v>17.196897734118142</v>
      </c>
      <c r="M640">
        <f t="shared" ca="1" si="68"/>
        <v>0</v>
      </c>
      <c r="N640">
        <f t="shared" ca="1" si="69"/>
        <v>0</v>
      </c>
    </row>
    <row r="641" spans="6:14" x14ac:dyDescent="0.75">
      <c r="F641">
        <v>636</v>
      </c>
      <c r="G641">
        <f t="shared" ca="1" si="63"/>
        <v>0.34748078960898171</v>
      </c>
      <c r="H641">
        <f t="shared" ca="1" si="63"/>
        <v>-2.1681495396839345</v>
      </c>
      <c r="I641">
        <f t="shared" ca="1" si="64"/>
        <v>0.34748078960898171</v>
      </c>
      <c r="J641">
        <f t="shared" ca="1" si="65"/>
        <v>-1.1734855295939783</v>
      </c>
      <c r="K641">
        <f t="shared" ca="1" si="66"/>
        <v>19.413951465223274</v>
      </c>
      <c r="L641">
        <f t="shared" ca="1" si="67"/>
        <v>14.748050302322293</v>
      </c>
      <c r="M641">
        <f t="shared" ca="1" si="68"/>
        <v>0</v>
      </c>
      <c r="N641">
        <f t="shared" ca="1" si="69"/>
        <v>0</v>
      </c>
    </row>
    <row r="642" spans="6:14" x14ac:dyDescent="0.75">
      <c r="F642">
        <v>637</v>
      </c>
      <c r="G642">
        <f t="shared" ca="1" si="63"/>
        <v>-1.2505529255116388</v>
      </c>
      <c r="H642">
        <f t="shared" ca="1" si="63"/>
        <v>0.56380979336009973</v>
      </c>
      <c r="I642">
        <f t="shared" ca="1" si="64"/>
        <v>-1.2505529255116388</v>
      </c>
      <c r="J642">
        <f t="shared" ca="1" si="65"/>
        <v>-0.56498956914034415</v>
      </c>
      <c r="K642">
        <f t="shared" ca="1" si="66"/>
        <v>13.019959504449545</v>
      </c>
      <c r="L642">
        <f t="shared" ca="1" si="67"/>
        <v>17.171222656722922</v>
      </c>
      <c r="M642">
        <f t="shared" ca="1" si="68"/>
        <v>0</v>
      </c>
      <c r="N642">
        <f t="shared" ca="1" si="69"/>
        <v>0</v>
      </c>
    </row>
    <row r="643" spans="6:14" x14ac:dyDescent="0.75">
      <c r="F643">
        <v>638</v>
      </c>
      <c r="G643">
        <f t="shared" ca="1" si="63"/>
        <v>4.0403522940738297E-2</v>
      </c>
      <c r="H643">
        <f t="shared" ca="1" si="63"/>
        <v>2.1137020916070202</v>
      </c>
      <c r="I643">
        <f t="shared" ca="1" si="64"/>
        <v>4.0403522940738297E-2</v>
      </c>
      <c r="J643">
        <f t="shared" ca="1" si="65"/>
        <v>1.428385162222864</v>
      </c>
      <c r="K643">
        <f t="shared" ca="1" si="66"/>
        <v>17.979327732958243</v>
      </c>
      <c r="L643">
        <f t="shared" ca="1" si="67"/>
        <v>28.263707583662779</v>
      </c>
      <c r="M643">
        <f t="shared" ca="1" si="68"/>
        <v>2.5424590849172972</v>
      </c>
      <c r="N643">
        <f t="shared" ca="1" si="69"/>
        <v>3.1215176583105091</v>
      </c>
    </row>
    <row r="644" spans="6:14" x14ac:dyDescent="0.75">
      <c r="F644">
        <v>639</v>
      </c>
      <c r="G644">
        <f t="shared" ca="1" si="63"/>
        <v>1.8141229713937885</v>
      </c>
      <c r="H644">
        <f t="shared" ca="1" si="63"/>
        <v>-0.23191311383482627</v>
      </c>
      <c r="I644">
        <f t="shared" ca="1" si="64"/>
        <v>1.8141229713937885</v>
      </c>
      <c r="J644">
        <f t="shared" ca="1" si="65"/>
        <v>1.2071961222999505</v>
      </c>
      <c r="K644">
        <f t="shared" ca="1" si="66"/>
        <v>28.012546546100751</v>
      </c>
      <c r="L644">
        <f t="shared" ca="1" si="67"/>
        <v>26.743228580744869</v>
      </c>
      <c r="M644">
        <f t="shared" ca="1" si="68"/>
        <v>7.3705304188853376</v>
      </c>
      <c r="N644">
        <f t="shared" ca="1" si="69"/>
        <v>7.37788756342281</v>
      </c>
    </row>
    <row r="645" spans="6:14" x14ac:dyDescent="0.75">
      <c r="F645">
        <v>640</v>
      </c>
      <c r="G645">
        <f t="shared" ca="1" si="63"/>
        <v>1.0166277888748889</v>
      </c>
      <c r="H645">
        <f t="shared" ca="1" si="63"/>
        <v>-1.3569350959368536</v>
      </c>
      <c r="I645">
        <f t="shared" ca="1" si="64"/>
        <v>1.0166277888748889</v>
      </c>
      <c r="J645">
        <f t="shared" ca="1" si="65"/>
        <v>-0.13505736061995488</v>
      </c>
      <c r="K645">
        <f t="shared" ca="1" si="66"/>
        <v>22.949099657222202</v>
      </c>
      <c r="L645">
        <f t="shared" ca="1" si="67"/>
        <v>19.119675455586737</v>
      </c>
      <c r="M645">
        <f t="shared" ca="1" si="68"/>
        <v>0.94706035328120564</v>
      </c>
      <c r="N645">
        <f t="shared" ca="1" si="69"/>
        <v>1.034387556404468</v>
      </c>
    </row>
    <row r="646" spans="6:14" x14ac:dyDescent="0.75">
      <c r="F646">
        <v>641</v>
      </c>
      <c r="G646">
        <f t="shared" ca="1" si="63"/>
        <v>-0.8724836921549266</v>
      </c>
      <c r="H646">
        <f t="shared" ca="1" si="63"/>
        <v>0.52110936442615674</v>
      </c>
      <c r="I646">
        <f t="shared" ca="1" si="64"/>
        <v>-0.8724836921549266</v>
      </c>
      <c r="J646">
        <f t="shared" ca="1" si="65"/>
        <v>-0.30968132308155999</v>
      </c>
      <c r="K646">
        <f t="shared" ca="1" si="66"/>
        <v>14.310604485613677</v>
      </c>
      <c r="L646">
        <f t="shared" ca="1" si="67"/>
        <v>18.302944394578002</v>
      </c>
      <c r="M646">
        <f t="shared" ca="1" si="68"/>
        <v>0</v>
      </c>
      <c r="N646">
        <f t="shared" ca="1" si="69"/>
        <v>0</v>
      </c>
    </row>
    <row r="647" spans="6:14" x14ac:dyDescent="0.75">
      <c r="F647">
        <v>642</v>
      </c>
      <c r="G647">
        <f t="shared" ref="G647:H710" ca="1" si="70">NORMSINV(RAND())</f>
        <v>-0.12155218669962961</v>
      </c>
      <c r="H647">
        <f t="shared" ca="1" si="70"/>
        <v>0.13223482858647717</v>
      </c>
      <c r="I647">
        <f t="shared" ref="I647:I710" ca="1" si="71">G647</f>
        <v>-0.12155218669962961</v>
      </c>
      <c r="J647">
        <f t="shared" ref="J647:J710" ca="1" si="72">G647*$C$8+SQRT(1-$C$8^2)*H647</f>
        <v>-3.6990222494538566E-3</v>
      </c>
      <c r="K647">
        <f t="shared" ref="K647:K710" ca="1" si="73">C$3*EXP(($C$5-0.5*C$4^2)*$C$6+C$4*SQRT($C$6)*I647)</f>
        <v>17.265904370934081</v>
      </c>
      <c r="L647">
        <f t="shared" ref="L647:L710" ca="1" si="74">D$3*EXP(($C$5-0.5*D$4^2)*$C$6+D$4*SQRT($C$6)*J647)</f>
        <v>19.757981138416525</v>
      </c>
      <c r="M647">
        <f t="shared" ref="M647:M710" ca="1" si="75">MAX(SQRT(K647*L647)-$C$7,0)</f>
        <v>0</v>
      </c>
      <c r="N647">
        <f t="shared" ref="N647:N710" ca="1" si="76">MAX((K647+L647)*0.5-$C$7,0)</f>
        <v>0</v>
      </c>
    </row>
    <row r="648" spans="6:14" x14ac:dyDescent="0.75">
      <c r="F648">
        <v>643</v>
      </c>
      <c r="G648">
        <f t="shared" ca="1" si="70"/>
        <v>-0.45298996386675777</v>
      </c>
      <c r="H648">
        <f t="shared" ca="1" si="70"/>
        <v>-1.3968752066735681</v>
      </c>
      <c r="I648">
        <f t="shared" ca="1" si="71"/>
        <v>-0.45298996386675777</v>
      </c>
      <c r="J648">
        <f t="shared" ca="1" si="72"/>
        <v>-1.2636885752626217</v>
      </c>
      <c r="K648">
        <f t="shared" ca="1" si="73"/>
        <v>15.892928580432173</v>
      </c>
      <c r="L648">
        <f t="shared" ca="1" si="74"/>
        <v>14.41919247206355</v>
      </c>
      <c r="M648">
        <f t="shared" ca="1" si="75"/>
        <v>0</v>
      </c>
      <c r="N648">
        <f t="shared" ca="1" si="76"/>
        <v>0</v>
      </c>
    </row>
    <row r="649" spans="6:14" x14ac:dyDescent="0.75">
      <c r="F649">
        <v>644</v>
      </c>
      <c r="G649">
        <f t="shared" ca="1" si="70"/>
        <v>-1.1991849163333506</v>
      </c>
      <c r="H649">
        <f t="shared" ca="1" si="70"/>
        <v>-0.58337740156775064</v>
      </c>
      <c r="I649">
        <f t="shared" ca="1" si="71"/>
        <v>-1.1991849163333506</v>
      </c>
      <c r="J649">
        <f t="shared" ca="1" si="72"/>
        <v>-1.2852565685108455</v>
      </c>
      <c r="K649">
        <f t="shared" ca="1" si="73"/>
        <v>13.188240071305955</v>
      </c>
      <c r="L649">
        <f t="shared" ca="1" si="74"/>
        <v>14.341653443610005</v>
      </c>
      <c r="M649">
        <f t="shared" ca="1" si="75"/>
        <v>0</v>
      </c>
      <c r="N649">
        <f t="shared" ca="1" si="76"/>
        <v>0</v>
      </c>
    </row>
    <row r="650" spans="6:14" x14ac:dyDescent="0.75">
      <c r="F650">
        <v>645</v>
      </c>
      <c r="G650">
        <f t="shared" ca="1" si="70"/>
        <v>2.082176787625531</v>
      </c>
      <c r="H650">
        <f t="shared" ca="1" si="70"/>
        <v>-0.45056302889411642</v>
      </c>
      <c r="I650">
        <f t="shared" ca="1" si="71"/>
        <v>2.082176787625531</v>
      </c>
      <c r="J650">
        <f t="shared" ca="1" si="72"/>
        <v>1.2636131596156877</v>
      </c>
      <c r="K650">
        <f t="shared" ca="1" si="73"/>
        <v>29.954092355283997</v>
      </c>
      <c r="L650">
        <f t="shared" ca="1" si="74"/>
        <v>27.123094579003645</v>
      </c>
      <c r="M650">
        <f t="shared" ca="1" si="75"/>
        <v>8.5034678588514545</v>
      </c>
      <c r="N650">
        <f t="shared" ca="1" si="76"/>
        <v>8.5385934671438193</v>
      </c>
    </row>
    <row r="651" spans="6:14" x14ac:dyDescent="0.75">
      <c r="F651">
        <v>646</v>
      </c>
      <c r="G651">
        <f t="shared" ca="1" si="70"/>
        <v>-0.25596273474052444</v>
      </c>
      <c r="H651">
        <f t="shared" ca="1" si="70"/>
        <v>1.2216579522477597</v>
      </c>
      <c r="I651">
        <f t="shared" ca="1" si="71"/>
        <v>-0.25596273474052444</v>
      </c>
      <c r="J651">
        <f t="shared" ca="1" si="72"/>
        <v>0.61607873115260503</v>
      </c>
      <c r="K651">
        <f t="shared" ca="1" si="73"/>
        <v>16.695363968580757</v>
      </c>
      <c r="L651">
        <f t="shared" ca="1" si="74"/>
        <v>23.069282168658013</v>
      </c>
      <c r="M651">
        <f t="shared" ca="1" si="75"/>
        <v>0</v>
      </c>
      <c r="N651">
        <f t="shared" ca="1" si="76"/>
        <v>0</v>
      </c>
    </row>
    <row r="652" spans="6:14" x14ac:dyDescent="0.75">
      <c r="F652">
        <v>647</v>
      </c>
      <c r="G652">
        <f t="shared" ca="1" si="70"/>
        <v>0.89413425222707943</v>
      </c>
      <c r="H652">
        <f t="shared" ca="1" si="70"/>
        <v>0.5011800757527779</v>
      </c>
      <c r="I652">
        <f t="shared" ca="1" si="71"/>
        <v>0.89413425222707943</v>
      </c>
      <c r="J652">
        <f t="shared" ca="1" si="72"/>
        <v>1.0021001497959003</v>
      </c>
      <c r="K652">
        <f t="shared" ca="1" si="73"/>
        <v>22.256972291775739</v>
      </c>
      <c r="L652">
        <f t="shared" ca="1" si="74"/>
        <v>25.406557525586777</v>
      </c>
      <c r="M652">
        <f t="shared" ca="1" si="75"/>
        <v>3.7796771819213575</v>
      </c>
      <c r="N652">
        <f t="shared" ca="1" si="76"/>
        <v>3.831764908681258</v>
      </c>
    </row>
    <row r="653" spans="6:14" x14ac:dyDescent="0.75">
      <c r="F653">
        <v>648</v>
      </c>
      <c r="G653">
        <f t="shared" ca="1" si="70"/>
        <v>-0.94108166273802318</v>
      </c>
      <c r="H653">
        <f t="shared" ca="1" si="70"/>
        <v>0.49133564029068949</v>
      </c>
      <c r="I653">
        <f t="shared" ca="1" si="71"/>
        <v>-0.94108166273802318</v>
      </c>
      <c r="J653">
        <f t="shared" ca="1" si="72"/>
        <v>-0.38082326843555442</v>
      </c>
      <c r="K653">
        <f t="shared" ca="1" si="73"/>
        <v>14.067277311638991</v>
      </c>
      <c r="L653">
        <f t="shared" ca="1" si="74"/>
        <v>17.980295367107324</v>
      </c>
      <c r="M653">
        <f t="shared" ca="1" si="75"/>
        <v>0</v>
      </c>
      <c r="N653">
        <f t="shared" ca="1" si="76"/>
        <v>0</v>
      </c>
    </row>
    <row r="654" spans="6:14" x14ac:dyDescent="0.75">
      <c r="F654">
        <v>649</v>
      </c>
      <c r="G654">
        <f t="shared" ca="1" si="70"/>
        <v>-0.18727745774050772</v>
      </c>
      <c r="H654">
        <f t="shared" ca="1" si="70"/>
        <v>0.63603235201114972</v>
      </c>
      <c r="I654">
        <f t="shared" ca="1" si="71"/>
        <v>-0.18727745774050772</v>
      </c>
      <c r="J654">
        <f t="shared" ca="1" si="72"/>
        <v>0.28023776399786787</v>
      </c>
      <c r="K654">
        <f t="shared" ca="1" si="73"/>
        <v>16.98452089130403</v>
      </c>
      <c r="L654">
        <f t="shared" ca="1" si="74"/>
        <v>21.211462394581879</v>
      </c>
      <c r="M654">
        <f t="shared" ca="1" si="75"/>
        <v>0</v>
      </c>
      <c r="N654">
        <f t="shared" ca="1" si="76"/>
        <v>0</v>
      </c>
    </row>
    <row r="655" spans="6:14" x14ac:dyDescent="0.75">
      <c r="F655">
        <v>650</v>
      </c>
      <c r="G655">
        <f t="shared" ca="1" si="70"/>
        <v>-0.76778057947628309</v>
      </c>
      <c r="H655">
        <f t="shared" ca="1" si="70"/>
        <v>-1.8324580377486033</v>
      </c>
      <c r="I655">
        <f t="shared" ca="1" si="71"/>
        <v>-0.76778057947628309</v>
      </c>
      <c r="J655">
        <f t="shared" ca="1" si="72"/>
        <v>-1.7878924985682658</v>
      </c>
      <c r="K655">
        <f t="shared" ca="1" si="73"/>
        <v>14.690141360218956</v>
      </c>
      <c r="L655">
        <f t="shared" ca="1" si="74"/>
        <v>12.64812710045074</v>
      </c>
      <c r="M655">
        <f t="shared" ca="1" si="75"/>
        <v>0</v>
      </c>
      <c r="N655">
        <f t="shared" ca="1" si="76"/>
        <v>0</v>
      </c>
    </row>
    <row r="656" spans="6:14" x14ac:dyDescent="0.75">
      <c r="F656">
        <v>651</v>
      </c>
      <c r="G656">
        <f t="shared" ca="1" si="70"/>
        <v>-0.93264350685849262</v>
      </c>
      <c r="H656">
        <f t="shared" ca="1" si="70"/>
        <v>2.3417524890615913</v>
      </c>
      <c r="I656">
        <f t="shared" ca="1" si="71"/>
        <v>-0.93264350685849262</v>
      </c>
      <c r="J656">
        <f t="shared" ca="1" si="72"/>
        <v>0.84944104938699905</v>
      </c>
      <c r="K656">
        <f t="shared" ca="1" si="73"/>
        <v>14.096984104129604</v>
      </c>
      <c r="L656">
        <f t="shared" ca="1" si="74"/>
        <v>24.455191774646813</v>
      </c>
      <c r="M656">
        <f t="shared" ca="1" si="75"/>
        <v>0</v>
      </c>
      <c r="N656">
        <f t="shared" ca="1" si="76"/>
        <v>0</v>
      </c>
    </row>
    <row r="657" spans="6:14" x14ac:dyDescent="0.75">
      <c r="F657">
        <v>652</v>
      </c>
      <c r="G657">
        <f t="shared" ca="1" si="70"/>
        <v>-2.60306054242045</v>
      </c>
      <c r="H657">
        <f t="shared" ca="1" si="70"/>
        <v>0.26512800612677179</v>
      </c>
      <c r="I657">
        <f t="shared" ca="1" si="71"/>
        <v>-2.60306054242045</v>
      </c>
      <c r="J657">
        <f t="shared" ca="1" si="72"/>
        <v>-1.7769297143628757</v>
      </c>
      <c r="K657">
        <f t="shared" ca="1" si="73"/>
        <v>9.284595438025022</v>
      </c>
      <c r="L657">
        <f t="shared" ca="1" si="74"/>
        <v>12.682839318543264</v>
      </c>
      <c r="M657">
        <f t="shared" ca="1" si="75"/>
        <v>0</v>
      </c>
      <c r="N657">
        <f t="shared" ca="1" si="76"/>
        <v>0</v>
      </c>
    </row>
    <row r="658" spans="6:14" x14ac:dyDescent="0.75">
      <c r="F658">
        <v>653</v>
      </c>
      <c r="G658">
        <f t="shared" ca="1" si="70"/>
        <v>1.0088382218642558</v>
      </c>
      <c r="H658">
        <f t="shared" ca="1" si="70"/>
        <v>-1.629435553358793</v>
      </c>
      <c r="I658">
        <f t="shared" ca="1" si="71"/>
        <v>1.0088382218642558</v>
      </c>
      <c r="J658">
        <f t="shared" ca="1" si="72"/>
        <v>-0.32114164650037913</v>
      </c>
      <c r="K658">
        <f t="shared" ca="1" si="73"/>
        <v>22.90445225691818</v>
      </c>
      <c r="L658">
        <f t="shared" ca="1" si="74"/>
        <v>18.250580028899385</v>
      </c>
      <c r="M658">
        <f t="shared" ca="1" si="75"/>
        <v>0.44552613490272464</v>
      </c>
      <c r="N658">
        <f t="shared" ca="1" si="76"/>
        <v>0.5775161429087845</v>
      </c>
    </row>
    <row r="659" spans="6:14" x14ac:dyDescent="0.75">
      <c r="F659">
        <v>654</v>
      </c>
      <c r="G659">
        <f t="shared" ca="1" si="70"/>
        <v>-2.4682833323233622</v>
      </c>
      <c r="H659">
        <f t="shared" ca="1" si="70"/>
        <v>-0.34509302774920919</v>
      </c>
      <c r="I659">
        <f t="shared" ca="1" si="71"/>
        <v>-2.4682833323233622</v>
      </c>
      <c r="J659">
        <f t="shared" ca="1" si="72"/>
        <v>-2.0794700818942013</v>
      </c>
      <c r="K659">
        <f t="shared" ca="1" si="73"/>
        <v>9.6027635305680903</v>
      </c>
      <c r="L659">
        <f t="shared" ca="1" si="74"/>
        <v>11.758951179545651</v>
      </c>
      <c r="M659">
        <f t="shared" ca="1" si="75"/>
        <v>0</v>
      </c>
      <c r="N659">
        <f t="shared" ca="1" si="76"/>
        <v>0</v>
      </c>
    </row>
    <row r="660" spans="6:14" x14ac:dyDescent="0.75">
      <c r="F660">
        <v>655</v>
      </c>
      <c r="G660">
        <f t="shared" ca="1" si="70"/>
        <v>4.8287915472507541E-2</v>
      </c>
      <c r="H660">
        <f t="shared" ca="1" si="70"/>
        <v>-0.85434368504338098</v>
      </c>
      <c r="I660">
        <f t="shared" ca="1" si="71"/>
        <v>4.8287915472507541E-2</v>
      </c>
      <c r="J660">
        <f t="shared" ca="1" si="72"/>
        <v>-0.52887929459643912</v>
      </c>
      <c r="K660">
        <f t="shared" ca="1" si="73"/>
        <v>18.014801702136072</v>
      </c>
      <c r="L660">
        <f t="shared" ca="1" si="74"/>
        <v>17.326938859642794</v>
      </c>
      <c r="M660">
        <f t="shared" ca="1" si="75"/>
        <v>0</v>
      </c>
      <c r="N660">
        <f t="shared" ca="1" si="76"/>
        <v>0</v>
      </c>
    </row>
    <row r="661" spans="6:14" x14ac:dyDescent="0.75">
      <c r="F661">
        <v>656</v>
      </c>
      <c r="G661">
        <f t="shared" ca="1" si="70"/>
        <v>0.12805697064003604</v>
      </c>
      <c r="H661">
        <f t="shared" ca="1" si="70"/>
        <v>-1.1411208444040466</v>
      </c>
      <c r="I661">
        <f t="shared" ca="1" si="71"/>
        <v>0.12805697064003604</v>
      </c>
      <c r="J661">
        <f t="shared" ca="1" si="72"/>
        <v>-0.65873776456125777</v>
      </c>
      <c r="K661">
        <f t="shared" ca="1" si="73"/>
        <v>18.377663749585253</v>
      </c>
      <c r="L661">
        <f t="shared" ca="1" si="74"/>
        <v>16.773459279559756</v>
      </c>
      <c r="M661">
        <f t="shared" ca="1" si="75"/>
        <v>0</v>
      </c>
      <c r="N661">
        <f t="shared" ca="1" si="76"/>
        <v>0</v>
      </c>
    </row>
    <row r="662" spans="6:14" x14ac:dyDescent="0.75">
      <c r="F662">
        <v>657</v>
      </c>
      <c r="G662">
        <f t="shared" ca="1" si="70"/>
        <v>-1.2318653589124808</v>
      </c>
      <c r="H662">
        <f t="shared" ca="1" si="70"/>
        <v>-0.9277368297876577</v>
      </c>
      <c r="I662">
        <f t="shared" ca="1" si="71"/>
        <v>-1.2318653589124808</v>
      </c>
      <c r="J662">
        <f t="shared" ca="1" si="72"/>
        <v>-1.5375392526177611</v>
      </c>
      <c r="K662">
        <f t="shared" ca="1" si="73"/>
        <v>13.080929656613964</v>
      </c>
      <c r="L662">
        <f t="shared" ca="1" si="74"/>
        <v>13.465050280234962</v>
      </c>
      <c r="M662">
        <f t="shared" ca="1" si="75"/>
        <v>0</v>
      </c>
      <c r="N662">
        <f t="shared" ca="1" si="76"/>
        <v>0</v>
      </c>
    </row>
    <row r="663" spans="6:14" x14ac:dyDescent="0.75">
      <c r="F663">
        <v>658</v>
      </c>
      <c r="G663">
        <f t="shared" ca="1" si="70"/>
        <v>-0.652465825057431</v>
      </c>
      <c r="H663">
        <f t="shared" ca="1" si="70"/>
        <v>-1.1037147331459563</v>
      </c>
      <c r="I663">
        <f t="shared" ca="1" si="71"/>
        <v>-0.652465825057431</v>
      </c>
      <c r="J663">
        <f t="shared" ca="1" si="72"/>
        <v>-1.2193880443586278</v>
      </c>
      <c r="K663">
        <f t="shared" ca="1" si="73"/>
        <v>15.119802396203205</v>
      </c>
      <c r="L663">
        <f t="shared" ca="1" si="74"/>
        <v>14.579774534929438</v>
      </c>
      <c r="M663">
        <f t="shared" ca="1" si="75"/>
        <v>0</v>
      </c>
      <c r="N663">
        <f t="shared" ca="1" si="76"/>
        <v>0</v>
      </c>
    </row>
    <row r="664" spans="6:14" x14ac:dyDescent="0.75">
      <c r="F664">
        <v>659</v>
      </c>
      <c r="G664">
        <f t="shared" ca="1" si="70"/>
        <v>1.4970916843392144</v>
      </c>
      <c r="H664">
        <f t="shared" ca="1" si="70"/>
        <v>-0.68780228577960179</v>
      </c>
      <c r="I664">
        <f t="shared" ca="1" si="71"/>
        <v>1.4970916843392144</v>
      </c>
      <c r="J664">
        <f t="shared" ca="1" si="72"/>
        <v>0.66788031341575993</v>
      </c>
      <c r="K664">
        <f t="shared" ca="1" si="73"/>
        <v>25.878038612261555</v>
      </c>
      <c r="L664">
        <f t="shared" ca="1" si="74"/>
        <v>23.369981382464346</v>
      </c>
      <c r="M664">
        <f t="shared" ca="1" si="75"/>
        <v>4.5920572661834456</v>
      </c>
      <c r="N664">
        <f t="shared" ca="1" si="76"/>
        <v>4.6240099973629505</v>
      </c>
    </row>
    <row r="665" spans="6:14" x14ac:dyDescent="0.75">
      <c r="F665">
        <v>660</v>
      </c>
      <c r="G665">
        <f t="shared" ca="1" si="70"/>
        <v>-0.58609229813301422</v>
      </c>
      <c r="H665">
        <f t="shared" ca="1" si="70"/>
        <v>0.10265776200792616</v>
      </c>
      <c r="I665">
        <f t="shared" ca="1" si="71"/>
        <v>-0.58609229813301422</v>
      </c>
      <c r="J665">
        <f t="shared" ca="1" si="72"/>
        <v>-0.37166749649390385</v>
      </c>
      <c r="K665">
        <f t="shared" ca="1" si="73"/>
        <v>15.372784155870324</v>
      </c>
      <c r="L665">
        <f t="shared" ca="1" si="74"/>
        <v>18.021498375742873</v>
      </c>
      <c r="M665">
        <f t="shared" ca="1" si="75"/>
        <v>0</v>
      </c>
      <c r="N665">
        <f t="shared" ca="1" si="76"/>
        <v>0</v>
      </c>
    </row>
    <row r="666" spans="6:14" x14ac:dyDescent="0.75">
      <c r="F666">
        <v>661</v>
      </c>
      <c r="G666">
        <f t="shared" ca="1" si="70"/>
        <v>-1.4135573211739205</v>
      </c>
      <c r="H666">
        <f t="shared" ca="1" si="70"/>
        <v>-0.49527368568690588</v>
      </c>
      <c r="I666">
        <f t="shared" ca="1" si="71"/>
        <v>-1.4135573211739205</v>
      </c>
      <c r="J666">
        <f t="shared" ca="1" si="72"/>
        <v>-1.3877607416909212</v>
      </c>
      <c r="K666">
        <f t="shared" ca="1" si="73"/>
        <v>12.500047291269821</v>
      </c>
      <c r="L666">
        <f t="shared" ca="1" si="74"/>
        <v>13.978802682806887</v>
      </c>
      <c r="M666">
        <f t="shared" ca="1" si="75"/>
        <v>0</v>
      </c>
      <c r="N666">
        <f t="shared" ca="1" si="76"/>
        <v>0</v>
      </c>
    </row>
    <row r="667" spans="6:14" x14ac:dyDescent="0.75">
      <c r="F667">
        <v>662</v>
      </c>
      <c r="G667">
        <f t="shared" ca="1" si="70"/>
        <v>-0.86559714390480191</v>
      </c>
      <c r="H667">
        <f t="shared" ca="1" si="70"/>
        <v>1.2036463964146404</v>
      </c>
      <c r="I667">
        <f t="shared" ca="1" si="71"/>
        <v>-0.86559714390480191</v>
      </c>
      <c r="J667">
        <f t="shared" ca="1" si="72"/>
        <v>0.14693939991444982</v>
      </c>
      <c r="K667">
        <f t="shared" ca="1" si="73"/>
        <v>14.335263373420103</v>
      </c>
      <c r="L667">
        <f t="shared" ca="1" si="74"/>
        <v>20.516247301468994</v>
      </c>
      <c r="M667">
        <f t="shared" ca="1" si="75"/>
        <v>0</v>
      </c>
      <c r="N667">
        <f t="shared" ca="1" si="76"/>
        <v>0</v>
      </c>
    </row>
    <row r="668" spans="6:14" x14ac:dyDescent="0.75">
      <c r="F668">
        <v>663</v>
      </c>
      <c r="G668">
        <f t="shared" ca="1" si="70"/>
        <v>-1.1870270156217975</v>
      </c>
      <c r="H668">
        <f t="shared" ca="1" si="70"/>
        <v>-1.2327994015505284</v>
      </c>
      <c r="I668">
        <f t="shared" ca="1" si="71"/>
        <v>-1.1870270156217975</v>
      </c>
      <c r="J668">
        <f t="shared" ca="1" si="72"/>
        <v>-1.7056904199493363</v>
      </c>
      <c r="K668">
        <f t="shared" ca="1" si="73"/>
        <v>13.228386380590667</v>
      </c>
      <c r="L668">
        <f t="shared" ca="1" si="74"/>
        <v>12.910741877786966</v>
      </c>
      <c r="M668">
        <f t="shared" ca="1" si="75"/>
        <v>0</v>
      </c>
      <c r="N668">
        <f t="shared" ca="1" si="76"/>
        <v>0</v>
      </c>
    </row>
    <row r="669" spans="6:14" x14ac:dyDescent="0.75">
      <c r="F669">
        <v>664</v>
      </c>
      <c r="G669">
        <f t="shared" ca="1" si="70"/>
        <v>-0.52227601786121569</v>
      </c>
      <c r="H669">
        <f t="shared" ca="1" si="70"/>
        <v>1.337605501378982</v>
      </c>
      <c r="I669">
        <f t="shared" ca="1" si="71"/>
        <v>-0.52227601786121569</v>
      </c>
      <c r="J669">
        <f t="shared" ca="1" si="72"/>
        <v>0.49303586384425102</v>
      </c>
      <c r="K669">
        <f t="shared" ca="1" si="73"/>
        <v>15.620009512884687</v>
      </c>
      <c r="L669">
        <f t="shared" ca="1" si="74"/>
        <v>22.370457784655198</v>
      </c>
      <c r="M669">
        <f t="shared" ca="1" si="75"/>
        <v>0</v>
      </c>
      <c r="N669">
        <f t="shared" ca="1" si="76"/>
        <v>0</v>
      </c>
    </row>
    <row r="670" spans="6:14" x14ac:dyDescent="0.75">
      <c r="F670">
        <v>665</v>
      </c>
      <c r="G670">
        <f t="shared" ca="1" si="70"/>
        <v>0.90973111302728238</v>
      </c>
      <c r="H670">
        <f t="shared" ca="1" si="70"/>
        <v>0.30785776239992563</v>
      </c>
      <c r="I670">
        <f t="shared" ca="1" si="71"/>
        <v>0.90973111302728238</v>
      </c>
      <c r="J670">
        <f t="shared" ca="1" si="72"/>
        <v>0.88592710439321531</v>
      </c>
      <c r="K670">
        <f t="shared" ca="1" si="73"/>
        <v>22.343926432726999</v>
      </c>
      <c r="L670">
        <f t="shared" ca="1" si="74"/>
        <v>24.679280603665891</v>
      </c>
      <c r="M670">
        <f t="shared" ca="1" si="75"/>
        <v>3.4825899385254573</v>
      </c>
      <c r="N670">
        <f t="shared" ca="1" si="76"/>
        <v>3.5116035181964449</v>
      </c>
    </row>
    <row r="671" spans="6:14" x14ac:dyDescent="0.75">
      <c r="F671">
        <v>666</v>
      </c>
      <c r="G671">
        <f t="shared" ca="1" si="70"/>
        <v>0.79741313160951355</v>
      </c>
      <c r="H671">
        <f t="shared" ca="1" si="70"/>
        <v>1.1887622034625638</v>
      </c>
      <c r="I671">
        <f t="shared" ca="1" si="71"/>
        <v>0.79741313160951355</v>
      </c>
      <c r="J671">
        <f t="shared" ca="1" si="72"/>
        <v>1.3843521382959127</v>
      </c>
      <c r="K671">
        <f t="shared" ca="1" si="73"/>
        <v>21.725247006987161</v>
      </c>
      <c r="L671">
        <f t="shared" ca="1" si="74"/>
        <v>27.954279710947525</v>
      </c>
      <c r="M671">
        <f t="shared" ca="1" si="75"/>
        <v>4.6437341249808313</v>
      </c>
      <c r="N671">
        <f t="shared" ca="1" si="76"/>
        <v>4.8397633589673426</v>
      </c>
    </row>
    <row r="672" spans="6:14" x14ac:dyDescent="0.75">
      <c r="F672">
        <v>667</v>
      </c>
      <c r="G672">
        <f t="shared" ca="1" si="70"/>
        <v>-0.55789849254810997</v>
      </c>
      <c r="H672">
        <f t="shared" ca="1" si="70"/>
        <v>-0.29302050440147381</v>
      </c>
      <c r="I672">
        <f t="shared" ca="1" si="71"/>
        <v>-0.55789849254810997</v>
      </c>
      <c r="J672">
        <f t="shared" ca="1" si="72"/>
        <v>-0.61223871533333418</v>
      </c>
      <c r="K672">
        <f t="shared" ca="1" si="73"/>
        <v>15.481521241672567</v>
      </c>
      <c r="L672">
        <f t="shared" ca="1" si="74"/>
        <v>16.969584502689294</v>
      </c>
      <c r="M672">
        <f t="shared" ca="1" si="75"/>
        <v>0</v>
      </c>
      <c r="N672">
        <f t="shared" ca="1" si="76"/>
        <v>0</v>
      </c>
    </row>
    <row r="673" spans="6:14" x14ac:dyDescent="0.75">
      <c r="F673">
        <v>668</v>
      </c>
      <c r="G673">
        <f t="shared" ca="1" si="70"/>
        <v>-1.2266859369463536</v>
      </c>
      <c r="H673">
        <f t="shared" ca="1" si="70"/>
        <v>-0.83931361607915533</v>
      </c>
      <c r="I673">
        <f t="shared" ca="1" si="71"/>
        <v>-1.2266859369463536</v>
      </c>
      <c r="J673">
        <f t="shared" ca="1" si="72"/>
        <v>-1.4751682277437121</v>
      </c>
      <c r="K673">
        <f t="shared" ca="1" si="73"/>
        <v>13.097878541024086</v>
      </c>
      <c r="L673">
        <f t="shared" ca="1" si="74"/>
        <v>13.676652974033574</v>
      </c>
      <c r="M673">
        <f t="shared" ca="1" si="75"/>
        <v>0</v>
      </c>
      <c r="N673">
        <f t="shared" ca="1" si="76"/>
        <v>0</v>
      </c>
    </row>
    <row r="674" spans="6:14" x14ac:dyDescent="0.75">
      <c r="F674">
        <v>669</v>
      </c>
      <c r="G674">
        <f t="shared" ca="1" si="70"/>
        <v>-0.51734604637428594</v>
      </c>
      <c r="H674">
        <f t="shared" ca="1" si="70"/>
        <v>1.7210226199555667</v>
      </c>
      <c r="I674">
        <f t="shared" ca="1" si="71"/>
        <v>-0.51734604637428594</v>
      </c>
      <c r="J674">
        <f t="shared" ca="1" si="72"/>
        <v>0.75033992849909992</v>
      </c>
      <c r="K674">
        <f t="shared" ca="1" si="73"/>
        <v>15.639272931840496</v>
      </c>
      <c r="L674">
        <f t="shared" ca="1" si="74"/>
        <v>23.856751419924606</v>
      </c>
      <c r="M674">
        <f t="shared" ca="1" si="75"/>
        <v>0</v>
      </c>
      <c r="N674">
        <f t="shared" ca="1" si="76"/>
        <v>0</v>
      </c>
    </row>
    <row r="675" spans="6:14" x14ac:dyDescent="0.75">
      <c r="F675">
        <v>670</v>
      </c>
      <c r="G675">
        <f t="shared" ca="1" si="70"/>
        <v>1.7634255207829461</v>
      </c>
      <c r="H675">
        <f t="shared" ca="1" si="70"/>
        <v>-0.52480887298472334</v>
      </c>
      <c r="I675">
        <f t="shared" ca="1" si="71"/>
        <v>1.7634255207829461</v>
      </c>
      <c r="J675">
        <f t="shared" ca="1" si="72"/>
        <v>0.97544069964779401</v>
      </c>
      <c r="K675">
        <f t="shared" ca="1" si="73"/>
        <v>27.65974585708485</v>
      </c>
      <c r="L675">
        <f t="shared" ca="1" si="74"/>
        <v>25.23778934522964</v>
      </c>
      <c r="M675">
        <f t="shared" ca="1" si="75"/>
        <v>6.4210302464475397</v>
      </c>
      <c r="N675">
        <f t="shared" ca="1" si="76"/>
        <v>6.4487676011572432</v>
      </c>
    </row>
    <row r="676" spans="6:14" x14ac:dyDescent="0.75">
      <c r="F676">
        <v>671</v>
      </c>
      <c r="G676">
        <f t="shared" ca="1" si="70"/>
        <v>0.56991330895547232</v>
      </c>
      <c r="H676">
        <f t="shared" ca="1" si="70"/>
        <v>2.8915068121567153</v>
      </c>
      <c r="I676">
        <f t="shared" ca="1" si="71"/>
        <v>0.56991330895547232</v>
      </c>
      <c r="J676">
        <f t="shared" ca="1" si="72"/>
        <v>2.3399869665205606</v>
      </c>
      <c r="K676">
        <f t="shared" ca="1" si="73"/>
        <v>20.524105741055664</v>
      </c>
      <c r="L676">
        <f t="shared" ca="1" si="74"/>
        <v>35.498094365096954</v>
      </c>
      <c r="M676">
        <f t="shared" ca="1" si="75"/>
        <v>6.9919736654291746</v>
      </c>
      <c r="N676">
        <f t="shared" ca="1" si="76"/>
        <v>8.0111000530763086</v>
      </c>
    </row>
    <row r="677" spans="6:14" x14ac:dyDescent="0.75">
      <c r="F677">
        <v>672</v>
      </c>
      <c r="G677">
        <f t="shared" ca="1" si="70"/>
        <v>2.5718191088656939</v>
      </c>
      <c r="H677">
        <f t="shared" ca="1" si="70"/>
        <v>-1.1574464691900026</v>
      </c>
      <c r="I677">
        <f t="shared" ca="1" si="71"/>
        <v>2.5718191088656939</v>
      </c>
      <c r="J677">
        <f t="shared" ca="1" si="72"/>
        <v>1.1632854533126378</v>
      </c>
      <c r="K677">
        <f t="shared" ca="1" si="73"/>
        <v>33.854655905452596</v>
      </c>
      <c r="L677">
        <f t="shared" ca="1" si="74"/>
        <v>26.451255838196396</v>
      </c>
      <c r="M677">
        <f t="shared" ca="1" si="75"/>
        <v>9.9248753492680919</v>
      </c>
      <c r="N677">
        <f t="shared" ca="1" si="76"/>
        <v>10.152955871824496</v>
      </c>
    </row>
    <row r="678" spans="6:14" x14ac:dyDescent="0.75">
      <c r="F678">
        <v>673</v>
      </c>
      <c r="G678">
        <f t="shared" ca="1" si="70"/>
        <v>-0.66802304545991897</v>
      </c>
      <c r="H678">
        <f t="shared" ca="1" si="70"/>
        <v>-0.25129449736929371</v>
      </c>
      <c r="I678">
        <f t="shared" ca="1" si="71"/>
        <v>-0.66802304545991897</v>
      </c>
      <c r="J678">
        <f t="shared" ca="1" si="72"/>
        <v>-0.66723297056447073</v>
      </c>
      <c r="K678">
        <f t="shared" ca="1" si="73"/>
        <v>15.061111079825114</v>
      </c>
      <c r="L678">
        <f t="shared" ca="1" si="74"/>
        <v>16.737873583421468</v>
      </c>
      <c r="M678">
        <f t="shared" ca="1" si="75"/>
        <v>0</v>
      </c>
      <c r="N678">
        <f t="shared" ca="1" si="76"/>
        <v>0</v>
      </c>
    </row>
    <row r="679" spans="6:14" x14ac:dyDescent="0.75">
      <c r="F679">
        <v>674</v>
      </c>
      <c r="G679">
        <f t="shared" ca="1" si="70"/>
        <v>0.68540027547480986</v>
      </c>
      <c r="H679">
        <f t="shared" ca="1" si="70"/>
        <v>-0.19358433638860023</v>
      </c>
      <c r="I679">
        <f t="shared" ca="1" si="71"/>
        <v>0.68540027547480986</v>
      </c>
      <c r="J679">
        <f t="shared" ca="1" si="72"/>
        <v>0.3860062036556805</v>
      </c>
      <c r="K679">
        <f t="shared" ca="1" si="73"/>
        <v>21.125309557912477</v>
      </c>
      <c r="L679">
        <f t="shared" ca="1" si="74"/>
        <v>21.7798193784052</v>
      </c>
      <c r="M679">
        <f t="shared" ca="1" si="75"/>
        <v>1.4500682163071623</v>
      </c>
      <c r="N679">
        <f t="shared" ca="1" si="76"/>
        <v>1.4525644681588403</v>
      </c>
    </row>
    <row r="680" spans="6:14" x14ac:dyDescent="0.75">
      <c r="F680">
        <v>675</v>
      </c>
      <c r="G680">
        <f t="shared" ca="1" si="70"/>
        <v>1.8229452809287285</v>
      </c>
      <c r="H680">
        <f t="shared" ca="1" si="70"/>
        <v>-1.4440213466541898</v>
      </c>
      <c r="I680">
        <f t="shared" ca="1" si="71"/>
        <v>1.8229452809287285</v>
      </c>
      <c r="J680">
        <f t="shared" ca="1" si="72"/>
        <v>0.41207861791765188</v>
      </c>
      <c r="K680">
        <f t="shared" ca="1" si="73"/>
        <v>28.074398569862396</v>
      </c>
      <c r="L680">
        <f t="shared" ca="1" si="74"/>
        <v>21.922246168778621</v>
      </c>
      <c r="M680">
        <f t="shared" ca="1" si="75"/>
        <v>4.8083428807514252</v>
      </c>
      <c r="N680">
        <f t="shared" ca="1" si="76"/>
        <v>4.9983223693205083</v>
      </c>
    </row>
    <row r="681" spans="6:14" x14ac:dyDescent="0.75">
      <c r="F681">
        <v>676</v>
      </c>
      <c r="G681">
        <f t="shared" ca="1" si="70"/>
        <v>-0.84168164210848206</v>
      </c>
      <c r="H681">
        <f t="shared" ca="1" si="70"/>
        <v>-0.41618901218557125</v>
      </c>
      <c r="I681">
        <f t="shared" ca="1" si="71"/>
        <v>-0.84168164210848206</v>
      </c>
      <c r="J681">
        <f t="shared" ca="1" si="72"/>
        <v>-0.90654438774152446</v>
      </c>
      <c r="K681">
        <f t="shared" ca="1" si="73"/>
        <v>14.421228860044744</v>
      </c>
      <c r="L681">
        <f t="shared" ca="1" si="74"/>
        <v>15.765849498181112</v>
      </c>
      <c r="M681">
        <f t="shared" ca="1" si="75"/>
        <v>0</v>
      </c>
      <c r="N681">
        <f t="shared" ca="1" si="76"/>
        <v>0</v>
      </c>
    </row>
    <row r="682" spans="6:14" x14ac:dyDescent="0.75">
      <c r="F682">
        <v>677</v>
      </c>
      <c r="G682">
        <f t="shared" ca="1" si="70"/>
        <v>-0.29668514414283625</v>
      </c>
      <c r="H682">
        <f t="shared" ca="1" si="70"/>
        <v>1.8044100227298987</v>
      </c>
      <c r="I682">
        <f t="shared" ca="1" si="71"/>
        <v>-0.29668514414283625</v>
      </c>
      <c r="J682">
        <f t="shared" ca="1" si="72"/>
        <v>0.97099118772680215</v>
      </c>
      <c r="K682">
        <f t="shared" ca="1" si="73"/>
        <v>16.526257371011347</v>
      </c>
      <c r="L682">
        <f t="shared" ca="1" si="74"/>
        <v>25.209730992731856</v>
      </c>
      <c r="M682">
        <f t="shared" ca="1" si="75"/>
        <v>0.41133270121889964</v>
      </c>
      <c r="N682">
        <f t="shared" ca="1" si="76"/>
        <v>0.86799418187160171</v>
      </c>
    </row>
    <row r="683" spans="6:14" x14ac:dyDescent="0.75">
      <c r="F683">
        <v>678</v>
      </c>
      <c r="G683">
        <f t="shared" ca="1" si="70"/>
        <v>-0.76499556817914094</v>
      </c>
      <c r="H683">
        <f t="shared" ca="1" si="70"/>
        <v>-0.56234369782602611</v>
      </c>
      <c r="I683">
        <f t="shared" ca="1" si="71"/>
        <v>-0.76499556817914094</v>
      </c>
      <c r="J683">
        <f t="shared" ca="1" si="72"/>
        <v>-0.94570207008238538</v>
      </c>
      <c r="K683">
        <f t="shared" ca="1" si="73"/>
        <v>14.700372974111866</v>
      </c>
      <c r="L683">
        <f t="shared" ca="1" si="74"/>
        <v>15.612263949866243</v>
      </c>
      <c r="M683">
        <f t="shared" ca="1" si="75"/>
        <v>0</v>
      </c>
      <c r="N683">
        <f t="shared" ca="1" si="76"/>
        <v>0</v>
      </c>
    </row>
    <row r="684" spans="6:14" x14ac:dyDescent="0.75">
      <c r="F684">
        <v>679</v>
      </c>
      <c r="G684">
        <f t="shared" ca="1" si="70"/>
        <v>1.015549407071231E-2</v>
      </c>
      <c r="H684">
        <f t="shared" ca="1" si="70"/>
        <v>2.1755954822120382</v>
      </c>
      <c r="I684">
        <f t="shared" ca="1" si="71"/>
        <v>1.015549407071231E-2</v>
      </c>
      <c r="J684">
        <f t="shared" ca="1" si="72"/>
        <v>1.4466377704052094</v>
      </c>
      <c r="K684">
        <f t="shared" ca="1" si="73"/>
        <v>17.843880698052597</v>
      </c>
      <c r="L684">
        <f t="shared" ca="1" si="74"/>
        <v>28.392973885331124</v>
      </c>
      <c r="M684">
        <f t="shared" ca="1" si="75"/>
        <v>2.5086836281638547</v>
      </c>
      <c r="N684">
        <f t="shared" ca="1" si="76"/>
        <v>3.1184272916918587</v>
      </c>
    </row>
    <row r="685" spans="6:14" x14ac:dyDescent="0.75">
      <c r="F685">
        <v>680</v>
      </c>
      <c r="G685">
        <f t="shared" ca="1" si="70"/>
        <v>0.1206005337299932</v>
      </c>
      <c r="H685">
        <f t="shared" ca="1" si="70"/>
        <v>1.2279947013132815</v>
      </c>
      <c r="I685">
        <f t="shared" ca="1" si="71"/>
        <v>0.1206005337299932</v>
      </c>
      <c r="J685">
        <f t="shared" ca="1" si="72"/>
        <v>0.90269254804249122</v>
      </c>
      <c r="K685">
        <f t="shared" ca="1" si="73"/>
        <v>18.343437687479682</v>
      </c>
      <c r="L685">
        <f t="shared" ca="1" si="74"/>
        <v>24.782937455621713</v>
      </c>
      <c r="M685">
        <f t="shared" ca="1" si="75"/>
        <v>1.3214509105244332</v>
      </c>
      <c r="N685">
        <f t="shared" ca="1" si="76"/>
        <v>1.5631875715506993</v>
      </c>
    </row>
    <row r="686" spans="6:14" x14ac:dyDescent="0.75">
      <c r="F686">
        <v>681</v>
      </c>
      <c r="G686">
        <f t="shared" ca="1" si="70"/>
        <v>-0.70635429648884485</v>
      </c>
      <c r="H686">
        <f t="shared" ca="1" si="70"/>
        <v>-0.43542186364182361</v>
      </c>
      <c r="I686">
        <f t="shared" ca="1" si="71"/>
        <v>-0.70635429648884485</v>
      </c>
      <c r="J686">
        <f t="shared" ca="1" si="72"/>
        <v>-0.81777021401576921</v>
      </c>
      <c r="K686">
        <f t="shared" ca="1" si="73"/>
        <v>14.917472601945777</v>
      </c>
      <c r="L686">
        <f t="shared" ca="1" si="74"/>
        <v>16.119661209061853</v>
      </c>
      <c r="M686">
        <f t="shared" ca="1" si="75"/>
        <v>0</v>
      </c>
      <c r="N686">
        <f t="shared" ca="1" si="76"/>
        <v>0</v>
      </c>
    </row>
    <row r="687" spans="6:14" x14ac:dyDescent="0.75">
      <c r="F687">
        <v>682</v>
      </c>
      <c r="G687">
        <f t="shared" ca="1" si="70"/>
        <v>-0.1403710840703758</v>
      </c>
      <c r="H687">
        <f t="shared" ca="1" si="70"/>
        <v>-0.79975180788916744</v>
      </c>
      <c r="I687">
        <f t="shared" ca="1" si="71"/>
        <v>-0.1403710840703758</v>
      </c>
      <c r="J687">
        <f t="shared" ca="1" si="72"/>
        <v>-0.63426441161504221</v>
      </c>
      <c r="K687">
        <f t="shared" ca="1" si="73"/>
        <v>17.184863836511294</v>
      </c>
      <c r="L687">
        <f t="shared" ca="1" si="74"/>
        <v>16.87639956745636</v>
      </c>
      <c r="M687">
        <f t="shared" ca="1" si="75"/>
        <v>0</v>
      </c>
      <c r="N687">
        <f t="shared" ca="1" si="76"/>
        <v>0</v>
      </c>
    </row>
    <row r="688" spans="6:14" x14ac:dyDescent="0.75">
      <c r="F688">
        <v>683</v>
      </c>
      <c r="G688">
        <f t="shared" ca="1" si="70"/>
        <v>0.66666203228959287</v>
      </c>
      <c r="H688">
        <f t="shared" ca="1" si="70"/>
        <v>9.3100456898505463E-2</v>
      </c>
      <c r="I688">
        <f t="shared" ca="1" si="71"/>
        <v>0.66666203228959287</v>
      </c>
      <c r="J688">
        <f t="shared" ca="1" si="72"/>
        <v>0.56157668819217799</v>
      </c>
      <c r="K688">
        <f t="shared" ca="1" si="73"/>
        <v>21.026578198032432</v>
      </c>
      <c r="L688">
        <f t="shared" ca="1" si="74"/>
        <v>22.7570831821063</v>
      </c>
      <c r="M688">
        <f t="shared" ca="1" si="75"/>
        <v>1.8747248917029111</v>
      </c>
      <c r="N688">
        <f t="shared" ca="1" si="76"/>
        <v>1.8918306900693658</v>
      </c>
    </row>
    <row r="689" spans="6:14" x14ac:dyDescent="0.75">
      <c r="F689">
        <v>684</v>
      </c>
      <c r="G689">
        <f t="shared" ca="1" si="70"/>
        <v>-0.47867107694250344</v>
      </c>
      <c r="H689">
        <f t="shared" ca="1" si="70"/>
        <v>-0.23119011113504154</v>
      </c>
      <c r="I689">
        <f t="shared" ca="1" si="71"/>
        <v>-0.47867107694250344</v>
      </c>
      <c r="J689">
        <f t="shared" ca="1" si="72"/>
        <v>-0.51192119261705371</v>
      </c>
      <c r="K689">
        <f t="shared" ca="1" si="73"/>
        <v>15.79121840961116</v>
      </c>
      <c r="L689">
        <f t="shared" ca="1" si="74"/>
        <v>17.400552792499685</v>
      </c>
      <c r="M689">
        <f t="shared" ca="1" si="75"/>
        <v>0</v>
      </c>
      <c r="N689">
        <f t="shared" ca="1" si="76"/>
        <v>0</v>
      </c>
    </row>
    <row r="690" spans="6:14" x14ac:dyDescent="0.75">
      <c r="F690">
        <v>685</v>
      </c>
      <c r="G690">
        <f t="shared" ca="1" si="70"/>
        <v>0.34040327825603411</v>
      </c>
      <c r="H690">
        <f t="shared" ca="1" si="70"/>
        <v>-2.2954985107382071</v>
      </c>
      <c r="I690">
        <f t="shared" ca="1" si="71"/>
        <v>0.34040327825603411</v>
      </c>
      <c r="J690">
        <f t="shared" ca="1" si="72"/>
        <v>-1.2630270898910811</v>
      </c>
      <c r="K690">
        <f t="shared" ca="1" si="73"/>
        <v>19.379631221441333</v>
      </c>
      <c r="L690">
        <f t="shared" ca="1" si="74"/>
        <v>14.42157719046258</v>
      </c>
      <c r="M690">
        <f t="shared" ca="1" si="75"/>
        <v>0</v>
      </c>
      <c r="N690">
        <f t="shared" ca="1" si="76"/>
        <v>0</v>
      </c>
    </row>
    <row r="691" spans="6:14" x14ac:dyDescent="0.75">
      <c r="F691">
        <v>686</v>
      </c>
      <c r="G691">
        <f t="shared" ca="1" si="70"/>
        <v>-8.6246076578814501E-2</v>
      </c>
      <c r="H691">
        <f t="shared" ca="1" si="70"/>
        <v>-0.19877320395231479</v>
      </c>
      <c r="I691">
        <f t="shared" ca="1" si="71"/>
        <v>-8.6246076578814501E-2</v>
      </c>
      <c r="J691">
        <f t="shared" ca="1" si="72"/>
        <v>-0.19616067367444739</v>
      </c>
      <c r="K691">
        <f t="shared" ca="1" si="73"/>
        <v>17.418976906882946</v>
      </c>
      <c r="L691">
        <f t="shared" ca="1" si="74"/>
        <v>18.829826058044169</v>
      </c>
      <c r="M691">
        <f t="shared" ca="1" si="75"/>
        <v>0</v>
      </c>
      <c r="N691">
        <f t="shared" ca="1" si="76"/>
        <v>0</v>
      </c>
    </row>
    <row r="692" spans="6:14" x14ac:dyDescent="0.75">
      <c r="F692">
        <v>687</v>
      </c>
      <c r="G692">
        <f t="shared" ca="1" si="70"/>
        <v>-1.5204150796540346</v>
      </c>
      <c r="H692">
        <f t="shared" ca="1" si="70"/>
        <v>-7.4335724931185065E-2</v>
      </c>
      <c r="I692">
        <f t="shared" ca="1" si="71"/>
        <v>-1.5204150796540346</v>
      </c>
      <c r="J692">
        <f t="shared" ca="1" si="72"/>
        <v>-1.1894797701644308</v>
      </c>
      <c r="K692">
        <f t="shared" ca="1" si="73"/>
        <v>12.17053647738993</v>
      </c>
      <c r="L692">
        <f t="shared" ca="1" si="74"/>
        <v>14.689197078693768</v>
      </c>
      <c r="M692">
        <f t="shared" ca="1" si="75"/>
        <v>0</v>
      </c>
      <c r="N692">
        <f t="shared" ca="1" si="76"/>
        <v>0</v>
      </c>
    </row>
    <row r="693" spans="6:14" x14ac:dyDescent="0.75">
      <c r="F693">
        <v>688</v>
      </c>
      <c r="G693">
        <f t="shared" ca="1" si="70"/>
        <v>-1.7235522540068687E-2</v>
      </c>
      <c r="H693">
        <f t="shared" ca="1" si="70"/>
        <v>1.1341419091385401</v>
      </c>
      <c r="I693">
        <f t="shared" ca="1" si="71"/>
        <v>-1.7235522540068687E-2</v>
      </c>
      <c r="J693">
        <f t="shared" ca="1" si="72"/>
        <v>0.73723771885409606</v>
      </c>
      <c r="K693">
        <f t="shared" ca="1" si="73"/>
        <v>17.722107601860504</v>
      </c>
      <c r="L693">
        <f t="shared" ca="1" si="74"/>
        <v>23.778735223111799</v>
      </c>
      <c r="M693">
        <f t="shared" ca="1" si="75"/>
        <v>0.52825624012272954</v>
      </c>
      <c r="N693">
        <f t="shared" ca="1" si="76"/>
        <v>0.75042141248615124</v>
      </c>
    </row>
    <row r="694" spans="6:14" x14ac:dyDescent="0.75">
      <c r="F694">
        <v>689</v>
      </c>
      <c r="G694">
        <f t="shared" ca="1" si="70"/>
        <v>1.0348033989563061</v>
      </c>
      <c r="H694">
        <f t="shared" ca="1" si="70"/>
        <v>-0.69569402354656573</v>
      </c>
      <c r="I694">
        <f t="shared" ca="1" si="71"/>
        <v>1.0348033989563061</v>
      </c>
      <c r="J694">
        <f t="shared" ca="1" si="72"/>
        <v>0.31594420549269792</v>
      </c>
      <c r="K694">
        <f t="shared" ca="1" si="73"/>
        <v>23.053615403848347</v>
      </c>
      <c r="L694">
        <f t="shared" ca="1" si="74"/>
        <v>21.401656486153886</v>
      </c>
      <c r="M694">
        <f t="shared" ca="1" si="75"/>
        <v>2.2122839356304844</v>
      </c>
      <c r="N694">
        <f t="shared" ca="1" si="76"/>
        <v>2.2276359450011185</v>
      </c>
    </row>
    <row r="695" spans="6:14" x14ac:dyDescent="0.75">
      <c r="F695">
        <v>690</v>
      </c>
      <c r="G695">
        <f t="shared" ca="1" si="70"/>
        <v>1.4336709691726268</v>
      </c>
      <c r="H695">
        <f t="shared" ca="1" si="70"/>
        <v>-1.1632094942871589</v>
      </c>
      <c r="I695">
        <f t="shared" ca="1" si="71"/>
        <v>1.4336709691726268</v>
      </c>
      <c r="J695">
        <f t="shared" ca="1" si="72"/>
        <v>0.30586246574121256</v>
      </c>
      <c r="K695">
        <f t="shared" ca="1" si="73"/>
        <v>25.470973257806488</v>
      </c>
      <c r="L695">
        <f t="shared" ca="1" si="74"/>
        <v>21.347782924341303</v>
      </c>
      <c r="M695">
        <f t="shared" ca="1" si="75"/>
        <v>3.318422073102532</v>
      </c>
      <c r="N695">
        <f t="shared" ca="1" si="76"/>
        <v>3.4093780910738971</v>
      </c>
    </row>
    <row r="696" spans="6:14" x14ac:dyDescent="0.75">
      <c r="F696">
        <v>691</v>
      </c>
      <c r="G696">
        <f t="shared" ca="1" si="70"/>
        <v>-1.0034955601898141</v>
      </c>
      <c r="H696">
        <f t="shared" ca="1" si="70"/>
        <v>-0.73710857146067832</v>
      </c>
      <c r="I696">
        <f t="shared" ca="1" si="71"/>
        <v>-1.0034955601898141</v>
      </c>
      <c r="J696">
        <f t="shared" ca="1" si="72"/>
        <v>-1.24017316247712</v>
      </c>
      <c r="K696">
        <f t="shared" ca="1" si="73"/>
        <v>13.849482507400847</v>
      </c>
      <c r="L696">
        <f t="shared" ca="1" si="74"/>
        <v>14.504210447056</v>
      </c>
      <c r="M696">
        <f t="shared" ca="1" si="75"/>
        <v>0</v>
      </c>
      <c r="N696">
        <f t="shared" ca="1" si="76"/>
        <v>0</v>
      </c>
    </row>
    <row r="697" spans="6:14" x14ac:dyDescent="0.75">
      <c r="F697">
        <v>692</v>
      </c>
      <c r="G697">
        <f t="shared" ca="1" si="70"/>
        <v>-1.1887771674979009</v>
      </c>
      <c r="H697">
        <f t="shared" ca="1" si="70"/>
        <v>-0.61253570649188271</v>
      </c>
      <c r="I697">
        <f t="shared" ca="1" si="71"/>
        <v>-1.1887771674979009</v>
      </c>
      <c r="J697">
        <f t="shared" ca="1" si="72"/>
        <v>-1.2967371627546191</v>
      </c>
      <c r="K697">
        <f t="shared" ca="1" si="73"/>
        <v>13.222599725313227</v>
      </c>
      <c r="L697">
        <f t="shared" ca="1" si="74"/>
        <v>14.300549782640781</v>
      </c>
      <c r="M697">
        <f t="shared" ca="1" si="75"/>
        <v>0</v>
      </c>
      <c r="N697">
        <f t="shared" ca="1" si="76"/>
        <v>0</v>
      </c>
    </row>
    <row r="698" spans="6:14" x14ac:dyDescent="0.75">
      <c r="F698">
        <v>693</v>
      </c>
      <c r="G698">
        <f t="shared" ca="1" si="70"/>
        <v>-0.23285383019778522</v>
      </c>
      <c r="H698">
        <f t="shared" ca="1" si="70"/>
        <v>1.7370654004512189</v>
      </c>
      <c r="I698">
        <f t="shared" ca="1" si="71"/>
        <v>-0.23285383019778522</v>
      </c>
      <c r="J698">
        <f t="shared" ca="1" si="72"/>
        <v>0.97432039251384861</v>
      </c>
      <c r="K698">
        <f t="shared" ca="1" si="73"/>
        <v>16.792096014048763</v>
      </c>
      <c r="L698">
        <f t="shared" ca="1" si="74"/>
        <v>25.23072181613913</v>
      </c>
      <c r="M698">
        <f t="shared" ca="1" si="75"/>
        <v>0.58340844564774841</v>
      </c>
      <c r="N698">
        <f t="shared" ca="1" si="76"/>
        <v>1.0114089150939449</v>
      </c>
    </row>
    <row r="699" spans="6:14" x14ac:dyDescent="0.75">
      <c r="F699">
        <v>694</v>
      </c>
      <c r="G699">
        <f t="shared" ca="1" si="70"/>
        <v>1.9422254570707382</v>
      </c>
      <c r="H699">
        <f t="shared" ca="1" si="70"/>
        <v>-1.3019827760071017</v>
      </c>
      <c r="I699">
        <f t="shared" ca="1" si="71"/>
        <v>1.9422254570707382</v>
      </c>
      <c r="J699">
        <f t="shared" ca="1" si="72"/>
        <v>0.59548843365197757</v>
      </c>
      <c r="K699">
        <f t="shared" ca="1" si="73"/>
        <v>28.9241857462189</v>
      </c>
      <c r="L699">
        <f t="shared" ca="1" si="74"/>
        <v>22.950836438558998</v>
      </c>
      <c r="M699">
        <f t="shared" ca="1" si="75"/>
        <v>5.7649811989058044</v>
      </c>
      <c r="N699">
        <f t="shared" ca="1" si="76"/>
        <v>5.9375110923889487</v>
      </c>
    </row>
    <row r="700" spans="6:14" x14ac:dyDescent="0.75">
      <c r="F700">
        <v>695</v>
      </c>
      <c r="G700">
        <f t="shared" ca="1" si="70"/>
        <v>-1.2569034194667332</v>
      </c>
      <c r="H700">
        <f t="shared" ca="1" si="70"/>
        <v>-0.19591593846270872</v>
      </c>
      <c r="I700">
        <f t="shared" ca="1" si="71"/>
        <v>-1.2569034194667332</v>
      </c>
      <c r="J700">
        <f t="shared" ca="1" si="72"/>
        <v>-1.0722637773615902</v>
      </c>
      <c r="K700">
        <f t="shared" ca="1" si="73"/>
        <v>12.999305110955895</v>
      </c>
      <c r="L700">
        <f t="shared" ca="1" si="74"/>
        <v>15.126018329391691</v>
      </c>
      <c r="M700">
        <f t="shared" ca="1" si="75"/>
        <v>0</v>
      </c>
      <c r="N700">
        <f t="shared" ca="1" si="76"/>
        <v>0</v>
      </c>
    </row>
    <row r="701" spans="6:14" x14ac:dyDescent="0.75">
      <c r="F701">
        <v>696</v>
      </c>
      <c r="G701">
        <f t="shared" ca="1" si="70"/>
        <v>0.1284637160560762</v>
      </c>
      <c r="H701">
        <f t="shared" ca="1" si="70"/>
        <v>-1.4730523117497303</v>
      </c>
      <c r="I701">
        <f t="shared" ca="1" si="71"/>
        <v>0.1284637160560762</v>
      </c>
      <c r="J701">
        <f t="shared" ca="1" si="72"/>
        <v>-0.87798473422758661</v>
      </c>
      <c r="K701">
        <f t="shared" ca="1" si="73"/>
        <v>18.379532602223964</v>
      </c>
      <c r="L701">
        <f t="shared" ca="1" si="74"/>
        <v>15.878819114657601</v>
      </c>
      <c r="M701">
        <f t="shared" ca="1" si="75"/>
        <v>0</v>
      </c>
      <c r="N701">
        <f t="shared" ca="1" si="76"/>
        <v>0</v>
      </c>
    </row>
    <row r="702" spans="6:14" x14ac:dyDescent="0.75">
      <c r="F702">
        <v>697</v>
      </c>
      <c r="G702">
        <f t="shared" ca="1" si="70"/>
        <v>1.866311469454218</v>
      </c>
      <c r="H702">
        <f t="shared" ca="1" si="70"/>
        <v>-1.2159089294905892</v>
      </c>
      <c r="I702">
        <f t="shared" ca="1" si="71"/>
        <v>1.866311469454218</v>
      </c>
      <c r="J702">
        <f t="shared" ca="1" si="72"/>
        <v>0.59548544100694611</v>
      </c>
      <c r="K702">
        <f t="shared" ca="1" si="73"/>
        <v>28.38042438429262</v>
      </c>
      <c r="L702">
        <f t="shared" ca="1" si="74"/>
        <v>22.950819267638764</v>
      </c>
      <c r="M702">
        <f t="shared" ca="1" si="75"/>
        <v>5.5216376978983881</v>
      </c>
      <c r="N702">
        <f t="shared" ca="1" si="76"/>
        <v>5.6656218259656939</v>
      </c>
    </row>
    <row r="703" spans="6:14" x14ac:dyDescent="0.75">
      <c r="F703">
        <v>698</v>
      </c>
      <c r="G703">
        <f t="shared" ca="1" si="70"/>
        <v>-0.60210364739150823</v>
      </c>
      <c r="H703">
        <f t="shared" ca="1" si="70"/>
        <v>-0.16140635061856917</v>
      </c>
      <c r="I703">
        <f t="shared" ca="1" si="71"/>
        <v>-0.60210364739150823</v>
      </c>
      <c r="J703">
        <f t="shared" ca="1" si="72"/>
        <v>-0.5583380014844388</v>
      </c>
      <c r="K703">
        <f t="shared" ca="1" si="73"/>
        <v>15.31137239446514</v>
      </c>
      <c r="L703">
        <f t="shared" ca="1" si="74"/>
        <v>17.199800298211084</v>
      </c>
      <c r="M703">
        <f t="shared" ca="1" si="75"/>
        <v>0</v>
      </c>
      <c r="N703">
        <f t="shared" ca="1" si="76"/>
        <v>0</v>
      </c>
    </row>
    <row r="704" spans="6:14" x14ac:dyDescent="0.75">
      <c r="F704">
        <v>699</v>
      </c>
      <c r="G704">
        <f t="shared" ca="1" si="70"/>
        <v>-0.83205395399304416</v>
      </c>
      <c r="H704">
        <f t="shared" ca="1" si="70"/>
        <v>-1.9987490270772266</v>
      </c>
      <c r="I704">
        <f t="shared" ca="1" si="71"/>
        <v>-0.83205395399304416</v>
      </c>
      <c r="J704">
        <f t="shared" ca="1" si="72"/>
        <v>-1.946088680214445</v>
      </c>
      <c r="K704">
        <f t="shared" ca="1" si="73"/>
        <v>14.45598144006882</v>
      </c>
      <c r="L704">
        <f t="shared" ca="1" si="74"/>
        <v>12.157668263451528</v>
      </c>
      <c r="M704">
        <f t="shared" ca="1" si="75"/>
        <v>0</v>
      </c>
      <c r="N704">
        <f t="shared" ca="1" si="76"/>
        <v>0</v>
      </c>
    </row>
    <row r="705" spans="6:14" x14ac:dyDescent="0.75">
      <c r="F705">
        <v>700</v>
      </c>
      <c r="G705">
        <f t="shared" ca="1" si="70"/>
        <v>1.5767432229294402</v>
      </c>
      <c r="H705">
        <f t="shared" ca="1" si="70"/>
        <v>2.0087373823793992</v>
      </c>
      <c r="I705">
        <f t="shared" ca="1" si="71"/>
        <v>1.5767432229294402</v>
      </c>
      <c r="J705">
        <f t="shared" ca="1" si="72"/>
        <v>2.5112123079507676</v>
      </c>
      <c r="K705">
        <f t="shared" ca="1" si="73"/>
        <v>26.398509853830298</v>
      </c>
      <c r="L705">
        <f t="shared" ca="1" si="74"/>
        <v>37.050629810877702</v>
      </c>
      <c r="M705">
        <f t="shared" ca="1" si="75"/>
        <v>11.27429321588377</v>
      </c>
      <c r="N705">
        <f t="shared" ca="1" si="76"/>
        <v>11.724569832354</v>
      </c>
    </row>
    <row r="706" spans="6:14" x14ac:dyDescent="0.75">
      <c r="F706">
        <v>701</v>
      </c>
      <c r="G706">
        <f t="shared" ca="1" si="70"/>
        <v>1.5142463207927632</v>
      </c>
      <c r="H706">
        <f t="shared" ca="1" si="70"/>
        <v>-1.7029102878692723</v>
      </c>
      <c r="I706">
        <f t="shared" ca="1" si="71"/>
        <v>1.5142463207927632</v>
      </c>
      <c r="J706">
        <f t="shared" ca="1" si="72"/>
        <v>9.3154589056958503E-3</v>
      </c>
      <c r="K706">
        <f t="shared" ca="1" si="73"/>
        <v>25.989259021133375</v>
      </c>
      <c r="L706">
        <f t="shared" ca="1" si="74"/>
        <v>19.822370799665428</v>
      </c>
      <c r="M706">
        <f t="shared" ca="1" si="75"/>
        <v>2.6973286781827177</v>
      </c>
      <c r="N706">
        <f t="shared" ca="1" si="76"/>
        <v>2.9058149103993998</v>
      </c>
    </row>
    <row r="707" spans="6:14" x14ac:dyDescent="0.75">
      <c r="F707">
        <v>702</v>
      </c>
      <c r="G707">
        <f t="shared" ca="1" si="70"/>
        <v>0.61126796327376209</v>
      </c>
      <c r="H707">
        <f t="shared" ca="1" si="70"/>
        <v>0.30660562121373364</v>
      </c>
      <c r="I707">
        <f t="shared" ca="1" si="71"/>
        <v>0.61126796327376209</v>
      </c>
      <c r="J707">
        <f t="shared" ca="1" si="72"/>
        <v>0.6612515285318239</v>
      </c>
      <c r="K707">
        <f t="shared" ca="1" si="73"/>
        <v>20.737398245444048</v>
      </c>
      <c r="L707">
        <f t="shared" ca="1" si="74"/>
        <v>23.331284810395392</v>
      </c>
      <c r="M707">
        <f t="shared" ca="1" si="75"/>
        <v>1.9961393133215246</v>
      </c>
      <c r="N707">
        <f t="shared" ca="1" si="76"/>
        <v>2.0343415279197217</v>
      </c>
    </row>
    <row r="708" spans="6:14" x14ac:dyDescent="0.75">
      <c r="F708">
        <v>703</v>
      </c>
      <c r="G708">
        <f t="shared" ca="1" si="70"/>
        <v>-0.78970905366390676</v>
      </c>
      <c r="H708">
        <f t="shared" ca="1" si="70"/>
        <v>-0.32265555393624867</v>
      </c>
      <c r="I708">
        <f t="shared" ca="1" si="71"/>
        <v>-0.78970905366390676</v>
      </c>
      <c r="J708">
        <f t="shared" ca="1" si="72"/>
        <v>-0.80569837896020546</v>
      </c>
      <c r="K708">
        <f t="shared" ca="1" si="73"/>
        <v>14.609828606969174</v>
      </c>
      <c r="L708">
        <f t="shared" ca="1" si="74"/>
        <v>16.168383165325881</v>
      </c>
      <c r="M708">
        <f t="shared" ca="1" si="75"/>
        <v>0</v>
      </c>
      <c r="N708">
        <f t="shared" ca="1" si="76"/>
        <v>0</v>
      </c>
    </row>
    <row r="709" spans="6:14" x14ac:dyDescent="0.75">
      <c r="F709">
        <v>704</v>
      </c>
      <c r="G709">
        <f t="shared" ca="1" si="70"/>
        <v>1.5470208689761675</v>
      </c>
      <c r="H709">
        <f t="shared" ca="1" si="70"/>
        <v>0.33485270949270135</v>
      </c>
      <c r="I709">
        <f t="shared" ca="1" si="71"/>
        <v>1.5470208689761675</v>
      </c>
      <c r="J709">
        <f t="shared" ca="1" si="72"/>
        <v>1.3817499005205871</v>
      </c>
      <c r="K709">
        <f t="shared" ca="1" si="73"/>
        <v>26.203080367643871</v>
      </c>
      <c r="L709">
        <f t="shared" ca="1" si="74"/>
        <v>27.936099704514689</v>
      </c>
      <c r="M709">
        <f t="shared" ca="1" si="75"/>
        <v>7.0557178007886279</v>
      </c>
      <c r="N709">
        <f t="shared" ca="1" si="76"/>
        <v>7.0695900360792798</v>
      </c>
    </row>
    <row r="710" spans="6:14" x14ac:dyDescent="0.75">
      <c r="F710">
        <v>705</v>
      </c>
      <c r="G710">
        <f t="shared" ca="1" si="70"/>
        <v>-1.6245956797364072</v>
      </c>
      <c r="H710">
        <f t="shared" ca="1" si="70"/>
        <v>-1.1738791422846306</v>
      </c>
      <c r="I710">
        <f t="shared" ca="1" si="71"/>
        <v>-1.6245956797364072</v>
      </c>
      <c r="J710">
        <f t="shared" ca="1" si="72"/>
        <v>-1.9948948297350402</v>
      </c>
      <c r="K710">
        <f t="shared" ca="1" si="73"/>
        <v>11.857645364265656</v>
      </c>
      <c r="L710">
        <f t="shared" ca="1" si="74"/>
        <v>12.010227351792231</v>
      </c>
      <c r="M710">
        <f t="shared" ca="1" si="75"/>
        <v>0</v>
      </c>
      <c r="N710">
        <f t="shared" ca="1" si="76"/>
        <v>0</v>
      </c>
    </row>
    <row r="711" spans="6:14" x14ac:dyDescent="0.75">
      <c r="F711">
        <v>706</v>
      </c>
      <c r="G711">
        <f t="shared" ref="G711:H774" ca="1" si="77">NORMSINV(RAND())</f>
        <v>-1.2642630875782586</v>
      </c>
      <c r="H711">
        <f t="shared" ca="1" si="77"/>
        <v>0.59615248388138431</v>
      </c>
      <c r="I711">
        <f t="shared" ref="I711:I774" ca="1" si="78">G711</f>
        <v>-1.2642630875782586</v>
      </c>
      <c r="J711">
        <f t="shared" ref="J711:J774" ca="1" si="79">G711*$C$8+SQRT(1-$C$8^2)*H711</f>
        <v>-0.5538795117277977</v>
      </c>
      <c r="K711">
        <f t="shared" ref="K711:K774" ca="1" si="80">C$3*EXP(($C$5-0.5*C$4^2)*$C$6+C$4*SQRT($C$6)*I711)</f>
        <v>12.975409457882266</v>
      </c>
      <c r="L711">
        <f t="shared" ref="L711:L774" ca="1" si="81">D$3*EXP(($C$5-0.5*D$4^2)*$C$6+D$4*SQRT($C$6)*J711)</f>
        <v>17.218982269914644</v>
      </c>
      <c r="M711">
        <f t="shared" ref="M711:M774" ca="1" si="82">MAX(SQRT(K711*L711)-$C$7,0)</f>
        <v>0</v>
      </c>
      <c r="N711">
        <f t="shared" ref="N711:N774" ca="1" si="83">MAX((K711+L711)*0.5-$C$7,0)</f>
        <v>0</v>
      </c>
    </row>
    <row r="712" spans="6:14" x14ac:dyDescent="0.75">
      <c r="F712">
        <v>707</v>
      </c>
      <c r="G712">
        <f t="shared" ca="1" si="77"/>
        <v>0.395607802009382</v>
      </c>
      <c r="H712">
        <f t="shared" ca="1" si="77"/>
        <v>-4.0332719389045417E-2</v>
      </c>
      <c r="I712">
        <f t="shared" ca="1" si="78"/>
        <v>0.395607802009382</v>
      </c>
      <c r="J712">
        <f t="shared" ca="1" si="79"/>
        <v>0.27002826520644468</v>
      </c>
      <c r="K712">
        <f t="shared" ca="1" si="80"/>
        <v>19.64894620039351</v>
      </c>
      <c r="L712">
        <f t="shared" ca="1" si="81"/>
        <v>21.157391828188288</v>
      </c>
      <c r="M712">
        <f t="shared" ca="1" si="82"/>
        <v>0.38922396200299048</v>
      </c>
      <c r="N712">
        <f t="shared" ca="1" si="83"/>
        <v>0.40316901429089924</v>
      </c>
    </row>
    <row r="713" spans="6:14" x14ac:dyDescent="0.75">
      <c r="F713">
        <v>708</v>
      </c>
      <c r="G713">
        <f t="shared" ca="1" si="77"/>
        <v>-0.12823317872559595</v>
      </c>
      <c r="H713">
        <f t="shared" ca="1" si="77"/>
        <v>0.46452550647968505</v>
      </c>
      <c r="I713">
        <f t="shared" ca="1" si="78"/>
        <v>-0.12823317872559595</v>
      </c>
      <c r="J713">
        <f t="shared" ca="1" si="79"/>
        <v>0.21107985790369546</v>
      </c>
      <c r="K713">
        <f t="shared" ca="1" si="80"/>
        <v>17.237090098767244</v>
      </c>
      <c r="L713">
        <f t="shared" ca="1" si="81"/>
        <v>20.847879449862063</v>
      </c>
      <c r="M713">
        <f t="shared" ca="1" si="82"/>
        <v>0</v>
      </c>
      <c r="N713">
        <f t="shared" ca="1" si="83"/>
        <v>0</v>
      </c>
    </row>
    <row r="714" spans="6:14" x14ac:dyDescent="0.75">
      <c r="F714">
        <v>709</v>
      </c>
      <c r="G714">
        <f t="shared" ca="1" si="77"/>
        <v>-0.60845866954717476</v>
      </c>
      <c r="H714">
        <f t="shared" ca="1" si="77"/>
        <v>2.7727669430661083E-2</v>
      </c>
      <c r="I714">
        <f t="shared" ca="1" si="78"/>
        <v>-0.60845866954717476</v>
      </c>
      <c r="J714">
        <f t="shared" ca="1" si="79"/>
        <v>-0.43800387272314678</v>
      </c>
      <c r="K714">
        <f t="shared" ca="1" si="80"/>
        <v>15.287065680590972</v>
      </c>
      <c r="L714">
        <f t="shared" ca="1" si="81"/>
        <v>17.725092754370298</v>
      </c>
      <c r="M714">
        <f t="shared" ca="1" si="82"/>
        <v>0</v>
      </c>
      <c r="N714">
        <f t="shared" ca="1" si="83"/>
        <v>0</v>
      </c>
    </row>
    <row r="715" spans="6:14" x14ac:dyDescent="0.75">
      <c r="F715">
        <v>710</v>
      </c>
      <c r="G715">
        <f t="shared" ca="1" si="77"/>
        <v>-0.11054997113930806</v>
      </c>
      <c r="H715">
        <f t="shared" ca="1" si="77"/>
        <v>1.292728120968351</v>
      </c>
      <c r="I715">
        <f t="shared" ca="1" si="78"/>
        <v>-0.11054997113930806</v>
      </c>
      <c r="J715">
        <f t="shared" ca="1" si="79"/>
        <v>0.7721468018710389</v>
      </c>
      <c r="K715">
        <f t="shared" ca="1" si="80"/>
        <v>17.313460544293758</v>
      </c>
      <c r="L715">
        <f t="shared" ca="1" si="81"/>
        <v>23.987166880414851</v>
      </c>
      <c r="M715">
        <f t="shared" ca="1" si="82"/>
        <v>0.37893194830024512</v>
      </c>
      <c r="N715">
        <f t="shared" ca="1" si="83"/>
        <v>0.65031371235430413</v>
      </c>
    </row>
    <row r="716" spans="6:14" x14ac:dyDescent="0.75">
      <c r="F716">
        <v>711</v>
      </c>
      <c r="G716">
        <f t="shared" ca="1" si="77"/>
        <v>-0.30342631919259871</v>
      </c>
      <c r="H716">
        <f t="shared" ca="1" si="77"/>
        <v>-0.20148919452827413</v>
      </c>
      <c r="I716">
        <f t="shared" ca="1" si="78"/>
        <v>-0.30342631919259871</v>
      </c>
      <c r="J716">
        <f t="shared" ca="1" si="79"/>
        <v>-0.36084231454158144</v>
      </c>
      <c r="K716">
        <f t="shared" ca="1" si="80"/>
        <v>16.49842922843154</v>
      </c>
      <c r="L716">
        <f t="shared" ca="1" si="81"/>
        <v>18.070335930104779</v>
      </c>
      <c r="M716">
        <f t="shared" ca="1" si="82"/>
        <v>0</v>
      </c>
      <c r="N716">
        <f t="shared" ca="1" si="83"/>
        <v>0</v>
      </c>
    </row>
    <row r="717" spans="6:14" x14ac:dyDescent="0.75">
      <c r="F717">
        <v>712</v>
      </c>
      <c r="G717">
        <f t="shared" ca="1" si="77"/>
        <v>-1.1296899024111637</v>
      </c>
      <c r="H717">
        <f t="shared" ca="1" si="77"/>
        <v>-1.2751054347617192</v>
      </c>
      <c r="I717">
        <f t="shared" ca="1" si="78"/>
        <v>-1.1296899024111637</v>
      </c>
      <c r="J717">
        <f t="shared" ca="1" si="79"/>
        <v>-1.6906703957499738</v>
      </c>
      <c r="K717">
        <f t="shared" ca="1" si="80"/>
        <v>13.419371297790054</v>
      </c>
      <c r="L717">
        <f t="shared" ca="1" si="81"/>
        <v>12.959312926866302</v>
      </c>
      <c r="M717">
        <f t="shared" ca="1" si="82"/>
        <v>0</v>
      </c>
      <c r="N717">
        <f t="shared" ca="1" si="83"/>
        <v>0</v>
      </c>
    </row>
    <row r="718" spans="6:14" x14ac:dyDescent="0.75">
      <c r="F718">
        <v>713</v>
      </c>
      <c r="G718">
        <f t="shared" ca="1" si="77"/>
        <v>0.35813967205378533</v>
      </c>
      <c r="H718">
        <f t="shared" ca="1" si="77"/>
        <v>0.34428488216461173</v>
      </c>
      <c r="I718">
        <f t="shared" ca="1" si="78"/>
        <v>0.35813967205378533</v>
      </c>
      <c r="J718">
        <f t="shared" ca="1" si="79"/>
        <v>0.49632779863202392</v>
      </c>
      <c r="K718">
        <f t="shared" ca="1" si="80"/>
        <v>19.465753209773165</v>
      </c>
      <c r="L718">
        <f t="shared" ca="1" si="81"/>
        <v>22.388875884563546</v>
      </c>
      <c r="M718">
        <f t="shared" ca="1" si="82"/>
        <v>0.87621451827787311</v>
      </c>
      <c r="N718">
        <f t="shared" ca="1" si="83"/>
        <v>0.92731454716835771</v>
      </c>
    </row>
    <row r="719" spans="6:14" x14ac:dyDescent="0.75">
      <c r="F719">
        <v>714</v>
      </c>
      <c r="G719">
        <f t="shared" ca="1" si="77"/>
        <v>0.94351288007994627</v>
      </c>
      <c r="H719">
        <f t="shared" ca="1" si="77"/>
        <v>-1.507265129964098</v>
      </c>
      <c r="I719">
        <f t="shared" ca="1" si="78"/>
        <v>0.94351288007994627</v>
      </c>
      <c r="J719">
        <f t="shared" ca="1" si="79"/>
        <v>-0.28932751337115359</v>
      </c>
      <c r="K719">
        <f t="shared" ca="1" si="80"/>
        <v>22.53342985586978</v>
      </c>
      <c r="L719">
        <f t="shared" ca="1" si="81"/>
        <v>18.396315411938676</v>
      </c>
      <c r="M719">
        <f t="shared" ca="1" si="82"/>
        <v>0.36006097587569386</v>
      </c>
      <c r="N719">
        <f t="shared" ca="1" si="83"/>
        <v>0.46487263390422839</v>
      </c>
    </row>
    <row r="720" spans="6:14" x14ac:dyDescent="0.75">
      <c r="F720">
        <v>715</v>
      </c>
      <c r="G720">
        <f t="shared" ca="1" si="77"/>
        <v>2.6853131360558282</v>
      </c>
      <c r="H720">
        <f t="shared" ca="1" si="77"/>
        <v>-0.32331018602878936</v>
      </c>
      <c r="I720">
        <f t="shared" ca="1" si="78"/>
        <v>2.6853131360558282</v>
      </c>
      <c r="J720">
        <f t="shared" ca="1" si="79"/>
        <v>1.8001352649003195</v>
      </c>
      <c r="K720">
        <f t="shared" ca="1" si="80"/>
        <v>34.828988465535744</v>
      </c>
      <c r="L720">
        <f t="shared" ca="1" si="81"/>
        <v>31.016399780530758</v>
      </c>
      <c r="M720">
        <f t="shared" ca="1" si="82"/>
        <v>12.867458529654392</v>
      </c>
      <c r="N720">
        <f t="shared" ca="1" si="83"/>
        <v>12.922694123033253</v>
      </c>
    </row>
    <row r="721" spans="6:14" x14ac:dyDescent="0.75">
      <c r="F721">
        <v>716</v>
      </c>
      <c r="G721">
        <f t="shared" ca="1" si="77"/>
        <v>0.13776734876748123</v>
      </c>
      <c r="H721">
        <f t="shared" ca="1" si="77"/>
        <v>-0.1914592695582262</v>
      </c>
      <c r="I721">
        <f t="shared" ca="1" si="78"/>
        <v>0.13776734876748123</v>
      </c>
      <c r="J721">
        <f t="shared" ca="1" si="79"/>
        <v>-2.3312891786675533E-2</v>
      </c>
      <c r="K721">
        <f t="shared" ca="1" si="80"/>
        <v>18.422331461222026</v>
      </c>
      <c r="L721">
        <f t="shared" ca="1" si="81"/>
        <v>19.66133566493329</v>
      </c>
      <c r="M721">
        <f t="shared" ca="1" si="82"/>
        <v>0</v>
      </c>
      <c r="N721">
        <f t="shared" ca="1" si="83"/>
        <v>0</v>
      </c>
    </row>
    <row r="722" spans="6:14" x14ac:dyDescent="0.75">
      <c r="F722">
        <v>717</v>
      </c>
      <c r="G722">
        <f t="shared" ca="1" si="77"/>
        <v>1.2534013152511045</v>
      </c>
      <c r="H722">
        <f t="shared" ca="1" si="77"/>
        <v>-1.4139641243608059</v>
      </c>
      <c r="I722">
        <f t="shared" ca="1" si="78"/>
        <v>1.2534013152511045</v>
      </c>
      <c r="J722">
        <f t="shared" ca="1" si="79"/>
        <v>4.8016274818538651E-3</v>
      </c>
      <c r="K722">
        <f t="shared" ca="1" si="80"/>
        <v>24.348544818824628</v>
      </c>
      <c r="L722">
        <f t="shared" ca="1" si="81"/>
        <v>19.800014705939965</v>
      </c>
      <c r="M722">
        <f t="shared" ca="1" si="82"/>
        <v>1.9568109132671161</v>
      </c>
      <c r="N722">
        <f t="shared" ca="1" si="83"/>
        <v>2.0742797623822966</v>
      </c>
    </row>
    <row r="723" spans="6:14" x14ac:dyDescent="0.75">
      <c r="F723">
        <v>718</v>
      </c>
      <c r="G723">
        <f t="shared" ca="1" si="77"/>
        <v>-1.1390528312114696</v>
      </c>
      <c r="H723">
        <f t="shared" ca="1" si="77"/>
        <v>-0.4476526907080583</v>
      </c>
      <c r="I723">
        <f t="shared" ca="1" si="78"/>
        <v>-1.1390528312114696</v>
      </c>
      <c r="J723">
        <f t="shared" ca="1" si="79"/>
        <v>-1.1503840467442115</v>
      </c>
      <c r="K723">
        <f t="shared" ca="1" si="80"/>
        <v>13.387996877171943</v>
      </c>
      <c r="L723">
        <f t="shared" ca="1" si="81"/>
        <v>14.833472194213787</v>
      </c>
      <c r="M723">
        <f t="shared" ca="1" si="82"/>
        <v>0</v>
      </c>
      <c r="N723">
        <f t="shared" ca="1" si="83"/>
        <v>0</v>
      </c>
    </row>
    <row r="724" spans="6:14" x14ac:dyDescent="0.75">
      <c r="F724">
        <v>719</v>
      </c>
      <c r="G724">
        <f t="shared" ca="1" si="77"/>
        <v>7.0506034765368528E-2</v>
      </c>
      <c r="H724">
        <f t="shared" ca="1" si="77"/>
        <v>-0.81441199643155604</v>
      </c>
      <c r="I724">
        <f t="shared" ca="1" si="78"/>
        <v>7.0506034765368528E-2</v>
      </c>
      <c r="J724">
        <f t="shared" ca="1" si="79"/>
        <v>-0.48580337575235361</v>
      </c>
      <c r="K724">
        <f t="shared" ca="1" si="80"/>
        <v>18.115143874257384</v>
      </c>
      <c r="L724">
        <f t="shared" ca="1" si="81"/>
        <v>17.514540639531273</v>
      </c>
      <c r="M724">
        <f t="shared" ca="1" si="82"/>
        <v>0</v>
      </c>
      <c r="N724">
        <f t="shared" ca="1" si="83"/>
        <v>0</v>
      </c>
    </row>
    <row r="725" spans="6:14" x14ac:dyDescent="0.75">
      <c r="F725">
        <v>720</v>
      </c>
      <c r="G725">
        <f t="shared" ca="1" si="77"/>
        <v>-1.1703205627039501</v>
      </c>
      <c r="H725">
        <f t="shared" ca="1" si="77"/>
        <v>0.14684029488237837</v>
      </c>
      <c r="I725">
        <f t="shared" ca="1" si="78"/>
        <v>-1.1703205627039501</v>
      </c>
      <c r="J725">
        <f t="shared" ca="1" si="79"/>
        <v>-0.78061469635242164</v>
      </c>
      <c r="K725">
        <f t="shared" ca="1" si="80"/>
        <v>13.283751773585436</v>
      </c>
      <c r="L725">
        <f t="shared" ca="1" si="81"/>
        <v>16.270092385144753</v>
      </c>
      <c r="M725">
        <f t="shared" ca="1" si="82"/>
        <v>0</v>
      </c>
      <c r="N725">
        <f t="shared" ca="1" si="83"/>
        <v>0</v>
      </c>
    </row>
    <row r="726" spans="6:14" x14ac:dyDescent="0.75">
      <c r="F726">
        <v>721</v>
      </c>
      <c r="G726">
        <f t="shared" ca="1" si="77"/>
        <v>0.82321242653012794</v>
      </c>
      <c r="H726">
        <f t="shared" ca="1" si="77"/>
        <v>0.68272418409558311</v>
      </c>
      <c r="I726">
        <f t="shared" ca="1" si="78"/>
        <v>0.82321242653012794</v>
      </c>
      <c r="J726">
        <f t="shared" ca="1" si="79"/>
        <v>1.0689889211891939</v>
      </c>
      <c r="K726">
        <f t="shared" ca="1" si="80"/>
        <v>21.865823881370954</v>
      </c>
      <c r="L726">
        <f t="shared" ca="1" si="81"/>
        <v>25.834983003472768</v>
      </c>
      <c r="M726">
        <f t="shared" ca="1" si="82"/>
        <v>3.7676921120277811</v>
      </c>
      <c r="N726">
        <f t="shared" ca="1" si="83"/>
        <v>3.8504034424218609</v>
      </c>
    </row>
    <row r="727" spans="6:14" x14ac:dyDescent="0.75">
      <c r="F727">
        <v>722</v>
      </c>
      <c r="G727">
        <f t="shared" ca="1" si="77"/>
        <v>1.0324092396619218</v>
      </c>
      <c r="H727">
        <f t="shared" ca="1" si="77"/>
        <v>0.13235764659504337</v>
      </c>
      <c r="I727">
        <f t="shared" ca="1" si="78"/>
        <v>1.0324092396619218</v>
      </c>
      <c r="J727">
        <f t="shared" ca="1" si="79"/>
        <v>0.86185328399850625</v>
      </c>
      <c r="K727">
        <f t="shared" ca="1" si="80"/>
        <v>23.039821025605452</v>
      </c>
      <c r="L727">
        <f t="shared" ca="1" si="81"/>
        <v>24.531195530159987</v>
      </c>
      <c r="M727">
        <f t="shared" ca="1" si="82"/>
        <v>3.7738165753632948</v>
      </c>
      <c r="N727">
        <f t="shared" ca="1" si="83"/>
        <v>3.7855082778827196</v>
      </c>
    </row>
    <row r="728" spans="6:14" x14ac:dyDescent="0.75">
      <c r="F728">
        <v>723</v>
      </c>
      <c r="G728">
        <f t="shared" ca="1" si="77"/>
        <v>0.17263779625449233</v>
      </c>
      <c r="H728">
        <f t="shared" ca="1" si="77"/>
        <v>0.29089285016985927</v>
      </c>
      <c r="I728">
        <f t="shared" ca="1" si="78"/>
        <v>0.17263779625449233</v>
      </c>
      <c r="J728">
        <f t="shared" ca="1" si="79"/>
        <v>0.32188588211992442</v>
      </c>
      <c r="K728">
        <f t="shared" ca="1" si="80"/>
        <v>18.583632253999962</v>
      </c>
      <c r="L728">
        <f t="shared" ca="1" si="81"/>
        <v>21.433470539438186</v>
      </c>
      <c r="M728">
        <f t="shared" ca="1" si="82"/>
        <v>0</v>
      </c>
      <c r="N728">
        <f t="shared" ca="1" si="83"/>
        <v>8.5513967190742335E-3</v>
      </c>
    </row>
    <row r="729" spans="6:14" x14ac:dyDescent="0.75">
      <c r="F729">
        <v>724</v>
      </c>
      <c r="G729">
        <f t="shared" ca="1" si="77"/>
        <v>0.79077731449717548</v>
      </c>
      <c r="H729">
        <f t="shared" ca="1" si="77"/>
        <v>-0.15219597907680835</v>
      </c>
      <c r="I729">
        <f t="shared" ca="1" si="78"/>
        <v>0.79077731449717548</v>
      </c>
      <c r="J729">
        <f t="shared" ca="1" si="79"/>
        <v>0.49241480807757548</v>
      </c>
      <c r="K729">
        <f t="shared" ca="1" si="80"/>
        <v>21.689235694342045</v>
      </c>
      <c r="L729">
        <f t="shared" ca="1" si="81"/>
        <v>22.36698472882976</v>
      </c>
      <c r="M729">
        <f t="shared" ca="1" si="82"/>
        <v>2.0255034801781058</v>
      </c>
      <c r="N729">
        <f t="shared" ca="1" si="83"/>
        <v>2.0281102115859042</v>
      </c>
    </row>
    <row r="730" spans="6:14" x14ac:dyDescent="0.75">
      <c r="F730">
        <v>725</v>
      </c>
      <c r="G730">
        <f t="shared" ca="1" si="77"/>
        <v>1.977587206254283</v>
      </c>
      <c r="H730">
        <f t="shared" ca="1" si="77"/>
        <v>-1.754128054549422</v>
      </c>
      <c r="I730">
        <f t="shared" ca="1" si="78"/>
        <v>1.977587206254283</v>
      </c>
      <c r="J730">
        <f t="shared" ca="1" si="79"/>
        <v>0.32294375466588399</v>
      </c>
      <c r="K730">
        <f t="shared" ca="1" si="80"/>
        <v>29.181021795423174</v>
      </c>
      <c r="L730">
        <f t="shared" ca="1" si="81"/>
        <v>21.439139759081197</v>
      </c>
      <c r="M730">
        <f t="shared" ca="1" si="82"/>
        <v>5.012317057499331</v>
      </c>
      <c r="N730">
        <f t="shared" ca="1" si="83"/>
        <v>5.3100807772521854</v>
      </c>
    </row>
    <row r="731" spans="6:14" x14ac:dyDescent="0.75">
      <c r="F731">
        <v>726</v>
      </c>
      <c r="G731">
        <f t="shared" ca="1" si="77"/>
        <v>-0.43774822892630211</v>
      </c>
      <c r="H731">
        <f t="shared" ca="1" si="77"/>
        <v>1.1373503464480252</v>
      </c>
      <c r="I731">
        <f t="shared" ca="1" si="78"/>
        <v>-0.43774822892630211</v>
      </c>
      <c r="J731">
        <f t="shared" ca="1" si="79"/>
        <v>0.42397537086893078</v>
      </c>
      <c r="K731">
        <f t="shared" ca="1" si="80"/>
        <v>15.953603056266507</v>
      </c>
      <c r="L731">
        <f t="shared" ca="1" si="81"/>
        <v>21.987544111532692</v>
      </c>
      <c r="M731">
        <f t="shared" ca="1" si="82"/>
        <v>0</v>
      </c>
      <c r="N731">
        <f t="shared" ca="1" si="83"/>
        <v>0</v>
      </c>
    </row>
    <row r="732" spans="6:14" x14ac:dyDescent="0.75">
      <c r="F732">
        <v>727</v>
      </c>
      <c r="G732">
        <f t="shared" ca="1" si="77"/>
        <v>0.33860651217765686</v>
      </c>
      <c r="H732">
        <f t="shared" ca="1" si="77"/>
        <v>-0.67302649928382063</v>
      </c>
      <c r="I732">
        <f t="shared" ca="1" si="78"/>
        <v>0.33860651217765686</v>
      </c>
      <c r="J732">
        <f t="shared" ca="1" si="79"/>
        <v>-0.19121030158210245</v>
      </c>
      <c r="K732">
        <f t="shared" ca="1" si="80"/>
        <v>19.370928010294456</v>
      </c>
      <c r="L732">
        <f t="shared" ca="1" si="81"/>
        <v>18.853144145574515</v>
      </c>
      <c r="M732">
        <f t="shared" ca="1" si="82"/>
        <v>0</v>
      </c>
      <c r="N732">
        <f t="shared" ca="1" si="83"/>
        <v>0</v>
      </c>
    </row>
    <row r="733" spans="6:14" x14ac:dyDescent="0.75">
      <c r="F733">
        <v>728</v>
      </c>
      <c r="G733">
        <f t="shared" ca="1" si="77"/>
        <v>0.89064044162181855</v>
      </c>
      <c r="H733">
        <f t="shared" ca="1" si="77"/>
        <v>-0.9253327584191603</v>
      </c>
      <c r="I733">
        <f t="shared" ca="1" si="78"/>
        <v>0.89064044162181855</v>
      </c>
      <c r="J733">
        <f t="shared" ca="1" si="79"/>
        <v>5.5930241526736979E-2</v>
      </c>
      <c r="K733">
        <f t="shared" ca="1" si="80"/>
        <v>22.237540367985332</v>
      </c>
      <c r="L733">
        <f t="shared" ca="1" si="81"/>
        <v>20.05472594455496</v>
      </c>
      <c r="M733">
        <f t="shared" ca="1" si="82"/>
        <v>1.1179491845426064</v>
      </c>
      <c r="N733">
        <f t="shared" ca="1" si="83"/>
        <v>1.146133156270146</v>
      </c>
    </row>
    <row r="734" spans="6:14" x14ac:dyDescent="0.75">
      <c r="F734">
        <v>729</v>
      </c>
      <c r="G734">
        <f t="shared" ca="1" si="77"/>
        <v>-0.54728430557671626</v>
      </c>
      <c r="H734">
        <f t="shared" ca="1" si="77"/>
        <v>-0.41353028197726893</v>
      </c>
      <c r="I734">
        <f t="shared" ca="1" si="78"/>
        <v>-0.54728430557671626</v>
      </c>
      <c r="J734">
        <f t="shared" ca="1" si="79"/>
        <v>-0.68398780060910447</v>
      </c>
      <c r="K734">
        <f t="shared" ca="1" si="80"/>
        <v>15.52265673527797</v>
      </c>
      <c r="L734">
        <f t="shared" ca="1" si="81"/>
        <v>16.667910157080389</v>
      </c>
      <c r="M734">
        <f t="shared" ca="1" si="82"/>
        <v>0</v>
      </c>
      <c r="N734">
        <f t="shared" ca="1" si="83"/>
        <v>0</v>
      </c>
    </row>
    <row r="735" spans="6:14" x14ac:dyDescent="0.75">
      <c r="F735">
        <v>730</v>
      </c>
      <c r="G735">
        <f t="shared" ca="1" si="77"/>
        <v>-0.85754336857214053</v>
      </c>
      <c r="H735">
        <f t="shared" ca="1" si="77"/>
        <v>-1.3436674644043201</v>
      </c>
      <c r="I735">
        <f t="shared" ca="1" si="78"/>
        <v>-0.85754336857214053</v>
      </c>
      <c r="J735">
        <f t="shared" ca="1" si="79"/>
        <v>-1.5319100153247465</v>
      </c>
      <c r="K735">
        <f t="shared" ca="1" si="80"/>
        <v>14.36415569783164</v>
      </c>
      <c r="L735">
        <f t="shared" ca="1" si="81"/>
        <v>13.484013111187124</v>
      </c>
      <c r="M735">
        <f t="shared" ca="1" si="82"/>
        <v>0</v>
      </c>
      <c r="N735">
        <f t="shared" ca="1" si="83"/>
        <v>0</v>
      </c>
    </row>
    <row r="736" spans="6:14" x14ac:dyDescent="0.75">
      <c r="F736">
        <v>731</v>
      </c>
      <c r="G736">
        <f t="shared" ca="1" si="77"/>
        <v>1.6130971069756235</v>
      </c>
      <c r="H736">
        <f t="shared" ca="1" si="77"/>
        <v>6.562991198253941E-2</v>
      </c>
      <c r="I736">
        <f t="shared" ca="1" si="78"/>
        <v>1.6130971069756235</v>
      </c>
      <c r="J736">
        <f t="shared" ca="1" si="79"/>
        <v>1.253232936649932</v>
      </c>
      <c r="K736">
        <f t="shared" ca="1" si="80"/>
        <v>26.639525518329897</v>
      </c>
      <c r="L736">
        <f t="shared" ca="1" si="81"/>
        <v>27.05279988546372</v>
      </c>
      <c r="M736">
        <f t="shared" ca="1" si="82"/>
        <v>6.8453674381835015</v>
      </c>
      <c r="N736">
        <f t="shared" ca="1" si="83"/>
        <v>6.8461627018968088</v>
      </c>
    </row>
    <row r="737" spans="6:14" x14ac:dyDescent="0.75">
      <c r="F737">
        <v>732</v>
      </c>
      <c r="G737">
        <f t="shared" ca="1" si="77"/>
        <v>0.25970166918484855</v>
      </c>
      <c r="H737">
        <f t="shared" ca="1" si="77"/>
        <v>-1.1536337255927591</v>
      </c>
      <c r="I737">
        <f t="shared" ca="1" si="78"/>
        <v>0.25970166918484855</v>
      </c>
      <c r="J737">
        <f t="shared" ca="1" si="79"/>
        <v>-0.56828073360520626</v>
      </c>
      <c r="K737">
        <f t="shared" ca="1" si="80"/>
        <v>18.99255718265071</v>
      </c>
      <c r="L737">
        <f t="shared" ca="1" si="81"/>
        <v>17.157100138004612</v>
      </c>
      <c r="M737">
        <f t="shared" ca="1" si="82"/>
        <v>0</v>
      </c>
      <c r="N737">
        <f t="shared" ca="1" si="83"/>
        <v>0</v>
      </c>
    </row>
    <row r="738" spans="6:14" x14ac:dyDescent="0.75">
      <c r="F738">
        <v>733</v>
      </c>
      <c r="G738">
        <f t="shared" ca="1" si="77"/>
        <v>0.75036091075931688</v>
      </c>
      <c r="H738">
        <f t="shared" ca="1" si="77"/>
        <v>0.15906334430833471</v>
      </c>
      <c r="I738">
        <f t="shared" ca="1" si="78"/>
        <v>0.75036091075931688</v>
      </c>
      <c r="J738">
        <f t="shared" ca="1" si="79"/>
        <v>0.66798119600601136</v>
      </c>
      <c r="K738">
        <f t="shared" ca="1" si="80"/>
        <v>21.471188906154939</v>
      </c>
      <c r="L738">
        <f t="shared" ca="1" si="81"/>
        <v>23.370570795961008</v>
      </c>
      <c r="M738">
        <f t="shared" ca="1" si="82"/>
        <v>2.4007575855091687</v>
      </c>
      <c r="N738">
        <f t="shared" ca="1" si="83"/>
        <v>2.4208798510579754</v>
      </c>
    </row>
    <row r="739" spans="6:14" x14ac:dyDescent="0.75">
      <c r="F739">
        <v>734</v>
      </c>
      <c r="G739">
        <f t="shared" ca="1" si="77"/>
        <v>-0.3451190707300949</v>
      </c>
      <c r="H739">
        <f t="shared" ca="1" si="77"/>
        <v>0.47668443095123025</v>
      </c>
      <c r="I739">
        <f t="shared" ca="1" si="78"/>
        <v>-0.3451190707300949</v>
      </c>
      <c r="J739">
        <f t="shared" ca="1" si="79"/>
        <v>5.6457811490752741E-2</v>
      </c>
      <c r="K739">
        <f t="shared" ca="1" si="80"/>
        <v>16.327356113217171</v>
      </c>
      <c r="L739">
        <f t="shared" ca="1" si="81"/>
        <v>20.057371186756146</v>
      </c>
      <c r="M739">
        <f t="shared" ca="1" si="82"/>
        <v>0</v>
      </c>
      <c r="N739">
        <f t="shared" ca="1" si="83"/>
        <v>0</v>
      </c>
    </row>
    <row r="740" spans="6:14" x14ac:dyDescent="0.75">
      <c r="F740">
        <v>735</v>
      </c>
      <c r="G740">
        <f t="shared" ca="1" si="77"/>
        <v>-0.36618939252972349</v>
      </c>
      <c r="H740">
        <f t="shared" ca="1" si="77"/>
        <v>2.2194657370347332E-2</v>
      </c>
      <c r="I740">
        <f t="shared" ca="1" si="78"/>
        <v>-0.36618939252972349</v>
      </c>
      <c r="J740">
        <f t="shared" ca="1" si="79"/>
        <v>-0.25996165843823615</v>
      </c>
      <c r="K740">
        <f t="shared" ca="1" si="80"/>
        <v>16.241576575012274</v>
      </c>
      <c r="L740">
        <f t="shared" ca="1" si="81"/>
        <v>18.531868263708269</v>
      </c>
      <c r="M740">
        <f t="shared" ca="1" si="82"/>
        <v>0</v>
      </c>
      <c r="N740">
        <f t="shared" ca="1" si="83"/>
        <v>0</v>
      </c>
    </row>
    <row r="741" spans="6:14" x14ac:dyDescent="0.75">
      <c r="F741">
        <v>736</v>
      </c>
      <c r="G741">
        <f t="shared" ca="1" si="77"/>
        <v>1.5488661793737473</v>
      </c>
      <c r="H741">
        <f t="shared" ca="1" si="77"/>
        <v>0.40205599299479694</v>
      </c>
      <c r="I741">
        <f t="shared" ca="1" si="78"/>
        <v>1.5488661793737473</v>
      </c>
      <c r="J741">
        <f t="shared" ca="1" si="79"/>
        <v>1.4275846771771503</v>
      </c>
      <c r="K741">
        <f t="shared" ca="1" si="80"/>
        <v>26.215171360546552</v>
      </c>
      <c r="L741">
        <f t="shared" ca="1" si="81"/>
        <v>28.258051980770563</v>
      </c>
      <c r="M741">
        <f t="shared" ca="1" si="82"/>
        <v>7.2174516623274698</v>
      </c>
      <c r="N741">
        <f t="shared" ca="1" si="83"/>
        <v>7.2366116706585579</v>
      </c>
    </row>
    <row r="742" spans="6:14" x14ac:dyDescent="0.75">
      <c r="F742">
        <v>737</v>
      </c>
      <c r="G742">
        <f t="shared" ca="1" si="77"/>
        <v>-0.10612735797832652</v>
      </c>
      <c r="H742">
        <f t="shared" ca="1" si="77"/>
        <v>1.4587773955091594</v>
      </c>
      <c r="I742">
        <f t="shared" ca="1" si="78"/>
        <v>-0.10612735797832652</v>
      </c>
      <c r="J742">
        <f t="shared" ca="1" si="79"/>
        <v>0.88529503319619196</v>
      </c>
      <c r="K742">
        <f t="shared" ca="1" si="80"/>
        <v>17.332613815397508</v>
      </c>
      <c r="L742">
        <f t="shared" ca="1" si="81"/>
        <v>24.67538114615764</v>
      </c>
      <c r="M742">
        <f t="shared" ca="1" si="82"/>
        <v>0.68063954896199874</v>
      </c>
      <c r="N742">
        <f t="shared" ca="1" si="83"/>
        <v>1.0039974807775742</v>
      </c>
    </row>
    <row r="743" spans="6:14" x14ac:dyDescent="0.75">
      <c r="F743">
        <v>738</v>
      </c>
      <c r="G743">
        <f t="shared" ca="1" si="77"/>
        <v>-0.12706026425231667</v>
      </c>
      <c r="H743">
        <f t="shared" ca="1" si="77"/>
        <v>-1.0400114824374411</v>
      </c>
      <c r="I743">
        <f t="shared" ca="1" si="78"/>
        <v>-0.12706026425231667</v>
      </c>
      <c r="J743">
        <f t="shared" ca="1" si="79"/>
        <v>-0.78319813398450955</v>
      </c>
      <c r="K743">
        <f t="shared" ca="1" si="80"/>
        <v>17.242145248001751</v>
      </c>
      <c r="L743">
        <f t="shared" ca="1" si="81"/>
        <v>16.25958758558539</v>
      </c>
      <c r="M743">
        <f t="shared" ca="1" si="82"/>
        <v>0</v>
      </c>
      <c r="N743">
        <f t="shared" ca="1" si="83"/>
        <v>0</v>
      </c>
    </row>
    <row r="744" spans="6:14" x14ac:dyDescent="0.75">
      <c r="F744">
        <v>739</v>
      </c>
      <c r="G744">
        <f t="shared" ca="1" si="77"/>
        <v>0.639787477842781</v>
      </c>
      <c r="H744">
        <f t="shared" ca="1" si="77"/>
        <v>-1.0811808657399287</v>
      </c>
      <c r="I744">
        <f t="shared" ca="1" si="78"/>
        <v>0.639787477842781</v>
      </c>
      <c r="J744">
        <f t="shared" ca="1" si="79"/>
        <v>-0.23529331487525562</v>
      </c>
      <c r="K744">
        <f t="shared" ca="1" si="80"/>
        <v>20.88578172780997</v>
      </c>
      <c r="L744">
        <f t="shared" ca="1" si="81"/>
        <v>18.646509023368623</v>
      </c>
      <c r="M744">
        <f t="shared" ca="1" si="82"/>
        <v>0</v>
      </c>
      <c r="N744">
        <f t="shared" ca="1" si="83"/>
        <v>0</v>
      </c>
    </row>
    <row r="745" spans="6:14" x14ac:dyDescent="0.75">
      <c r="F745">
        <v>740</v>
      </c>
      <c r="G745">
        <f t="shared" ca="1" si="77"/>
        <v>1.33462796551379</v>
      </c>
      <c r="H745">
        <f t="shared" ca="1" si="77"/>
        <v>-0.19872468666221324</v>
      </c>
      <c r="I745">
        <f t="shared" ca="1" si="78"/>
        <v>1.33462796551379</v>
      </c>
      <c r="J745">
        <f t="shared" ca="1" si="79"/>
        <v>0.86952694906597983</v>
      </c>
      <c r="K745">
        <f t="shared" ca="1" si="80"/>
        <v>24.848036846338363</v>
      </c>
      <c r="L745">
        <f t="shared" ca="1" si="81"/>
        <v>24.578301744927952</v>
      </c>
      <c r="M745">
        <f t="shared" ca="1" si="82"/>
        <v>4.7128012855360524</v>
      </c>
      <c r="N745">
        <f t="shared" ca="1" si="83"/>
        <v>4.7131692956331577</v>
      </c>
    </row>
    <row r="746" spans="6:14" x14ac:dyDescent="0.75">
      <c r="F746">
        <v>741</v>
      </c>
      <c r="G746">
        <f t="shared" ca="1" si="77"/>
        <v>-0.81677425092223999</v>
      </c>
      <c r="H746">
        <f t="shared" ca="1" si="77"/>
        <v>-0.67475792796997047</v>
      </c>
      <c r="I746">
        <f t="shared" ca="1" si="78"/>
        <v>-0.81677425092223999</v>
      </c>
      <c r="J746">
        <f t="shared" ca="1" si="79"/>
        <v>-1.0588911063361239</v>
      </c>
      <c r="K746">
        <f t="shared" ca="1" si="80"/>
        <v>14.511307820125461</v>
      </c>
      <c r="L746">
        <f t="shared" ca="1" si="81"/>
        <v>15.176671770449687</v>
      </c>
      <c r="M746">
        <f t="shared" ca="1" si="82"/>
        <v>0</v>
      </c>
      <c r="N746">
        <f t="shared" ca="1" si="83"/>
        <v>0</v>
      </c>
    </row>
    <row r="747" spans="6:14" x14ac:dyDescent="0.75">
      <c r="F747">
        <v>742</v>
      </c>
      <c r="G747">
        <f t="shared" ca="1" si="77"/>
        <v>-0.98852877638951053</v>
      </c>
      <c r="H747">
        <f t="shared" ca="1" si="77"/>
        <v>-0.23490363129308778</v>
      </c>
      <c r="I747">
        <f t="shared" ca="1" si="78"/>
        <v>-0.98852877638951053</v>
      </c>
      <c r="J747">
        <f t="shared" ca="1" si="79"/>
        <v>-0.89677072990901296</v>
      </c>
      <c r="K747">
        <f t="shared" ca="1" si="80"/>
        <v>13.901400129415658</v>
      </c>
      <c r="L747">
        <f t="shared" ca="1" si="81"/>
        <v>15.804419104367078</v>
      </c>
      <c r="M747">
        <f t="shared" ca="1" si="82"/>
        <v>0</v>
      </c>
      <c r="N747">
        <f t="shared" ca="1" si="83"/>
        <v>0</v>
      </c>
    </row>
    <row r="748" spans="6:14" x14ac:dyDescent="0.75">
      <c r="F748">
        <v>743</v>
      </c>
      <c r="G748">
        <f t="shared" ca="1" si="77"/>
        <v>-0.85520678575915032</v>
      </c>
      <c r="H748">
        <f t="shared" ca="1" si="77"/>
        <v>0.35034486226959821</v>
      </c>
      <c r="I748">
        <f t="shared" ca="1" si="78"/>
        <v>-0.85520678575915032</v>
      </c>
      <c r="J748">
        <f t="shared" ca="1" si="79"/>
        <v>-0.40967374465072959</v>
      </c>
      <c r="K748">
        <f t="shared" ca="1" si="80"/>
        <v>14.372548908853719</v>
      </c>
      <c r="L748">
        <f t="shared" ca="1" si="81"/>
        <v>17.851076908091198</v>
      </c>
      <c r="M748">
        <f t="shared" ca="1" si="82"/>
        <v>0</v>
      </c>
      <c r="N748">
        <f t="shared" ca="1" si="83"/>
        <v>0</v>
      </c>
    </row>
    <row r="749" spans="6:14" x14ac:dyDescent="0.75">
      <c r="F749">
        <v>744</v>
      </c>
      <c r="G749">
        <f t="shared" ca="1" si="77"/>
        <v>-0.19379798048456204</v>
      </c>
      <c r="H749">
        <f t="shared" ca="1" si="77"/>
        <v>-0.3735838594158073</v>
      </c>
      <c r="I749">
        <f t="shared" ca="1" si="78"/>
        <v>-0.19379798048456204</v>
      </c>
      <c r="J749">
        <f t="shared" ca="1" si="79"/>
        <v>-0.39245098182390703</v>
      </c>
      <c r="K749">
        <f t="shared" ca="1" si="80"/>
        <v>16.95685645705958</v>
      </c>
      <c r="L749">
        <f t="shared" ca="1" si="81"/>
        <v>17.928103832094511</v>
      </c>
      <c r="M749">
        <f t="shared" ca="1" si="82"/>
        <v>0</v>
      </c>
      <c r="N749">
        <f t="shared" ca="1" si="83"/>
        <v>0</v>
      </c>
    </row>
    <row r="750" spans="6:14" x14ac:dyDescent="0.75">
      <c r="F750">
        <v>745</v>
      </c>
      <c r="G750">
        <f t="shared" ca="1" si="77"/>
        <v>-5.6526151306001467E-3</v>
      </c>
      <c r="H750">
        <f t="shared" ca="1" si="77"/>
        <v>0.47836070765236111</v>
      </c>
      <c r="I750">
        <f t="shared" ca="1" si="78"/>
        <v>-5.6526151306001467E-3</v>
      </c>
      <c r="J750">
        <f t="shared" ca="1" si="79"/>
        <v>0.31216640601030482</v>
      </c>
      <c r="K750">
        <f t="shared" ca="1" si="80"/>
        <v>17.773500358504783</v>
      </c>
      <c r="L750">
        <f t="shared" ca="1" si="81"/>
        <v>21.381453236434993</v>
      </c>
      <c r="M750">
        <f t="shared" ca="1" si="82"/>
        <v>0</v>
      </c>
      <c r="N750">
        <f t="shared" ca="1" si="83"/>
        <v>0</v>
      </c>
    </row>
    <row r="751" spans="6:14" x14ac:dyDescent="0.75">
      <c r="F751">
        <v>746</v>
      </c>
      <c r="G751">
        <f t="shared" ca="1" si="77"/>
        <v>0.27494358990976597</v>
      </c>
      <c r="H751">
        <f t="shared" ca="1" si="77"/>
        <v>1.1442541324032145</v>
      </c>
      <c r="I751">
        <f t="shared" ca="1" si="78"/>
        <v>0.27494358990976597</v>
      </c>
      <c r="J751">
        <f t="shared" ca="1" si="79"/>
        <v>0.96306066018154468</v>
      </c>
      <c r="K751">
        <f t="shared" ca="1" si="80"/>
        <v>19.065066004365924</v>
      </c>
      <c r="L751">
        <f t="shared" ca="1" si="81"/>
        <v>25.159798891064931</v>
      </c>
      <c r="M751">
        <f t="shared" ca="1" si="82"/>
        <v>1.901443480161884</v>
      </c>
      <c r="N751">
        <f t="shared" ca="1" si="83"/>
        <v>2.1124324477154275</v>
      </c>
    </row>
    <row r="752" spans="6:14" x14ac:dyDescent="0.75">
      <c r="F752">
        <v>747</v>
      </c>
      <c r="G752">
        <f t="shared" ca="1" si="77"/>
        <v>1.2392066119343941</v>
      </c>
      <c r="H752">
        <f t="shared" ca="1" si="77"/>
        <v>0.43205937332854844</v>
      </c>
      <c r="I752">
        <f t="shared" ca="1" si="78"/>
        <v>1.2392066119343941</v>
      </c>
      <c r="J752">
        <f t="shared" ca="1" si="79"/>
        <v>1.2151853723112338</v>
      </c>
      <c r="K752">
        <f t="shared" ca="1" si="80"/>
        <v>24.262292856991451</v>
      </c>
      <c r="L752">
        <f t="shared" ca="1" si="81"/>
        <v>26.796696543895852</v>
      </c>
      <c r="M752">
        <f t="shared" ca="1" si="82"/>
        <v>5.4980253970367663</v>
      </c>
      <c r="N752">
        <f t="shared" ca="1" si="83"/>
        <v>5.5294947004436494</v>
      </c>
    </row>
    <row r="753" spans="6:14" x14ac:dyDescent="0.75">
      <c r="F753">
        <v>748</v>
      </c>
      <c r="G753">
        <f t="shared" ca="1" si="77"/>
        <v>-2.4792401041170118</v>
      </c>
      <c r="H753">
        <f t="shared" ca="1" si="77"/>
        <v>8.1539463168370074E-2</v>
      </c>
      <c r="I753">
        <f t="shared" ca="1" si="78"/>
        <v>-2.4792401041170118</v>
      </c>
      <c r="J753">
        <f t="shared" ca="1" si="79"/>
        <v>-1.8054967926924543</v>
      </c>
      <c r="K753">
        <f t="shared" ca="1" si="80"/>
        <v>9.5764957011707637</v>
      </c>
      <c r="L753">
        <f t="shared" ca="1" si="81"/>
        <v>12.592584077169541</v>
      </c>
      <c r="M753">
        <f t="shared" ca="1" si="82"/>
        <v>0</v>
      </c>
      <c r="N753">
        <f t="shared" ca="1" si="83"/>
        <v>0</v>
      </c>
    </row>
    <row r="754" spans="6:14" x14ac:dyDescent="0.75">
      <c r="F754">
        <v>749</v>
      </c>
      <c r="G754">
        <f t="shared" ca="1" si="77"/>
        <v>-0.56698608840257558</v>
      </c>
      <c r="H754">
        <f t="shared" ca="1" si="77"/>
        <v>1.2235412106231316</v>
      </c>
      <c r="I754">
        <f t="shared" ca="1" si="78"/>
        <v>-0.56698608840257558</v>
      </c>
      <c r="J754">
        <f t="shared" ca="1" si="79"/>
        <v>0.38405687423499502</v>
      </c>
      <c r="K754">
        <f t="shared" ca="1" si="80"/>
        <v>15.446388713497031</v>
      </c>
      <c r="L754">
        <f t="shared" ca="1" si="81"/>
        <v>21.769207953587649</v>
      </c>
      <c r="M754">
        <f t="shared" ca="1" si="82"/>
        <v>0</v>
      </c>
      <c r="N754">
        <f t="shared" ca="1" si="83"/>
        <v>0</v>
      </c>
    </row>
    <row r="755" spans="6:14" x14ac:dyDescent="0.75">
      <c r="F755">
        <v>750</v>
      </c>
      <c r="G755">
        <f t="shared" ca="1" si="77"/>
        <v>0.71941601475279582</v>
      </c>
      <c r="H755">
        <f t="shared" ca="1" si="77"/>
        <v>1.5475974681556852</v>
      </c>
      <c r="I755">
        <f t="shared" ca="1" si="78"/>
        <v>0.71941601475279582</v>
      </c>
      <c r="J755">
        <f t="shared" ca="1" si="79"/>
        <v>1.5632015186578831</v>
      </c>
      <c r="K755">
        <f t="shared" ca="1" si="80"/>
        <v>21.305723841841221</v>
      </c>
      <c r="L755">
        <f t="shared" ca="1" si="81"/>
        <v>29.232545286618485</v>
      </c>
      <c r="M755">
        <f t="shared" ca="1" si="82"/>
        <v>4.9563726745456869</v>
      </c>
      <c r="N755">
        <f t="shared" ca="1" si="83"/>
        <v>5.2691345642298515</v>
      </c>
    </row>
    <row r="756" spans="6:14" x14ac:dyDescent="0.75">
      <c r="F756">
        <v>751</v>
      </c>
      <c r="G756">
        <f t="shared" ca="1" si="77"/>
        <v>-0.46673346202416466</v>
      </c>
      <c r="H756">
        <f t="shared" ca="1" si="77"/>
        <v>0.59933971180722145</v>
      </c>
      <c r="I756">
        <f t="shared" ca="1" si="78"/>
        <v>-0.46673346202416466</v>
      </c>
      <c r="J756">
        <f t="shared" ca="1" si="79"/>
        <v>4.6375860553634074E-2</v>
      </c>
      <c r="K756">
        <f t="shared" ca="1" si="80"/>
        <v>15.838416174288735</v>
      </c>
      <c r="L756">
        <f t="shared" ca="1" si="81"/>
        <v>20.006880486023995</v>
      </c>
      <c r="M756">
        <f t="shared" ca="1" si="82"/>
        <v>0</v>
      </c>
      <c r="N756">
        <f t="shared" ca="1" si="83"/>
        <v>0</v>
      </c>
    </row>
    <row r="757" spans="6:14" x14ac:dyDescent="0.75">
      <c r="F757">
        <v>752</v>
      </c>
      <c r="G757">
        <f t="shared" ca="1" si="77"/>
        <v>0.14648236962740968</v>
      </c>
      <c r="H757">
        <f t="shared" ca="1" si="77"/>
        <v>0.49343203456066498</v>
      </c>
      <c r="I757">
        <f t="shared" ca="1" si="78"/>
        <v>0.14648236962740968</v>
      </c>
      <c r="J757">
        <f t="shared" ca="1" si="79"/>
        <v>0.43623639031059425</v>
      </c>
      <c r="K757">
        <f t="shared" ca="1" si="80"/>
        <v>18.462512968904946</v>
      </c>
      <c r="L757">
        <f t="shared" ca="1" si="81"/>
        <v>22.055044938756598</v>
      </c>
      <c r="M757">
        <f t="shared" ca="1" si="82"/>
        <v>0.17898791346025433</v>
      </c>
      <c r="N757">
        <f t="shared" ca="1" si="83"/>
        <v>0.25877895383077032</v>
      </c>
    </row>
    <row r="758" spans="6:14" x14ac:dyDescent="0.75">
      <c r="F758">
        <v>753</v>
      </c>
      <c r="G758">
        <f t="shared" ca="1" si="77"/>
        <v>0.15657568269196165</v>
      </c>
      <c r="H758">
        <f t="shared" ca="1" si="77"/>
        <v>-0.5840085828396363</v>
      </c>
      <c r="I758">
        <f t="shared" ca="1" si="78"/>
        <v>0.15657568269196165</v>
      </c>
      <c r="J758">
        <f t="shared" ca="1" si="79"/>
        <v>-0.2688536064112641</v>
      </c>
      <c r="K758">
        <f t="shared" ca="1" si="80"/>
        <v>18.509158776335312</v>
      </c>
      <c r="L758">
        <f t="shared" ca="1" si="81"/>
        <v>18.490717916886126</v>
      </c>
      <c r="M758">
        <f t="shared" ca="1" si="82"/>
        <v>0</v>
      </c>
      <c r="N758">
        <f t="shared" ca="1" si="83"/>
        <v>0</v>
      </c>
    </row>
    <row r="759" spans="6:14" x14ac:dyDescent="0.75">
      <c r="F759">
        <v>754</v>
      </c>
      <c r="G759">
        <f t="shared" ca="1" si="77"/>
        <v>-0.40295575536320166</v>
      </c>
      <c r="H759">
        <f t="shared" ca="1" si="77"/>
        <v>-0.27069807596966233</v>
      </c>
      <c r="I759">
        <f t="shared" ca="1" si="78"/>
        <v>-0.40295575536320166</v>
      </c>
      <c r="J759">
        <f t="shared" ca="1" si="79"/>
        <v>-0.48126676387225031</v>
      </c>
      <c r="K759">
        <f t="shared" ca="1" si="80"/>
        <v>16.09297464097645</v>
      </c>
      <c r="L759">
        <f t="shared" ca="1" si="81"/>
        <v>17.534416076578726</v>
      </c>
      <c r="M759">
        <f t="shared" ca="1" si="82"/>
        <v>0</v>
      </c>
      <c r="N759">
        <f t="shared" ca="1" si="83"/>
        <v>0</v>
      </c>
    </row>
    <row r="760" spans="6:14" x14ac:dyDescent="0.75">
      <c r="F760">
        <v>755</v>
      </c>
      <c r="G760">
        <f t="shared" ca="1" si="77"/>
        <v>0.43374407440168333</v>
      </c>
      <c r="H760">
        <f t="shared" ca="1" si="77"/>
        <v>-0.8327125578480421</v>
      </c>
      <c r="I760">
        <f t="shared" ca="1" si="78"/>
        <v>0.43374407440168333</v>
      </c>
      <c r="J760">
        <f t="shared" ca="1" si="79"/>
        <v>-0.22547952961533907</v>
      </c>
      <c r="K760">
        <f t="shared" ca="1" si="80"/>
        <v>19.837176465789824</v>
      </c>
      <c r="L760">
        <f t="shared" ca="1" si="81"/>
        <v>18.692313398530725</v>
      </c>
      <c r="M760">
        <f t="shared" ca="1" si="82"/>
        <v>0</v>
      </c>
      <c r="N760">
        <f t="shared" ca="1" si="83"/>
        <v>0</v>
      </c>
    </row>
    <row r="761" spans="6:14" x14ac:dyDescent="0.75">
      <c r="F761">
        <v>756</v>
      </c>
      <c r="G761">
        <f t="shared" ca="1" si="77"/>
        <v>0.62131843737071846</v>
      </c>
      <c r="H761">
        <f t="shared" ca="1" si="77"/>
        <v>0.68328039327491041</v>
      </c>
      <c r="I761">
        <f t="shared" ca="1" si="78"/>
        <v>0.62131843737071846</v>
      </c>
      <c r="J761">
        <f t="shared" ca="1" si="79"/>
        <v>0.91793632711099471</v>
      </c>
      <c r="K761">
        <f t="shared" ca="1" si="80"/>
        <v>20.789568931488944</v>
      </c>
      <c r="L761">
        <f t="shared" ca="1" si="81"/>
        <v>24.877564055280445</v>
      </c>
      <c r="M761">
        <f t="shared" ca="1" si="82"/>
        <v>2.7418959802120391</v>
      </c>
      <c r="N761">
        <f t="shared" ca="1" si="83"/>
        <v>2.8335664933846942</v>
      </c>
    </row>
    <row r="762" spans="6:14" x14ac:dyDescent="0.75">
      <c r="F762">
        <v>757</v>
      </c>
      <c r="G762">
        <f t="shared" ca="1" si="77"/>
        <v>2.0089162790910886</v>
      </c>
      <c r="H762">
        <f t="shared" ca="1" si="77"/>
        <v>-0.38449100043607165</v>
      </c>
      <c r="I762">
        <f t="shared" ca="1" si="78"/>
        <v>2.0089162790910886</v>
      </c>
      <c r="J762">
        <f t="shared" ca="1" si="79"/>
        <v>1.2523703171942482</v>
      </c>
      <c r="K762">
        <f t="shared" ca="1" si="80"/>
        <v>29.410472772580128</v>
      </c>
      <c r="L762">
        <f t="shared" ca="1" si="81"/>
        <v>27.046966446613077</v>
      </c>
      <c r="M762">
        <f t="shared" ca="1" si="82"/>
        <v>8.2039725971183373</v>
      </c>
      <c r="N762">
        <f t="shared" ca="1" si="83"/>
        <v>8.2287196095966024</v>
      </c>
    </row>
    <row r="763" spans="6:14" x14ac:dyDescent="0.75">
      <c r="F763">
        <v>758</v>
      </c>
      <c r="G763">
        <f t="shared" ca="1" si="77"/>
        <v>-0.18897788985145667</v>
      </c>
      <c r="H763">
        <f t="shared" ca="1" si="77"/>
        <v>-0.70401651509799323</v>
      </c>
      <c r="I763">
        <f t="shared" ca="1" si="78"/>
        <v>-0.18897788985145667</v>
      </c>
      <c r="J763">
        <f t="shared" ca="1" si="79"/>
        <v>-0.60739657184650242</v>
      </c>
      <c r="K763">
        <f t="shared" ca="1" si="80"/>
        <v>16.977302169602847</v>
      </c>
      <c r="L763">
        <f t="shared" ca="1" si="81"/>
        <v>16.99013923206633</v>
      </c>
      <c r="M763">
        <f t="shared" ca="1" si="82"/>
        <v>0</v>
      </c>
      <c r="N763">
        <f t="shared" ca="1" si="83"/>
        <v>0</v>
      </c>
    </row>
    <row r="764" spans="6:14" x14ac:dyDescent="0.75">
      <c r="F764">
        <v>759</v>
      </c>
      <c r="G764">
        <f t="shared" ca="1" si="77"/>
        <v>0.48857090516195523</v>
      </c>
      <c r="H764">
        <f t="shared" ca="1" si="77"/>
        <v>1.6784029553427864</v>
      </c>
      <c r="I764">
        <f t="shared" ca="1" si="78"/>
        <v>0.48857090516195523</v>
      </c>
      <c r="J764">
        <f t="shared" ca="1" si="79"/>
        <v>1.4765873837696817</v>
      </c>
      <c r="K764">
        <f t="shared" ca="1" si="80"/>
        <v>20.110950831363755</v>
      </c>
      <c r="L764">
        <f t="shared" ca="1" si="81"/>
        <v>28.606361395145523</v>
      </c>
      <c r="M764">
        <f t="shared" ca="1" si="82"/>
        <v>3.9854357367547948</v>
      </c>
      <c r="N764">
        <f t="shared" ca="1" si="83"/>
        <v>4.3586561132546393</v>
      </c>
    </row>
    <row r="765" spans="6:14" x14ac:dyDescent="0.75">
      <c r="F765">
        <v>760</v>
      </c>
      <c r="G765">
        <f t="shared" ca="1" si="77"/>
        <v>0.35908696404091406</v>
      </c>
      <c r="H765">
        <f t="shared" ca="1" si="77"/>
        <v>-0.19947966079966686</v>
      </c>
      <c r="I765">
        <f t="shared" ca="1" si="78"/>
        <v>0.35908696404091406</v>
      </c>
      <c r="J765">
        <f t="shared" ca="1" si="79"/>
        <v>0.13737182950782595</v>
      </c>
      <c r="K765">
        <f t="shared" ca="1" si="80"/>
        <v>19.470363693695688</v>
      </c>
      <c r="L765">
        <f t="shared" ca="1" si="81"/>
        <v>20.467233282837181</v>
      </c>
      <c r="M765">
        <f t="shared" ca="1" si="82"/>
        <v>0</v>
      </c>
      <c r="N765">
        <f t="shared" ca="1" si="83"/>
        <v>0</v>
      </c>
    </row>
    <row r="766" spans="6:14" x14ac:dyDescent="0.75">
      <c r="F766">
        <v>761</v>
      </c>
      <c r="G766">
        <f t="shared" ca="1" si="77"/>
        <v>1.3062851964369533</v>
      </c>
      <c r="H766">
        <f t="shared" ca="1" si="77"/>
        <v>-0.9408831610276932</v>
      </c>
      <c r="I766">
        <f t="shared" ca="1" si="78"/>
        <v>1.3062851964369533</v>
      </c>
      <c r="J766">
        <f t="shared" ca="1" si="79"/>
        <v>0.35737818311581104</v>
      </c>
      <c r="K766">
        <f t="shared" ca="1" si="80"/>
        <v>24.672593606196216</v>
      </c>
      <c r="L766">
        <f t="shared" ca="1" si="81"/>
        <v>21.624497581723379</v>
      </c>
      <c r="M766">
        <f t="shared" ca="1" si="82"/>
        <v>3.098321167825894</v>
      </c>
      <c r="N766">
        <f t="shared" ca="1" si="83"/>
        <v>3.1485455939597955</v>
      </c>
    </row>
    <row r="767" spans="6:14" x14ac:dyDescent="0.75">
      <c r="F767">
        <v>762</v>
      </c>
      <c r="G767">
        <f t="shared" ca="1" si="77"/>
        <v>-2.0597404510953297E-2</v>
      </c>
      <c r="H767">
        <f t="shared" ca="1" si="77"/>
        <v>-1.1530369539814236</v>
      </c>
      <c r="I767">
        <f t="shared" ca="1" si="78"/>
        <v>-2.0597404510953297E-2</v>
      </c>
      <c r="J767">
        <f t="shared" ca="1" si="79"/>
        <v>-0.77811031155878341</v>
      </c>
      <c r="K767">
        <f t="shared" ca="1" si="80"/>
        <v>17.707218950964624</v>
      </c>
      <c r="L767">
        <f t="shared" ca="1" si="81"/>
        <v>16.280282217709715</v>
      </c>
      <c r="M767">
        <f t="shared" ca="1" si="82"/>
        <v>0</v>
      </c>
      <c r="N767">
        <f t="shared" ca="1" si="83"/>
        <v>0</v>
      </c>
    </row>
    <row r="768" spans="6:14" x14ac:dyDescent="0.75">
      <c r="F768">
        <v>763</v>
      </c>
      <c r="G768">
        <f t="shared" ca="1" si="77"/>
        <v>1.1423760494328712</v>
      </c>
      <c r="H768">
        <f t="shared" ca="1" si="77"/>
        <v>0.40300418840144719</v>
      </c>
      <c r="I768">
        <f t="shared" ca="1" si="78"/>
        <v>1.1423760494328712</v>
      </c>
      <c r="J768">
        <f t="shared" ca="1" si="79"/>
        <v>1.123344252031566</v>
      </c>
      <c r="K768">
        <f t="shared" ca="1" si="80"/>
        <v>23.682011943915924</v>
      </c>
      <c r="L768">
        <f t="shared" ca="1" si="81"/>
        <v>26.188446404008477</v>
      </c>
      <c r="M768">
        <f t="shared" ca="1" si="82"/>
        <v>4.9037166007873374</v>
      </c>
      <c r="N768">
        <f t="shared" ca="1" si="83"/>
        <v>4.935229173962199</v>
      </c>
    </row>
    <row r="769" spans="6:14" x14ac:dyDescent="0.75">
      <c r="F769">
        <v>764</v>
      </c>
      <c r="G769">
        <f t="shared" ca="1" si="77"/>
        <v>-0.6511954893983708</v>
      </c>
      <c r="H769">
        <f t="shared" ca="1" si="77"/>
        <v>-7.6851313559991433E-2</v>
      </c>
      <c r="I769">
        <f t="shared" ca="1" si="78"/>
        <v>-0.6511954893983708</v>
      </c>
      <c r="J769">
        <f t="shared" ca="1" si="79"/>
        <v>-0.53922898295087396</v>
      </c>
      <c r="K769">
        <f t="shared" ca="1" si="80"/>
        <v>15.12460496480757</v>
      </c>
      <c r="L769">
        <f t="shared" ca="1" si="81"/>
        <v>17.282164705106929</v>
      </c>
      <c r="M769">
        <f t="shared" ca="1" si="82"/>
        <v>0</v>
      </c>
      <c r="N769">
        <f t="shared" ca="1" si="83"/>
        <v>0</v>
      </c>
    </row>
    <row r="770" spans="6:14" x14ac:dyDescent="0.75">
      <c r="F770">
        <v>765</v>
      </c>
      <c r="G770">
        <f t="shared" ca="1" si="77"/>
        <v>0.55830213358917669</v>
      </c>
      <c r="H770">
        <f t="shared" ca="1" si="77"/>
        <v>0.78152760258689369</v>
      </c>
      <c r="I770">
        <f t="shared" ca="1" si="78"/>
        <v>0.55830213358917669</v>
      </c>
      <c r="J770">
        <f t="shared" ca="1" si="79"/>
        <v>0.93565851998624261</v>
      </c>
      <c r="K770">
        <f t="shared" ca="1" si="80"/>
        <v>20.46461487993291</v>
      </c>
      <c r="L770">
        <f t="shared" ca="1" si="81"/>
        <v>24.988029833671483</v>
      </c>
      <c r="M770">
        <f t="shared" ca="1" si="82"/>
        <v>2.6135005506524998</v>
      </c>
      <c r="N770">
        <f t="shared" ca="1" si="83"/>
        <v>2.7263223568021964</v>
      </c>
    </row>
    <row r="771" spans="6:14" x14ac:dyDescent="0.75">
      <c r="F771">
        <v>766</v>
      </c>
      <c r="G771">
        <f t="shared" ca="1" si="77"/>
        <v>-4.433159000028108</v>
      </c>
      <c r="H771">
        <f t="shared" ca="1" si="77"/>
        <v>-0.21618252909083852</v>
      </c>
      <c r="I771">
        <f t="shared" ca="1" si="78"/>
        <v>-4.433159000028108</v>
      </c>
      <c r="J771">
        <f t="shared" ca="1" si="79"/>
        <v>-3.4678605524639172</v>
      </c>
      <c r="K771">
        <f t="shared" ca="1" si="80"/>
        <v>5.875739990270243</v>
      </c>
      <c r="L771">
        <f t="shared" ca="1" si="81"/>
        <v>8.3104780595525742</v>
      </c>
      <c r="M771">
        <f t="shared" ca="1" si="82"/>
        <v>0</v>
      </c>
      <c r="N771">
        <f t="shared" ca="1" si="83"/>
        <v>0</v>
      </c>
    </row>
    <row r="772" spans="6:14" x14ac:dyDescent="0.75">
      <c r="F772">
        <v>767</v>
      </c>
      <c r="G772">
        <f t="shared" ca="1" si="77"/>
        <v>0.52664969326723865</v>
      </c>
      <c r="H772">
        <f t="shared" ca="1" si="77"/>
        <v>0.94979349629208476</v>
      </c>
      <c r="I772">
        <f t="shared" ca="1" si="78"/>
        <v>0.52664969326723865</v>
      </c>
      <c r="J772">
        <f t="shared" ca="1" si="79"/>
        <v>1.0232166169642802</v>
      </c>
      <c r="K772">
        <f t="shared" ca="1" si="80"/>
        <v>20.303315162521862</v>
      </c>
      <c r="L772">
        <f t="shared" ca="1" si="81"/>
        <v>25.541036362475854</v>
      </c>
      <c r="M772">
        <f t="shared" ca="1" si="82"/>
        <v>2.7720818293975533</v>
      </c>
      <c r="N772">
        <f t="shared" ca="1" si="83"/>
        <v>2.9221757624988598</v>
      </c>
    </row>
    <row r="773" spans="6:14" x14ac:dyDescent="0.75">
      <c r="F773">
        <v>768</v>
      </c>
      <c r="G773">
        <f t="shared" ca="1" si="77"/>
        <v>1.7577771912290905</v>
      </c>
      <c r="H773">
        <f t="shared" ca="1" si="77"/>
        <v>0.45754208254608925</v>
      </c>
      <c r="I773">
        <f t="shared" ca="1" si="78"/>
        <v>1.7577771912290905</v>
      </c>
      <c r="J773">
        <f t="shared" ca="1" si="79"/>
        <v>1.6209685346127025</v>
      </c>
      <c r="K773">
        <f t="shared" ca="1" si="80"/>
        <v>27.620715580559178</v>
      </c>
      <c r="L773">
        <f t="shared" ca="1" si="81"/>
        <v>29.65777767421223</v>
      </c>
      <c r="M773">
        <f t="shared" ca="1" si="82"/>
        <v>8.6211292909779154</v>
      </c>
      <c r="N773">
        <f t="shared" ca="1" si="83"/>
        <v>8.6392466273857025</v>
      </c>
    </row>
    <row r="774" spans="6:14" x14ac:dyDescent="0.75">
      <c r="F774">
        <v>769</v>
      </c>
      <c r="G774">
        <f t="shared" ca="1" si="77"/>
        <v>2.6029225630379917</v>
      </c>
      <c r="H774">
        <f t="shared" ca="1" si="77"/>
        <v>1.9635868185320275</v>
      </c>
      <c r="I774">
        <f t="shared" ca="1" si="78"/>
        <v>2.6029225630379917</v>
      </c>
      <c r="J774">
        <f t="shared" ca="1" si="79"/>
        <v>3.2509825221585587</v>
      </c>
      <c r="K774">
        <f t="shared" ca="1" si="80"/>
        <v>34.118931242957075</v>
      </c>
      <c r="L774">
        <f t="shared" ca="1" si="81"/>
        <v>44.577440117638645</v>
      </c>
      <c r="M774">
        <f t="shared" ca="1" si="82"/>
        <v>18.999161713564426</v>
      </c>
      <c r="N774">
        <f t="shared" ca="1" si="83"/>
        <v>19.34818568029786</v>
      </c>
    </row>
    <row r="775" spans="6:14" x14ac:dyDescent="0.75">
      <c r="F775">
        <v>770</v>
      </c>
      <c r="G775">
        <f t="shared" ref="G775:H838" ca="1" si="84">NORMSINV(RAND())</f>
        <v>-0.4220756605596398</v>
      </c>
      <c r="H775">
        <f t="shared" ca="1" si="84"/>
        <v>-1.1623520222113157</v>
      </c>
      <c r="I775">
        <f t="shared" ref="I775:I838" ca="1" si="85">G775</f>
        <v>-0.4220756605596398</v>
      </c>
      <c r="J775">
        <f t="shared" ref="J775:J838" ca="1" si="86">G775*$C$8+SQRT(1-$C$8^2)*H775</f>
        <v>-1.0853803420907715</v>
      </c>
      <c r="K775">
        <f t="shared" ref="K775:K838" ca="1" si="87">C$3*EXP(($C$5-0.5*C$4^2)*$C$6+C$4*SQRT($C$6)*I775)</f>
        <v>16.016234158568892</v>
      </c>
      <c r="L775">
        <f t="shared" ref="L775:L838" ca="1" si="88">D$3*EXP(($C$5-0.5*D$4^2)*$C$6+D$4*SQRT($C$6)*J775)</f>
        <v>15.076499214220846</v>
      </c>
      <c r="M775">
        <f t="shared" ref="M775:M838" ca="1" si="89">MAX(SQRT(K775*L775)-$C$7,0)</f>
        <v>0</v>
      </c>
      <c r="N775">
        <f t="shared" ref="N775:N838" ca="1" si="90">MAX((K775+L775)*0.5-$C$7,0)</f>
        <v>0</v>
      </c>
    </row>
    <row r="776" spans="6:14" x14ac:dyDescent="0.75">
      <c r="F776">
        <v>771</v>
      </c>
      <c r="G776">
        <f t="shared" ca="1" si="84"/>
        <v>0.62714616419870572</v>
      </c>
      <c r="H776">
        <f t="shared" ca="1" si="84"/>
        <v>0.32076975617484055</v>
      </c>
      <c r="I776">
        <f t="shared" ca="1" si="85"/>
        <v>0.62714616419870572</v>
      </c>
      <c r="J776">
        <f t="shared" ca="1" si="86"/>
        <v>0.68252887388639261</v>
      </c>
      <c r="K776">
        <f t="shared" ca="1" si="87"/>
        <v>20.819879988848648</v>
      </c>
      <c r="L776">
        <f t="shared" ca="1" si="88"/>
        <v>23.455722430875877</v>
      </c>
      <c r="M776">
        <f t="shared" ca="1" si="89"/>
        <v>2.0985367403043469</v>
      </c>
      <c r="N776">
        <f t="shared" ca="1" si="90"/>
        <v>2.1378012098622605</v>
      </c>
    </row>
    <row r="777" spans="6:14" x14ac:dyDescent="0.75">
      <c r="F777">
        <v>772</v>
      </c>
      <c r="G777">
        <f t="shared" ca="1" si="84"/>
        <v>0.33451933561467523</v>
      </c>
      <c r="H777">
        <f t="shared" ca="1" si="84"/>
        <v>1.24966981459755</v>
      </c>
      <c r="I777">
        <f t="shared" ca="1" si="85"/>
        <v>0.33451933561467523</v>
      </c>
      <c r="J777">
        <f t="shared" ca="1" si="86"/>
        <v>1.0774683893033346</v>
      </c>
      <c r="K777">
        <f t="shared" ca="1" si="87"/>
        <v>19.351145018346589</v>
      </c>
      <c r="L777">
        <f t="shared" ca="1" si="88"/>
        <v>25.889807822256294</v>
      </c>
      <c r="M777">
        <f t="shared" ca="1" si="89"/>
        <v>2.3829717791361524</v>
      </c>
      <c r="N777">
        <f t="shared" ca="1" si="90"/>
        <v>2.6204764203014435</v>
      </c>
    </row>
    <row r="778" spans="6:14" x14ac:dyDescent="0.75">
      <c r="F778">
        <v>773</v>
      </c>
      <c r="G778">
        <f t="shared" ca="1" si="84"/>
        <v>-1.4478841920763261</v>
      </c>
      <c r="H778">
        <f t="shared" ca="1" si="84"/>
        <v>-0.54121310082645169</v>
      </c>
      <c r="I778">
        <f t="shared" ca="1" si="85"/>
        <v>-1.4478841920763261</v>
      </c>
      <c r="J778">
        <f t="shared" ca="1" si="86"/>
        <v>-1.4438919618264738</v>
      </c>
      <c r="K778">
        <f t="shared" ca="1" si="87"/>
        <v>12.393234388476793</v>
      </c>
      <c r="L778">
        <f t="shared" ca="1" si="88"/>
        <v>13.784010804892354</v>
      </c>
      <c r="M778">
        <f t="shared" ca="1" si="89"/>
        <v>0</v>
      </c>
      <c r="N778">
        <f t="shared" ca="1" si="90"/>
        <v>0</v>
      </c>
    </row>
    <row r="779" spans="6:14" x14ac:dyDescent="0.75">
      <c r="F779">
        <v>774</v>
      </c>
      <c r="G779">
        <f t="shared" ca="1" si="84"/>
        <v>0.34626094366743165</v>
      </c>
      <c r="H779">
        <f t="shared" ca="1" si="84"/>
        <v>0.30708082262090086</v>
      </c>
      <c r="I779">
        <f t="shared" ca="1" si="85"/>
        <v>0.34626094366743165</v>
      </c>
      <c r="J779">
        <f t="shared" ca="1" si="86"/>
        <v>0.46281058001358411</v>
      </c>
      <c r="K779">
        <f t="shared" ca="1" si="87"/>
        <v>19.408031860418809</v>
      </c>
      <c r="L779">
        <f t="shared" ca="1" si="88"/>
        <v>22.202056474121001</v>
      </c>
      <c r="M779">
        <f t="shared" ca="1" si="89"/>
        <v>0.75808804819360276</v>
      </c>
      <c r="N779">
        <f t="shared" ca="1" si="90"/>
        <v>0.80504416726990513</v>
      </c>
    </row>
    <row r="780" spans="6:14" x14ac:dyDescent="0.75">
      <c r="F780">
        <v>775</v>
      </c>
      <c r="G780">
        <f t="shared" ca="1" si="84"/>
        <v>-1.9503788160713553</v>
      </c>
      <c r="H780">
        <f t="shared" ca="1" si="84"/>
        <v>2.19113595311814</v>
      </c>
      <c r="I780">
        <f t="shared" ca="1" si="85"/>
        <v>-1.9503788160713553</v>
      </c>
      <c r="J780">
        <f t="shared" ca="1" si="86"/>
        <v>-1.3483906882746366E-2</v>
      </c>
      <c r="K780">
        <f t="shared" ca="1" si="87"/>
        <v>10.930172167326333</v>
      </c>
      <c r="L780">
        <f t="shared" ca="1" si="88"/>
        <v>19.709707814595326</v>
      </c>
      <c r="M780">
        <f t="shared" ca="1" si="89"/>
        <v>0</v>
      </c>
      <c r="N780">
        <f t="shared" ca="1" si="90"/>
        <v>0</v>
      </c>
    </row>
    <row r="781" spans="6:14" x14ac:dyDescent="0.75">
      <c r="F781">
        <v>776</v>
      </c>
      <c r="G781">
        <f t="shared" ca="1" si="84"/>
        <v>0.8532090615340856</v>
      </c>
      <c r="H781">
        <f t="shared" ca="1" si="84"/>
        <v>-2.421336268451026</v>
      </c>
      <c r="I781">
        <f t="shared" ca="1" si="85"/>
        <v>0.8532090615340856</v>
      </c>
      <c r="J781">
        <f t="shared" ca="1" si="86"/>
        <v>-0.96165660554507215</v>
      </c>
      <c r="K781">
        <f t="shared" ca="1" si="87"/>
        <v>22.0304155440326</v>
      </c>
      <c r="L781">
        <f t="shared" ca="1" si="88"/>
        <v>15.550116369520989</v>
      </c>
      <c r="M781">
        <f t="shared" ca="1" si="89"/>
        <v>0</v>
      </c>
      <c r="N781">
        <f t="shared" ca="1" si="90"/>
        <v>0</v>
      </c>
    </row>
    <row r="782" spans="6:14" x14ac:dyDescent="0.75">
      <c r="F782">
        <v>777</v>
      </c>
      <c r="G782">
        <f t="shared" ca="1" si="84"/>
        <v>-0.55748448338410783</v>
      </c>
      <c r="H782">
        <f t="shared" ca="1" si="84"/>
        <v>1.1880517147030296</v>
      </c>
      <c r="I782">
        <f t="shared" ca="1" si="85"/>
        <v>-0.55748448338410783</v>
      </c>
      <c r="J782">
        <f t="shared" ca="1" si="86"/>
        <v>0.36770898290893805</v>
      </c>
      <c r="K782">
        <f t="shared" ca="1" si="87"/>
        <v>15.483123697516747</v>
      </c>
      <c r="L782">
        <f t="shared" ca="1" si="88"/>
        <v>21.680419354003742</v>
      </c>
      <c r="M782">
        <f t="shared" ca="1" si="89"/>
        <v>0</v>
      </c>
      <c r="N782">
        <f t="shared" ca="1" si="90"/>
        <v>0</v>
      </c>
    </row>
    <row r="783" spans="6:14" x14ac:dyDescent="0.75">
      <c r="F783">
        <v>778</v>
      </c>
      <c r="G783">
        <f t="shared" ca="1" si="84"/>
        <v>-0.46789459178489362</v>
      </c>
      <c r="H783">
        <f t="shared" ca="1" si="84"/>
        <v>-2.7302373651777292</v>
      </c>
      <c r="I783">
        <f t="shared" ca="1" si="85"/>
        <v>-0.46789459178489362</v>
      </c>
      <c r="J783">
        <f t="shared" ca="1" si="86"/>
        <v>-2.1568032159477979</v>
      </c>
      <c r="K783">
        <f t="shared" ca="1" si="87"/>
        <v>15.833819227431796</v>
      </c>
      <c r="L783">
        <f t="shared" ca="1" si="88"/>
        <v>11.533795554439617</v>
      </c>
      <c r="M783">
        <f t="shared" ca="1" si="89"/>
        <v>0</v>
      </c>
      <c r="N783">
        <f t="shared" ca="1" si="90"/>
        <v>0</v>
      </c>
    </row>
    <row r="784" spans="6:14" x14ac:dyDescent="0.75">
      <c r="F784">
        <v>779</v>
      </c>
      <c r="G784">
        <f t="shared" ca="1" si="84"/>
        <v>-0.54287326969181682</v>
      </c>
      <c r="H784">
        <f t="shared" ca="1" si="84"/>
        <v>1.2882341322514868</v>
      </c>
      <c r="I784">
        <f t="shared" ca="1" si="85"/>
        <v>-0.54287326969181682</v>
      </c>
      <c r="J784">
        <f t="shared" ca="1" si="86"/>
        <v>0.44493183382176898</v>
      </c>
      <c r="K784">
        <f t="shared" ca="1" si="87"/>
        <v>15.539783926096041</v>
      </c>
      <c r="L784">
        <f t="shared" ca="1" si="88"/>
        <v>22.103041688333622</v>
      </c>
      <c r="M784">
        <f t="shared" ca="1" si="89"/>
        <v>0</v>
      </c>
      <c r="N784">
        <f t="shared" ca="1" si="90"/>
        <v>0</v>
      </c>
    </row>
    <row r="785" spans="6:14" x14ac:dyDescent="0.75">
      <c r="F785">
        <v>780</v>
      </c>
      <c r="G785">
        <f t="shared" ca="1" si="84"/>
        <v>0.12873157369608582</v>
      </c>
      <c r="H785">
        <f t="shared" ca="1" si="84"/>
        <v>-0.90447563630149663</v>
      </c>
      <c r="I785">
        <f t="shared" ca="1" si="85"/>
        <v>0.12873157369608582</v>
      </c>
      <c r="J785">
        <f t="shared" ca="1" si="86"/>
        <v>-0.50170571987060186</v>
      </c>
      <c r="K785">
        <f t="shared" ca="1" si="87"/>
        <v>18.38076341799076</v>
      </c>
      <c r="L785">
        <f t="shared" ca="1" si="88"/>
        <v>17.445048304357812</v>
      </c>
      <c r="M785">
        <f t="shared" ca="1" si="89"/>
        <v>0</v>
      </c>
      <c r="N785">
        <f t="shared" ca="1" si="90"/>
        <v>0</v>
      </c>
    </row>
    <row r="786" spans="6:14" x14ac:dyDescent="0.75">
      <c r="F786">
        <v>781</v>
      </c>
      <c r="G786">
        <f t="shared" ca="1" si="84"/>
        <v>-2.1205342429282088</v>
      </c>
      <c r="H786">
        <f t="shared" ca="1" si="84"/>
        <v>-2.0574813240407761</v>
      </c>
      <c r="I786">
        <f t="shared" ca="1" si="85"/>
        <v>-2.1205342429282088</v>
      </c>
      <c r="J786">
        <f t="shared" ca="1" si="86"/>
        <v>-2.9512966598391053</v>
      </c>
      <c r="K786">
        <f t="shared" ca="1" si="87"/>
        <v>10.474965761009127</v>
      </c>
      <c r="L786">
        <f t="shared" ca="1" si="88"/>
        <v>9.4560817751841384</v>
      </c>
      <c r="M786">
        <f t="shared" ca="1" si="89"/>
        <v>0</v>
      </c>
      <c r="N786">
        <f t="shared" ca="1" si="90"/>
        <v>0</v>
      </c>
    </row>
    <row r="787" spans="6:14" x14ac:dyDescent="0.75">
      <c r="F787">
        <v>782</v>
      </c>
      <c r="G787">
        <f t="shared" ca="1" si="84"/>
        <v>-0.41680325601188395</v>
      </c>
      <c r="H787">
        <f t="shared" ca="1" si="84"/>
        <v>-0.24875583589296155</v>
      </c>
      <c r="I787">
        <f t="shared" ca="1" si="85"/>
        <v>-0.41680325601188395</v>
      </c>
      <c r="J787">
        <f t="shared" ca="1" si="86"/>
        <v>-0.47713896174610576</v>
      </c>
      <c r="K787">
        <f t="shared" ca="1" si="87"/>
        <v>16.037359094365204</v>
      </c>
      <c r="L787">
        <f t="shared" ca="1" si="88"/>
        <v>17.552520066173361</v>
      </c>
      <c r="M787">
        <f t="shared" ca="1" si="89"/>
        <v>0</v>
      </c>
      <c r="N787">
        <f t="shared" ca="1" si="90"/>
        <v>0</v>
      </c>
    </row>
    <row r="788" spans="6:14" x14ac:dyDescent="0.75">
      <c r="F788">
        <v>783</v>
      </c>
      <c r="G788">
        <f t="shared" ca="1" si="84"/>
        <v>7.6482853757403074E-2</v>
      </c>
      <c r="H788">
        <f t="shared" ca="1" si="84"/>
        <v>0.21310140875181044</v>
      </c>
      <c r="I788">
        <f t="shared" ca="1" si="85"/>
        <v>7.6482853757403074E-2</v>
      </c>
      <c r="J788">
        <f t="shared" ca="1" si="86"/>
        <v>0.19831547321675574</v>
      </c>
      <c r="K788">
        <f t="shared" ca="1" si="87"/>
        <v>18.142231840689366</v>
      </c>
      <c r="L788">
        <f t="shared" ca="1" si="88"/>
        <v>20.781457896707547</v>
      </c>
      <c r="M788">
        <f t="shared" ca="1" si="89"/>
        <v>0</v>
      </c>
      <c r="N788">
        <f t="shared" ca="1" si="90"/>
        <v>0</v>
      </c>
    </row>
    <row r="789" spans="6:14" x14ac:dyDescent="0.75">
      <c r="F789">
        <v>784</v>
      </c>
      <c r="G789">
        <f t="shared" ca="1" si="84"/>
        <v>-7.9644947143607356E-2</v>
      </c>
      <c r="H789">
        <f t="shared" ca="1" si="84"/>
        <v>-4.8679729102453105E-3</v>
      </c>
      <c r="I789">
        <f t="shared" ca="1" si="85"/>
        <v>-7.9644947143607356E-2</v>
      </c>
      <c r="J789">
        <f t="shared" ca="1" si="86"/>
        <v>-6.2953571785082624E-2</v>
      </c>
      <c r="K789">
        <f t="shared" ca="1" si="87"/>
        <v>17.447746869932576</v>
      </c>
      <c r="L789">
        <f t="shared" ca="1" si="88"/>
        <v>19.467450788922658</v>
      </c>
      <c r="M789">
        <f t="shared" ca="1" si="89"/>
        <v>0</v>
      </c>
      <c r="N789">
        <f t="shared" ca="1" si="90"/>
        <v>0</v>
      </c>
    </row>
    <row r="790" spans="6:14" x14ac:dyDescent="0.75">
      <c r="F790">
        <v>785</v>
      </c>
      <c r="G790">
        <f t="shared" ca="1" si="84"/>
        <v>-0.16452946540669139</v>
      </c>
      <c r="H790">
        <f t="shared" ca="1" si="84"/>
        <v>-0.72331500187000985</v>
      </c>
      <c r="I790">
        <f t="shared" ca="1" si="85"/>
        <v>-0.16452946540669139</v>
      </c>
      <c r="J790">
        <f t="shared" ca="1" si="86"/>
        <v>-0.60182500268258488</v>
      </c>
      <c r="K790">
        <f t="shared" ca="1" si="87"/>
        <v>17.081387006697803</v>
      </c>
      <c r="L790">
        <f t="shared" ca="1" si="88"/>
        <v>17.013821155380683</v>
      </c>
      <c r="M790">
        <f t="shared" ca="1" si="89"/>
        <v>0</v>
      </c>
      <c r="N790">
        <f t="shared" ca="1" si="90"/>
        <v>0</v>
      </c>
    </row>
    <row r="791" spans="6:14" x14ac:dyDescent="0.75">
      <c r="F791">
        <v>786</v>
      </c>
      <c r="G791">
        <f t="shared" ca="1" si="84"/>
        <v>-0.4278047792617054</v>
      </c>
      <c r="H791">
        <f t="shared" ca="1" si="84"/>
        <v>-1.1787970768254958</v>
      </c>
      <c r="I791">
        <f t="shared" ca="1" si="85"/>
        <v>-0.4278047792617054</v>
      </c>
      <c r="J791">
        <f t="shared" ca="1" si="86"/>
        <v>-1.1005545623188198</v>
      </c>
      <c r="K791">
        <f t="shared" ca="1" si="87"/>
        <v>15.993310852117011</v>
      </c>
      <c r="L791">
        <f t="shared" ca="1" si="88"/>
        <v>15.019414030737616</v>
      </c>
      <c r="M791">
        <f t="shared" ca="1" si="89"/>
        <v>0</v>
      </c>
      <c r="N791">
        <f t="shared" ca="1" si="90"/>
        <v>0</v>
      </c>
    </row>
    <row r="792" spans="6:14" x14ac:dyDescent="0.75">
      <c r="F792">
        <v>787</v>
      </c>
      <c r="G792">
        <f t="shared" ca="1" si="84"/>
        <v>-1.5794958003830426</v>
      </c>
      <c r="H792">
        <f t="shared" ca="1" si="84"/>
        <v>1.3147131139512818</v>
      </c>
      <c r="I792">
        <f t="shared" ca="1" si="85"/>
        <v>-1.5794958003830426</v>
      </c>
      <c r="J792">
        <f t="shared" ca="1" si="86"/>
        <v>-0.31502086405967822</v>
      </c>
      <c r="K792">
        <f t="shared" ca="1" si="87"/>
        <v>11.992096500013556</v>
      </c>
      <c r="L792">
        <f t="shared" ca="1" si="88"/>
        <v>18.278528364099259</v>
      </c>
      <c r="M792">
        <f t="shared" ca="1" si="89"/>
        <v>0</v>
      </c>
      <c r="N792">
        <f t="shared" ca="1" si="90"/>
        <v>0</v>
      </c>
    </row>
    <row r="793" spans="6:14" x14ac:dyDescent="0.75">
      <c r="F793">
        <v>788</v>
      </c>
      <c r="G793">
        <f t="shared" ca="1" si="84"/>
        <v>-1.1185080669081493</v>
      </c>
      <c r="H793">
        <f t="shared" ca="1" si="84"/>
        <v>-1.6448143322598447</v>
      </c>
      <c r="I793">
        <f t="shared" ca="1" si="85"/>
        <v>-1.1185080669081493</v>
      </c>
      <c r="J793">
        <f t="shared" ca="1" si="86"/>
        <v>-1.9268234691896904</v>
      </c>
      <c r="K793">
        <f t="shared" ca="1" si="87"/>
        <v>13.456937080728736</v>
      </c>
      <c r="L793">
        <f t="shared" ca="1" si="88"/>
        <v>12.216364510602505</v>
      </c>
      <c r="M793">
        <f t="shared" ca="1" si="89"/>
        <v>0</v>
      </c>
      <c r="N793">
        <f t="shared" ca="1" si="90"/>
        <v>0</v>
      </c>
    </row>
    <row r="794" spans="6:14" x14ac:dyDescent="0.75">
      <c r="F794">
        <v>789</v>
      </c>
      <c r="G794">
        <f t="shared" ca="1" si="84"/>
        <v>0.77369327116926057</v>
      </c>
      <c r="H794">
        <f t="shared" ca="1" si="84"/>
        <v>0.3995780530159011</v>
      </c>
      <c r="I794">
        <f t="shared" ca="1" si="85"/>
        <v>0.77369327116926057</v>
      </c>
      <c r="J794">
        <f t="shared" ca="1" si="86"/>
        <v>0.84456599278680966</v>
      </c>
      <c r="K794">
        <f t="shared" ca="1" si="87"/>
        <v>21.596798274880719</v>
      </c>
      <c r="L794">
        <f t="shared" ca="1" si="88"/>
        <v>24.4254048189533</v>
      </c>
      <c r="M794">
        <f t="shared" ca="1" si="89"/>
        <v>2.9675976248547578</v>
      </c>
      <c r="N794">
        <f t="shared" ca="1" si="90"/>
        <v>3.0111015469170113</v>
      </c>
    </row>
    <row r="795" spans="6:14" x14ac:dyDescent="0.75">
      <c r="F795">
        <v>790</v>
      </c>
      <c r="G795">
        <f t="shared" ca="1" si="84"/>
        <v>-0.23370913097670445</v>
      </c>
      <c r="H795">
        <f t="shared" ca="1" si="84"/>
        <v>0.34720247144323141</v>
      </c>
      <c r="I795">
        <f t="shared" ca="1" si="85"/>
        <v>-0.23370913097670445</v>
      </c>
      <c r="J795">
        <f t="shared" ca="1" si="86"/>
        <v>5.4371000273920556E-2</v>
      </c>
      <c r="K795">
        <f t="shared" ca="1" si="87"/>
        <v>16.788505824698785</v>
      </c>
      <c r="L795">
        <f t="shared" ca="1" si="88"/>
        <v>20.04690992903399</v>
      </c>
      <c r="M795">
        <f t="shared" ca="1" si="89"/>
        <v>0</v>
      </c>
      <c r="N795">
        <f t="shared" ca="1" si="90"/>
        <v>0</v>
      </c>
    </row>
    <row r="796" spans="6:14" x14ac:dyDescent="0.75">
      <c r="F796">
        <v>791</v>
      </c>
      <c r="G796">
        <f t="shared" ca="1" si="84"/>
        <v>0.54865216658230154</v>
      </c>
      <c r="H796">
        <f t="shared" ca="1" si="84"/>
        <v>-0.37278378622969599</v>
      </c>
      <c r="I796">
        <f t="shared" ca="1" si="85"/>
        <v>0.54865216658230154</v>
      </c>
      <c r="J796">
        <f t="shared" ca="1" si="86"/>
        <v>0.16491582714651612</v>
      </c>
      <c r="K796">
        <f t="shared" ca="1" si="87"/>
        <v>20.415303670692161</v>
      </c>
      <c r="L796">
        <f t="shared" ca="1" si="88"/>
        <v>20.608657002140788</v>
      </c>
      <c r="M796">
        <f t="shared" ca="1" si="89"/>
        <v>0.51175250786340243</v>
      </c>
      <c r="N796">
        <f t="shared" ca="1" si="90"/>
        <v>0.51198033641647456</v>
      </c>
    </row>
    <row r="797" spans="6:14" x14ac:dyDescent="0.75">
      <c r="F797">
        <v>792</v>
      </c>
      <c r="G797">
        <f t="shared" ca="1" si="84"/>
        <v>1.2817898466493076</v>
      </c>
      <c r="H797">
        <f t="shared" ca="1" si="84"/>
        <v>1.7038667914470829</v>
      </c>
      <c r="I797">
        <f t="shared" ca="1" si="85"/>
        <v>1.2817898466493076</v>
      </c>
      <c r="J797">
        <f t="shared" ca="1" si="86"/>
        <v>2.0883443343246149</v>
      </c>
      <c r="K797">
        <f t="shared" ca="1" si="87"/>
        <v>24.521964338865651</v>
      </c>
      <c r="L797">
        <f t="shared" ca="1" si="88"/>
        <v>33.333681995662239</v>
      </c>
      <c r="M797">
        <f t="shared" ca="1" si="89"/>
        <v>8.5903368497245474</v>
      </c>
      <c r="N797">
        <f t="shared" ca="1" si="90"/>
        <v>8.927823167263945</v>
      </c>
    </row>
    <row r="798" spans="6:14" x14ac:dyDescent="0.75">
      <c r="F798">
        <v>793</v>
      </c>
      <c r="G798">
        <f t="shared" ca="1" si="84"/>
        <v>0.22039486614305509</v>
      </c>
      <c r="H798">
        <f t="shared" ca="1" si="84"/>
        <v>-0.95744282487391719</v>
      </c>
      <c r="I798">
        <f t="shared" ca="1" si="85"/>
        <v>0.22039486614305509</v>
      </c>
      <c r="J798">
        <f t="shared" ca="1" si="86"/>
        <v>-0.46799275268759655</v>
      </c>
      <c r="K798">
        <f t="shared" ca="1" si="87"/>
        <v>18.806837009313949</v>
      </c>
      <c r="L798">
        <f t="shared" ca="1" si="88"/>
        <v>17.592700740780391</v>
      </c>
      <c r="M798">
        <f t="shared" ca="1" si="89"/>
        <v>0</v>
      </c>
      <c r="N798">
        <f t="shared" ca="1" si="90"/>
        <v>0</v>
      </c>
    </row>
    <row r="799" spans="6:14" x14ac:dyDescent="0.75">
      <c r="F799">
        <v>794</v>
      </c>
      <c r="G799">
        <f t="shared" ca="1" si="84"/>
        <v>1.6832437422326143</v>
      </c>
      <c r="H799">
        <f t="shared" ca="1" si="84"/>
        <v>0.78848263836932286</v>
      </c>
      <c r="I799">
        <f t="shared" ca="1" si="85"/>
        <v>1.6832437422326143</v>
      </c>
      <c r="J799">
        <f t="shared" ca="1" si="86"/>
        <v>1.7839650502287867</v>
      </c>
      <c r="K799">
        <f t="shared" ca="1" si="87"/>
        <v>27.110814123998892</v>
      </c>
      <c r="L799">
        <f t="shared" ca="1" si="88"/>
        <v>30.891267417392111</v>
      </c>
      <c r="M799">
        <f t="shared" ca="1" si="89"/>
        <v>8.9393747169433659</v>
      </c>
      <c r="N799">
        <f t="shared" ca="1" si="90"/>
        <v>9.0010407706955036</v>
      </c>
    </row>
    <row r="800" spans="6:14" x14ac:dyDescent="0.75">
      <c r="F800">
        <v>795</v>
      </c>
      <c r="G800">
        <f t="shared" ca="1" si="84"/>
        <v>0.35471344323847243</v>
      </c>
      <c r="H800">
        <f t="shared" ca="1" si="84"/>
        <v>-0.76598172788128338</v>
      </c>
      <c r="I800">
        <f t="shared" ca="1" si="85"/>
        <v>0.35471344323847243</v>
      </c>
      <c r="J800">
        <f t="shared" ca="1" si="86"/>
        <v>-0.24061420776950215</v>
      </c>
      <c r="K800">
        <f t="shared" ca="1" si="87"/>
        <v>19.449086817511567</v>
      </c>
      <c r="L800">
        <f t="shared" ca="1" si="88"/>
        <v>18.621721494156006</v>
      </c>
      <c r="M800">
        <f t="shared" ca="1" si="89"/>
        <v>0</v>
      </c>
      <c r="N800">
        <f t="shared" ca="1" si="90"/>
        <v>0</v>
      </c>
    </row>
    <row r="801" spans="6:14" x14ac:dyDescent="0.75">
      <c r="F801">
        <v>796</v>
      </c>
      <c r="G801">
        <f t="shared" ca="1" si="84"/>
        <v>1.6900512945552706</v>
      </c>
      <c r="H801">
        <f t="shared" ca="1" si="84"/>
        <v>-8.6647189419467377E-2</v>
      </c>
      <c r="I801">
        <f t="shared" ca="1" si="85"/>
        <v>1.6900512945552706</v>
      </c>
      <c r="J801">
        <f t="shared" ca="1" si="86"/>
        <v>1.2102267421647985</v>
      </c>
      <c r="K801">
        <f t="shared" ca="1" si="87"/>
        <v>27.156992979889708</v>
      </c>
      <c r="L801">
        <f t="shared" ca="1" si="88"/>
        <v>26.763498398486011</v>
      </c>
      <c r="M801">
        <f t="shared" ca="1" si="89"/>
        <v>6.9595277800812738</v>
      </c>
      <c r="N801">
        <f t="shared" ca="1" si="90"/>
        <v>6.9602456891878575</v>
      </c>
    </row>
    <row r="802" spans="6:14" x14ac:dyDescent="0.75">
      <c r="F802">
        <v>797</v>
      </c>
      <c r="G802">
        <f t="shared" ca="1" si="84"/>
        <v>-0.13337190703070381</v>
      </c>
      <c r="H802">
        <f t="shared" ca="1" si="84"/>
        <v>-1.8619690524106642</v>
      </c>
      <c r="I802">
        <f t="shared" ca="1" si="85"/>
        <v>-0.13337190703070381</v>
      </c>
      <c r="J802">
        <f t="shared" ca="1" si="86"/>
        <v>-1.3316056956673301</v>
      </c>
      <c r="K802">
        <f t="shared" ca="1" si="87"/>
        <v>17.214960136097005</v>
      </c>
      <c r="L802">
        <f t="shared" ca="1" si="88"/>
        <v>14.176431747632938</v>
      </c>
      <c r="M802">
        <f t="shared" ca="1" si="89"/>
        <v>0</v>
      </c>
      <c r="N802">
        <f t="shared" ca="1" si="90"/>
        <v>0</v>
      </c>
    </row>
    <row r="803" spans="6:14" x14ac:dyDescent="0.75">
      <c r="F803">
        <v>798</v>
      </c>
      <c r="G803">
        <f t="shared" ca="1" si="84"/>
        <v>-1.2577344659518643</v>
      </c>
      <c r="H803">
        <f t="shared" ca="1" si="84"/>
        <v>-0.6036876055193402</v>
      </c>
      <c r="I803">
        <f t="shared" ca="1" si="85"/>
        <v>-1.2577344659518643</v>
      </c>
      <c r="J803">
        <f t="shared" ca="1" si="86"/>
        <v>-1.3426026679079577</v>
      </c>
      <c r="K803">
        <f t="shared" ca="1" si="87"/>
        <v>12.996604634787861</v>
      </c>
      <c r="L803">
        <f t="shared" ca="1" si="88"/>
        <v>14.137510817096846</v>
      </c>
      <c r="M803">
        <f t="shared" ca="1" si="89"/>
        <v>0</v>
      </c>
      <c r="N803">
        <f t="shared" ca="1" si="90"/>
        <v>0</v>
      </c>
    </row>
    <row r="804" spans="6:14" x14ac:dyDescent="0.75">
      <c r="F804">
        <v>799</v>
      </c>
      <c r="G804">
        <f t="shared" ca="1" si="84"/>
        <v>1.1994515184733887</v>
      </c>
      <c r="H804">
        <f t="shared" ca="1" si="84"/>
        <v>-1.2287994988491033</v>
      </c>
      <c r="I804">
        <f t="shared" ca="1" si="85"/>
        <v>1.1994515184733887</v>
      </c>
      <c r="J804">
        <f t="shared" ca="1" si="86"/>
        <v>8.6814167576159784E-2</v>
      </c>
      <c r="K804">
        <f t="shared" ca="1" si="87"/>
        <v>24.022349772047928</v>
      </c>
      <c r="L804">
        <f t="shared" ca="1" si="88"/>
        <v>20.210167420990309</v>
      </c>
      <c r="M804">
        <f t="shared" ca="1" si="89"/>
        <v>2.033967203812324</v>
      </c>
      <c r="N804">
        <f t="shared" ca="1" si="90"/>
        <v>2.116258596519117</v>
      </c>
    </row>
    <row r="805" spans="6:14" x14ac:dyDescent="0.75">
      <c r="F805">
        <v>800</v>
      </c>
      <c r="G805">
        <f t="shared" ca="1" si="84"/>
        <v>0.29970394582555326</v>
      </c>
      <c r="H805">
        <f t="shared" ca="1" si="84"/>
        <v>2.0693263591874649</v>
      </c>
      <c r="I805">
        <f t="shared" ca="1" si="85"/>
        <v>0.29970394582555326</v>
      </c>
      <c r="J805">
        <f t="shared" ca="1" si="86"/>
        <v>1.5935086913293528</v>
      </c>
      <c r="K805">
        <f t="shared" ca="1" si="87"/>
        <v>19.183446474142634</v>
      </c>
      <c r="L805">
        <f t="shared" ca="1" si="88"/>
        <v>29.454875447223788</v>
      </c>
      <c r="M805">
        <f t="shared" ca="1" si="89"/>
        <v>3.7706968039297415</v>
      </c>
      <c r="N805">
        <f t="shared" ca="1" si="90"/>
        <v>4.3191609606832131</v>
      </c>
    </row>
    <row r="806" spans="6:14" x14ac:dyDescent="0.75">
      <c r="F806">
        <v>801</v>
      </c>
      <c r="G806">
        <f t="shared" ca="1" si="84"/>
        <v>0.63743010316574256</v>
      </c>
      <c r="H806">
        <f t="shared" ca="1" si="84"/>
        <v>-1.8186548565334593</v>
      </c>
      <c r="I806">
        <f t="shared" ca="1" si="85"/>
        <v>0.63743010316574256</v>
      </c>
      <c r="J806">
        <f t="shared" ca="1" si="86"/>
        <v>-0.72485454038753949</v>
      </c>
      <c r="K806">
        <f t="shared" ca="1" si="87"/>
        <v>20.873476450945823</v>
      </c>
      <c r="L806">
        <f t="shared" ca="1" si="88"/>
        <v>16.498486319019886</v>
      </c>
      <c r="M806">
        <f t="shared" ca="1" si="89"/>
        <v>0</v>
      </c>
      <c r="N806">
        <f t="shared" ca="1" si="90"/>
        <v>0</v>
      </c>
    </row>
    <row r="807" spans="6:14" x14ac:dyDescent="0.75">
      <c r="F807">
        <v>802</v>
      </c>
      <c r="G807">
        <f t="shared" ca="1" si="84"/>
        <v>0.50343430603557249</v>
      </c>
      <c r="H807">
        <f t="shared" ca="1" si="84"/>
        <v>4.3317698007525364E-2</v>
      </c>
      <c r="I807">
        <f t="shared" ca="1" si="85"/>
        <v>0.50343430603557249</v>
      </c>
      <c r="J807">
        <f t="shared" ca="1" si="86"/>
        <v>0.40622769360060695</v>
      </c>
      <c r="K807">
        <f t="shared" ca="1" si="87"/>
        <v>20.185819125941599</v>
      </c>
      <c r="L807">
        <f t="shared" ca="1" si="88"/>
        <v>21.890203258773706</v>
      </c>
      <c r="M807">
        <f t="shared" ca="1" si="89"/>
        <v>1.0207441260223575</v>
      </c>
      <c r="N807">
        <f t="shared" ca="1" si="90"/>
        <v>1.0380111923576507</v>
      </c>
    </row>
    <row r="808" spans="6:14" x14ac:dyDescent="0.75">
      <c r="F808">
        <v>803</v>
      </c>
      <c r="G808">
        <f t="shared" ca="1" si="84"/>
        <v>-1.0384230943077388</v>
      </c>
      <c r="H808">
        <f t="shared" ca="1" si="84"/>
        <v>-0.3367401832465749</v>
      </c>
      <c r="I808">
        <f t="shared" ca="1" si="85"/>
        <v>-1.0384230943077388</v>
      </c>
      <c r="J808">
        <f t="shared" ca="1" si="86"/>
        <v>-1.0015500160589932</v>
      </c>
      <c r="K808">
        <f t="shared" ca="1" si="87"/>
        <v>13.729076888158554</v>
      </c>
      <c r="L808">
        <f t="shared" ca="1" si="88"/>
        <v>15.395800378570907</v>
      </c>
      <c r="M808">
        <f t="shared" ca="1" si="89"/>
        <v>0</v>
      </c>
      <c r="N808">
        <f t="shared" ca="1" si="90"/>
        <v>0</v>
      </c>
    </row>
    <row r="809" spans="6:14" x14ac:dyDescent="0.75">
      <c r="F809">
        <v>804</v>
      </c>
      <c r="G809">
        <f t="shared" ca="1" si="84"/>
        <v>-7.2596253554890272E-2</v>
      </c>
      <c r="H809">
        <f t="shared" ca="1" si="84"/>
        <v>-1.0335450069401046</v>
      </c>
      <c r="I809">
        <f t="shared" ca="1" si="85"/>
        <v>-7.2596253554890272E-2</v>
      </c>
      <c r="J809">
        <f t="shared" ca="1" si="86"/>
        <v>-0.73807295445517862</v>
      </c>
      <c r="K809">
        <f t="shared" ca="1" si="87"/>
        <v>17.478519931079155</v>
      </c>
      <c r="L809">
        <f t="shared" ca="1" si="88"/>
        <v>16.444055349027806</v>
      </c>
      <c r="M809">
        <f t="shared" ca="1" si="89"/>
        <v>0</v>
      </c>
      <c r="N809">
        <f t="shared" ca="1" si="90"/>
        <v>0</v>
      </c>
    </row>
    <row r="810" spans="6:14" x14ac:dyDescent="0.75">
      <c r="F810">
        <v>805</v>
      </c>
      <c r="G810">
        <f t="shared" ca="1" si="84"/>
        <v>1.5874564577907464</v>
      </c>
      <c r="H810">
        <f t="shared" ca="1" si="84"/>
        <v>-0.1284428270673634</v>
      </c>
      <c r="I810">
        <f t="shared" ca="1" si="85"/>
        <v>1.5874564577907464</v>
      </c>
      <c r="J810">
        <f t="shared" ca="1" si="86"/>
        <v>1.1056353988154801</v>
      </c>
      <c r="K810">
        <f t="shared" ca="1" si="87"/>
        <v>26.469307980141242</v>
      </c>
      <c r="L810">
        <f t="shared" ca="1" si="88"/>
        <v>26.072760836972858</v>
      </c>
      <c r="M810">
        <f t="shared" ca="1" si="89"/>
        <v>6.2702861896554083</v>
      </c>
      <c r="N810">
        <f t="shared" ca="1" si="90"/>
        <v>6.2710344085570497</v>
      </c>
    </row>
    <row r="811" spans="6:14" x14ac:dyDescent="0.75">
      <c r="F811">
        <v>806</v>
      </c>
      <c r="G811">
        <f t="shared" ca="1" si="84"/>
        <v>-0.54049173045566079</v>
      </c>
      <c r="H811">
        <f t="shared" ca="1" si="84"/>
        <v>-0.27380491204916269</v>
      </c>
      <c r="I811">
        <f t="shared" ca="1" si="85"/>
        <v>-0.54049173045566079</v>
      </c>
      <c r="J811">
        <f t="shared" ca="1" si="86"/>
        <v>-0.58647372409924492</v>
      </c>
      <c r="K811">
        <f t="shared" ca="1" si="87"/>
        <v>15.549038832223252</v>
      </c>
      <c r="L811">
        <f t="shared" ca="1" si="88"/>
        <v>17.079242589996465</v>
      </c>
      <c r="M811">
        <f t="shared" ca="1" si="89"/>
        <v>0</v>
      </c>
      <c r="N811">
        <f t="shared" ca="1" si="90"/>
        <v>0</v>
      </c>
    </row>
    <row r="812" spans="6:14" x14ac:dyDescent="0.75">
      <c r="F812">
        <v>807</v>
      </c>
      <c r="G812">
        <f t="shared" ca="1" si="84"/>
        <v>7.5325789885828581E-2</v>
      </c>
      <c r="H812">
        <f t="shared" ca="1" si="84"/>
        <v>0.46805839694504076</v>
      </c>
      <c r="I812">
        <f t="shared" ca="1" si="85"/>
        <v>7.5325789885828581E-2</v>
      </c>
      <c r="J812">
        <f t="shared" ca="1" si="86"/>
        <v>0.36608587175740448</v>
      </c>
      <c r="K812">
        <f t="shared" ca="1" si="87"/>
        <v>18.136984669386852</v>
      </c>
      <c r="L812">
        <f t="shared" ca="1" si="88"/>
        <v>21.671623706057858</v>
      </c>
      <c r="M812">
        <f t="shared" ca="1" si="89"/>
        <v>0</v>
      </c>
      <c r="N812">
        <f t="shared" ca="1" si="90"/>
        <v>0</v>
      </c>
    </row>
    <row r="813" spans="6:14" x14ac:dyDescent="0.75">
      <c r="F813">
        <v>808</v>
      </c>
      <c r="G813">
        <f t="shared" ca="1" si="84"/>
        <v>0.86254802782664697</v>
      </c>
      <c r="H813">
        <f t="shared" ca="1" si="84"/>
        <v>-0.96506848228325359</v>
      </c>
      <c r="I813">
        <f t="shared" ca="1" si="85"/>
        <v>0.86254802782664697</v>
      </c>
      <c r="J813">
        <f t="shared" ca="1" si="86"/>
        <v>8.5782203029769466E-3</v>
      </c>
      <c r="K813">
        <f t="shared" ca="1" si="87"/>
        <v>22.081910961931438</v>
      </c>
      <c r="L813">
        <f t="shared" ca="1" si="88"/>
        <v>19.818717682090451</v>
      </c>
      <c r="M813">
        <f t="shared" ca="1" si="89"/>
        <v>0.9197313375573124</v>
      </c>
      <c r="N813">
        <f t="shared" ca="1" si="90"/>
        <v>0.95031432201094646</v>
      </c>
    </row>
    <row r="814" spans="6:14" x14ac:dyDescent="0.75">
      <c r="F814">
        <v>809</v>
      </c>
      <c r="G814">
        <f t="shared" ca="1" si="84"/>
        <v>-0.78964363323655495</v>
      </c>
      <c r="H814">
        <f t="shared" ca="1" si="84"/>
        <v>-1.7432659762131186</v>
      </c>
      <c r="I814">
        <f t="shared" ca="1" si="85"/>
        <v>-0.78964363323655495</v>
      </c>
      <c r="J814">
        <f t="shared" ca="1" si="86"/>
        <v>-1.7452947854524543</v>
      </c>
      <c r="K814">
        <f t="shared" ca="1" si="87"/>
        <v>14.610067554230923</v>
      </c>
      <c r="L814">
        <f t="shared" ca="1" si="88"/>
        <v>12.78354218972396</v>
      </c>
      <c r="M814">
        <f t="shared" ca="1" si="89"/>
        <v>0</v>
      </c>
      <c r="N814">
        <f t="shared" ca="1" si="90"/>
        <v>0</v>
      </c>
    </row>
    <row r="815" spans="6:14" x14ac:dyDescent="0.75">
      <c r="F815">
        <v>810</v>
      </c>
      <c r="G815">
        <f t="shared" ca="1" si="84"/>
        <v>0.2199644108326215</v>
      </c>
      <c r="H815">
        <f t="shared" ca="1" si="84"/>
        <v>-1.4465418840249256</v>
      </c>
      <c r="I815">
        <f t="shared" ca="1" si="85"/>
        <v>0.2199644108326215</v>
      </c>
      <c r="J815">
        <f t="shared" ca="1" si="86"/>
        <v>-0.79182421341773135</v>
      </c>
      <c r="K815">
        <f t="shared" ca="1" si="87"/>
        <v>18.804813242492767</v>
      </c>
      <c r="L815">
        <f t="shared" ca="1" si="88"/>
        <v>16.224561243145132</v>
      </c>
      <c r="M815">
        <f t="shared" ca="1" si="89"/>
        <v>0</v>
      </c>
      <c r="N815">
        <f t="shared" ca="1" si="90"/>
        <v>0</v>
      </c>
    </row>
    <row r="816" spans="6:14" x14ac:dyDescent="0.75">
      <c r="F816">
        <v>811</v>
      </c>
      <c r="G816">
        <f t="shared" ca="1" si="84"/>
        <v>-1.156179958997763</v>
      </c>
      <c r="H816">
        <f t="shared" ca="1" si="84"/>
        <v>0.80127054546905441</v>
      </c>
      <c r="I816">
        <f t="shared" ca="1" si="85"/>
        <v>-1.156179958997763</v>
      </c>
      <c r="J816">
        <f t="shared" ca="1" si="86"/>
        <v>-0.33714432020027474</v>
      </c>
      <c r="K816">
        <f t="shared" ca="1" si="87"/>
        <v>13.330794944337503</v>
      </c>
      <c r="L816">
        <f t="shared" ca="1" si="88"/>
        <v>18.177711368505371</v>
      </c>
      <c r="M816">
        <f t="shared" ca="1" si="89"/>
        <v>0</v>
      </c>
      <c r="N816">
        <f t="shared" ca="1" si="90"/>
        <v>0</v>
      </c>
    </row>
    <row r="817" spans="6:14" x14ac:dyDescent="0.75">
      <c r="F817">
        <v>812</v>
      </c>
      <c r="G817">
        <f t="shared" ca="1" si="84"/>
        <v>-0.41488410381489649</v>
      </c>
      <c r="H817">
        <f t="shared" ca="1" si="84"/>
        <v>1.4440694362898212</v>
      </c>
      <c r="I817">
        <f t="shared" ca="1" si="85"/>
        <v>-0.41488410381489649</v>
      </c>
      <c r="J817">
        <f t="shared" ca="1" si="86"/>
        <v>0.64399907322185235</v>
      </c>
      <c r="K817">
        <f t="shared" ca="1" si="87"/>
        <v>16.045055473767952</v>
      </c>
      <c r="L817">
        <f t="shared" ca="1" si="88"/>
        <v>23.230871026971386</v>
      </c>
      <c r="M817">
        <f t="shared" ca="1" si="89"/>
        <v>0</v>
      </c>
      <c r="N817">
        <f t="shared" ca="1" si="90"/>
        <v>0</v>
      </c>
    </row>
    <row r="818" spans="6:14" x14ac:dyDescent="0.75">
      <c r="F818">
        <v>813</v>
      </c>
      <c r="G818">
        <f t="shared" ca="1" si="84"/>
        <v>0.1530445521875565</v>
      </c>
      <c r="H818">
        <f t="shared" ca="1" si="84"/>
        <v>-0.95413550901761046</v>
      </c>
      <c r="I818">
        <f t="shared" ca="1" si="85"/>
        <v>0.1530445521875565</v>
      </c>
      <c r="J818">
        <f t="shared" ca="1" si="86"/>
        <v>-0.51631790433848845</v>
      </c>
      <c r="K818">
        <f t="shared" ca="1" si="87"/>
        <v>18.492826422563549</v>
      </c>
      <c r="L818">
        <f t="shared" ca="1" si="88"/>
        <v>17.381436996649217</v>
      </c>
      <c r="M818">
        <f t="shared" ca="1" si="89"/>
        <v>0</v>
      </c>
      <c r="N818">
        <f t="shared" ca="1" si="90"/>
        <v>0</v>
      </c>
    </row>
    <row r="819" spans="6:14" x14ac:dyDescent="0.75">
      <c r="F819">
        <v>814</v>
      </c>
      <c r="G819">
        <f t="shared" ca="1" si="84"/>
        <v>0.99680374464115107</v>
      </c>
      <c r="H819">
        <f t="shared" ca="1" si="84"/>
        <v>-0.15734486220548988</v>
      </c>
      <c r="I819">
        <f t="shared" ca="1" si="85"/>
        <v>0.99680374464115107</v>
      </c>
      <c r="J819">
        <f t="shared" ca="1" si="86"/>
        <v>0.64352896461350018</v>
      </c>
      <c r="K819">
        <f t="shared" ca="1" si="87"/>
        <v>22.835645038934359</v>
      </c>
      <c r="L819">
        <f t="shared" ca="1" si="88"/>
        <v>23.228140929292508</v>
      </c>
      <c r="M819">
        <f t="shared" ca="1" si="89"/>
        <v>3.0310568836010354</v>
      </c>
      <c r="N819">
        <f t="shared" ca="1" si="90"/>
        <v>3.0318929841134334</v>
      </c>
    </row>
    <row r="820" spans="6:14" x14ac:dyDescent="0.75">
      <c r="F820">
        <v>815</v>
      </c>
      <c r="G820">
        <f t="shared" ca="1" si="84"/>
        <v>-1.5385663363376489E-2</v>
      </c>
      <c r="H820">
        <f t="shared" ca="1" si="84"/>
        <v>2.2162204243595638</v>
      </c>
      <c r="I820">
        <f t="shared" ca="1" si="85"/>
        <v>-1.5385663363376489E-2</v>
      </c>
      <c r="J820">
        <f t="shared" ca="1" si="86"/>
        <v>1.4543527758168275</v>
      </c>
      <c r="K820">
        <f t="shared" ca="1" si="87"/>
        <v>17.730305348143329</v>
      </c>
      <c r="L820">
        <f t="shared" ca="1" si="88"/>
        <v>28.447789718188051</v>
      </c>
      <c r="M820">
        <f t="shared" ca="1" si="89"/>
        <v>2.4585840645229986</v>
      </c>
      <c r="N820">
        <f t="shared" ca="1" si="90"/>
        <v>3.0890475331656901</v>
      </c>
    </row>
    <row r="821" spans="6:14" x14ac:dyDescent="0.75">
      <c r="F821">
        <v>816</v>
      </c>
      <c r="G821">
        <f t="shared" ca="1" si="84"/>
        <v>0.45563507858865898</v>
      </c>
      <c r="H821">
        <f t="shared" ca="1" si="84"/>
        <v>0.62368589957574549</v>
      </c>
      <c r="I821">
        <f t="shared" ca="1" si="85"/>
        <v>0.45563507858865898</v>
      </c>
      <c r="J821">
        <f t="shared" ca="1" si="86"/>
        <v>0.75425575556525115</v>
      </c>
      <c r="K821">
        <f t="shared" ca="1" si="87"/>
        <v>19.946038008408841</v>
      </c>
      <c r="L821">
        <f t="shared" ca="1" si="88"/>
        <v>23.880117583520637</v>
      </c>
      <c r="M821">
        <f t="shared" ca="1" si="89"/>
        <v>1.8246130083943264</v>
      </c>
      <c r="N821">
        <f t="shared" ca="1" si="90"/>
        <v>1.9130777959647389</v>
      </c>
    </row>
    <row r="822" spans="6:14" x14ac:dyDescent="0.75">
      <c r="F822">
        <v>817</v>
      </c>
      <c r="G822">
        <f t="shared" ca="1" si="84"/>
        <v>-0.8697877598577165</v>
      </c>
      <c r="H822">
        <f t="shared" ca="1" si="84"/>
        <v>-0.76227260426244703</v>
      </c>
      <c r="I822">
        <f t="shared" ca="1" si="85"/>
        <v>-0.8697877598577165</v>
      </c>
      <c r="J822">
        <f t="shared" ca="1" si="86"/>
        <v>-1.1565367554222847</v>
      </c>
      <c r="K822">
        <f t="shared" ca="1" si="87"/>
        <v>14.320252841869191</v>
      </c>
      <c r="L822">
        <f t="shared" ca="1" si="88"/>
        <v>14.81067322486221</v>
      </c>
      <c r="M822">
        <f t="shared" ca="1" si="89"/>
        <v>0</v>
      </c>
      <c r="N822">
        <f t="shared" ca="1" si="90"/>
        <v>0</v>
      </c>
    </row>
    <row r="823" spans="6:14" x14ac:dyDescent="0.75">
      <c r="F823">
        <v>818</v>
      </c>
      <c r="G823">
        <f t="shared" ca="1" si="84"/>
        <v>0.79476971643490968</v>
      </c>
      <c r="H823">
        <f t="shared" ca="1" si="84"/>
        <v>-1.4830526906475472</v>
      </c>
      <c r="I823">
        <f t="shared" ca="1" si="85"/>
        <v>0.79476971643490968</v>
      </c>
      <c r="J823">
        <f t="shared" ca="1" si="86"/>
        <v>-0.38486986283847191</v>
      </c>
      <c r="K823">
        <f t="shared" ca="1" si="87"/>
        <v>21.710894538048706</v>
      </c>
      <c r="L823">
        <f t="shared" ca="1" si="88"/>
        <v>17.962114824169447</v>
      </c>
      <c r="M823">
        <f t="shared" ca="1" si="89"/>
        <v>0</v>
      </c>
      <c r="N823">
        <f t="shared" ca="1" si="90"/>
        <v>0</v>
      </c>
    </row>
    <row r="824" spans="6:14" x14ac:dyDescent="0.75">
      <c r="F824">
        <v>819</v>
      </c>
      <c r="G824">
        <f t="shared" ca="1" si="84"/>
        <v>0.36972039725236566</v>
      </c>
      <c r="H824">
        <f t="shared" ca="1" si="84"/>
        <v>-0.55000366507468768</v>
      </c>
      <c r="I824">
        <f t="shared" ca="1" si="85"/>
        <v>0.36972039725236566</v>
      </c>
      <c r="J824">
        <f t="shared" ca="1" si="86"/>
        <v>-8.6502931551147022E-2</v>
      </c>
      <c r="K824">
        <f t="shared" ca="1" si="87"/>
        <v>19.522191754937207</v>
      </c>
      <c r="L824">
        <f t="shared" ca="1" si="88"/>
        <v>19.353176005652287</v>
      </c>
      <c r="M824">
        <f t="shared" ca="1" si="89"/>
        <v>0</v>
      </c>
      <c r="N824">
        <f t="shared" ca="1" si="90"/>
        <v>0</v>
      </c>
    </row>
    <row r="825" spans="6:14" x14ac:dyDescent="0.75">
      <c r="F825">
        <v>820</v>
      </c>
      <c r="G825">
        <f t="shared" ca="1" si="84"/>
        <v>0.17204668579362067</v>
      </c>
      <c r="H825">
        <f t="shared" ca="1" si="84"/>
        <v>0.42430520295043872</v>
      </c>
      <c r="I825">
        <f t="shared" ca="1" si="85"/>
        <v>0.17204668579362067</v>
      </c>
      <c r="J825">
        <f t="shared" ca="1" si="86"/>
        <v>0.40968652609462808</v>
      </c>
      <c r="K825">
        <f t="shared" ca="1" si="87"/>
        <v>18.580886212050142</v>
      </c>
      <c r="L825">
        <f t="shared" ca="1" si="88"/>
        <v>21.909140081589054</v>
      </c>
      <c r="M825">
        <f t="shared" ca="1" si="89"/>
        <v>0.1765021463055696</v>
      </c>
      <c r="N825">
        <f t="shared" ca="1" si="90"/>
        <v>0.2450131468195984</v>
      </c>
    </row>
    <row r="826" spans="6:14" x14ac:dyDescent="0.75">
      <c r="F826">
        <v>821</v>
      </c>
      <c r="G826">
        <f t="shared" ca="1" si="84"/>
        <v>-0.37821159956151773</v>
      </c>
      <c r="H826">
        <f t="shared" ca="1" si="84"/>
        <v>0.37114707415112469</v>
      </c>
      <c r="I826">
        <f t="shared" ca="1" si="85"/>
        <v>-0.37821159956151773</v>
      </c>
      <c r="J826">
        <f t="shared" ca="1" si="86"/>
        <v>-3.8167985162857077E-2</v>
      </c>
      <c r="K826">
        <f t="shared" ca="1" si="87"/>
        <v>16.192834960399765</v>
      </c>
      <c r="L826">
        <f t="shared" ca="1" si="88"/>
        <v>19.588453338619637</v>
      </c>
      <c r="M826">
        <f t="shared" ca="1" si="89"/>
        <v>0</v>
      </c>
      <c r="N826">
        <f t="shared" ca="1" si="90"/>
        <v>0</v>
      </c>
    </row>
    <row r="827" spans="6:14" x14ac:dyDescent="0.75">
      <c r="F827">
        <v>822</v>
      </c>
      <c r="G827">
        <f t="shared" ca="1" si="84"/>
        <v>0.80770744038485376</v>
      </c>
      <c r="H827">
        <f t="shared" ca="1" si="84"/>
        <v>0.157941961283453</v>
      </c>
      <c r="I827">
        <f t="shared" ca="1" si="85"/>
        <v>0.80770744038485376</v>
      </c>
      <c r="J827">
        <f t="shared" ca="1" si="86"/>
        <v>0.71024936807309247</v>
      </c>
      <c r="K827">
        <f t="shared" ca="1" si="87"/>
        <v>21.781230615383997</v>
      </c>
      <c r="L827">
        <f t="shared" ca="1" si="88"/>
        <v>23.618838038029697</v>
      </c>
      <c r="M827">
        <f t="shared" ca="1" si="89"/>
        <v>2.6814320132951153</v>
      </c>
      <c r="N827">
        <f t="shared" ca="1" si="90"/>
        <v>2.7000343267068487</v>
      </c>
    </row>
    <row r="828" spans="6:14" x14ac:dyDescent="0.75">
      <c r="F828">
        <v>823</v>
      </c>
      <c r="G828">
        <f t="shared" ca="1" si="84"/>
        <v>-1.6271185909557027</v>
      </c>
      <c r="H828">
        <f t="shared" ca="1" si="84"/>
        <v>-0.57800361426075964</v>
      </c>
      <c r="I828">
        <f t="shared" ca="1" si="85"/>
        <v>-1.6271185909557027</v>
      </c>
      <c r="J828">
        <f t="shared" ca="1" si="86"/>
        <v>-1.6026523982743963</v>
      </c>
      <c r="K828">
        <f t="shared" ca="1" si="87"/>
        <v>11.850168775728669</v>
      </c>
      <c r="L828">
        <f t="shared" ca="1" si="88"/>
        <v>13.247636696366863</v>
      </c>
      <c r="M828">
        <f t="shared" ca="1" si="89"/>
        <v>0</v>
      </c>
      <c r="N828">
        <f t="shared" ca="1" si="90"/>
        <v>0</v>
      </c>
    </row>
    <row r="829" spans="6:14" x14ac:dyDescent="0.75">
      <c r="F829">
        <v>824</v>
      </c>
      <c r="G829">
        <f t="shared" ca="1" si="84"/>
        <v>-0.25598625434388794</v>
      </c>
      <c r="H829">
        <f t="shared" ca="1" si="84"/>
        <v>0.41033469532721289</v>
      </c>
      <c r="I829">
        <f t="shared" ca="1" si="85"/>
        <v>-0.25598625434388794</v>
      </c>
      <c r="J829">
        <f t="shared" ca="1" si="86"/>
        <v>7.9421198776399804E-2</v>
      </c>
      <c r="K829">
        <f t="shared" ca="1" si="87"/>
        <v>16.695265801784725</v>
      </c>
      <c r="L829">
        <f t="shared" ca="1" si="88"/>
        <v>20.172848634396516</v>
      </c>
      <c r="M829">
        <f t="shared" ca="1" si="89"/>
        <v>0</v>
      </c>
      <c r="N829">
        <f t="shared" ca="1" si="90"/>
        <v>0</v>
      </c>
    </row>
    <row r="830" spans="6:14" x14ac:dyDescent="0.75">
      <c r="F830">
        <v>825</v>
      </c>
      <c r="G830">
        <f t="shared" ca="1" si="84"/>
        <v>0.7567243347184035</v>
      </c>
      <c r="H830">
        <f t="shared" ca="1" si="84"/>
        <v>2.496075235749184</v>
      </c>
      <c r="I830">
        <f t="shared" ca="1" si="85"/>
        <v>0.7567243347184035</v>
      </c>
      <c r="J830">
        <f t="shared" ca="1" si="86"/>
        <v>2.2185418329136177</v>
      </c>
      <c r="K830">
        <f t="shared" ca="1" si="87"/>
        <v>21.505373659934342</v>
      </c>
      <c r="L830">
        <f t="shared" ca="1" si="88"/>
        <v>34.436523534029192</v>
      </c>
      <c r="M830">
        <f t="shared" ca="1" si="89"/>
        <v>7.213421434072206</v>
      </c>
      <c r="N830">
        <f t="shared" ca="1" si="90"/>
        <v>7.9709485969817671</v>
      </c>
    </row>
    <row r="831" spans="6:14" x14ac:dyDescent="0.75">
      <c r="F831">
        <v>826</v>
      </c>
      <c r="G831">
        <f t="shared" ca="1" si="84"/>
        <v>2.37950098737377</v>
      </c>
      <c r="H831">
        <f t="shared" ca="1" si="84"/>
        <v>0.295574254664553</v>
      </c>
      <c r="I831">
        <f t="shared" ca="1" si="85"/>
        <v>2.37950098737377</v>
      </c>
      <c r="J831">
        <f t="shared" ca="1" si="86"/>
        <v>1.9801297334792474</v>
      </c>
      <c r="K831">
        <f t="shared" ca="1" si="87"/>
        <v>32.26545020803691</v>
      </c>
      <c r="L831">
        <f t="shared" ca="1" si="88"/>
        <v>32.443973419151206</v>
      </c>
      <c r="M831">
        <f t="shared" ca="1" si="89"/>
        <v>12.354588683933166</v>
      </c>
      <c r="N831">
        <f t="shared" ca="1" si="90"/>
        <v>12.354711813594058</v>
      </c>
    </row>
    <row r="832" spans="6:14" x14ac:dyDescent="0.75">
      <c r="F832">
        <v>827</v>
      </c>
      <c r="G832">
        <f t="shared" ca="1" si="84"/>
        <v>-9.0306912863239747E-2</v>
      </c>
      <c r="H832">
        <f t="shared" ca="1" si="84"/>
        <v>-1.135750114322772</v>
      </c>
      <c r="I832">
        <f t="shared" ca="1" si="85"/>
        <v>-9.0306912863239747E-2</v>
      </c>
      <c r="J832">
        <f t="shared" ca="1" si="86"/>
        <v>-0.81895827315023806</v>
      </c>
      <c r="K832">
        <f t="shared" ca="1" si="87"/>
        <v>17.401301976910364</v>
      </c>
      <c r="L832">
        <f t="shared" ca="1" si="88"/>
        <v>16.114874142325849</v>
      </c>
      <c r="M832">
        <f t="shared" ca="1" si="89"/>
        <v>0</v>
      </c>
      <c r="N832">
        <f t="shared" ca="1" si="90"/>
        <v>0</v>
      </c>
    </row>
    <row r="833" spans="6:14" x14ac:dyDescent="0.75">
      <c r="F833">
        <v>828</v>
      </c>
      <c r="G833">
        <f t="shared" ca="1" si="84"/>
        <v>-0.65634130325495665</v>
      </c>
      <c r="H833">
        <f t="shared" ca="1" si="84"/>
        <v>0.90111930814381069</v>
      </c>
      <c r="I833">
        <f t="shared" ca="1" si="85"/>
        <v>-0.65634130325495665</v>
      </c>
      <c r="J833">
        <f t="shared" ca="1" si="86"/>
        <v>0.1037784202955585</v>
      </c>
      <c r="K833">
        <f t="shared" ca="1" si="87"/>
        <v>15.105160374318816</v>
      </c>
      <c r="L833">
        <f t="shared" ca="1" si="88"/>
        <v>20.296062031386736</v>
      </c>
      <c r="M833">
        <f t="shared" ca="1" si="89"/>
        <v>0</v>
      </c>
      <c r="N833">
        <f t="shared" ca="1" si="90"/>
        <v>0</v>
      </c>
    </row>
    <row r="834" spans="6:14" x14ac:dyDescent="0.75">
      <c r="F834">
        <v>829</v>
      </c>
      <c r="G834">
        <f t="shared" ca="1" si="84"/>
        <v>0.23868847306027421</v>
      </c>
      <c r="H834">
        <f t="shared" ca="1" si="84"/>
        <v>-0.69863651965619944</v>
      </c>
      <c r="I834">
        <f t="shared" ca="1" si="85"/>
        <v>0.23868847306027421</v>
      </c>
      <c r="J834">
        <f t="shared" ca="1" si="86"/>
        <v>-0.28308826716429242</v>
      </c>
      <c r="K834">
        <f t="shared" ca="1" si="87"/>
        <v>18.893045212326598</v>
      </c>
      <c r="L834">
        <f t="shared" ca="1" si="88"/>
        <v>18.425032588096329</v>
      </c>
      <c r="M834">
        <f t="shared" ca="1" si="89"/>
        <v>0</v>
      </c>
      <c r="N834">
        <f t="shared" ca="1" si="90"/>
        <v>0</v>
      </c>
    </row>
    <row r="835" spans="6:14" x14ac:dyDescent="0.75">
      <c r="F835">
        <v>830</v>
      </c>
      <c r="G835">
        <f t="shared" ca="1" si="84"/>
        <v>-0.37327602747627397</v>
      </c>
      <c r="H835">
        <f t="shared" ca="1" si="84"/>
        <v>0.34143346197835189</v>
      </c>
      <c r="I835">
        <f t="shared" ca="1" si="85"/>
        <v>-0.37327602747627397</v>
      </c>
      <c r="J835">
        <f t="shared" ca="1" si="86"/>
        <v>-5.4120013189568855E-2</v>
      </c>
      <c r="K835">
        <f t="shared" ca="1" si="87"/>
        <v>16.212827518254908</v>
      </c>
      <c r="L835">
        <f t="shared" ca="1" si="88"/>
        <v>19.510490011930457</v>
      </c>
      <c r="M835">
        <f t="shared" ca="1" si="89"/>
        <v>0</v>
      </c>
      <c r="N835">
        <f t="shared" ca="1" si="90"/>
        <v>0</v>
      </c>
    </row>
    <row r="836" spans="6:14" x14ac:dyDescent="0.75">
      <c r="F836">
        <v>831</v>
      </c>
      <c r="G836">
        <f t="shared" ca="1" si="84"/>
        <v>0.7741833085869555</v>
      </c>
      <c r="H836">
        <f t="shared" ca="1" si="84"/>
        <v>-0.11667007864199708</v>
      </c>
      <c r="I836">
        <f t="shared" ca="1" si="85"/>
        <v>0.7741833085869555</v>
      </c>
      <c r="J836">
        <f t="shared" ca="1" si="86"/>
        <v>0.50346747805794845</v>
      </c>
      <c r="K836">
        <f t="shared" ca="1" si="87"/>
        <v>21.599444246769838</v>
      </c>
      <c r="L836">
        <f t="shared" ca="1" si="88"/>
        <v>22.428873919718512</v>
      </c>
      <c r="M836">
        <f t="shared" ca="1" si="89"/>
        <v>2.0102524235136841</v>
      </c>
      <c r="N836">
        <f t="shared" ca="1" si="90"/>
        <v>2.0141590832441736</v>
      </c>
    </row>
    <row r="837" spans="6:14" x14ac:dyDescent="0.75">
      <c r="F837">
        <v>832</v>
      </c>
      <c r="G837">
        <f t="shared" ca="1" si="84"/>
        <v>-0.75763857493284914</v>
      </c>
      <c r="H837">
        <f t="shared" ca="1" si="84"/>
        <v>-1.0222056652339251</v>
      </c>
      <c r="I837">
        <f t="shared" ca="1" si="85"/>
        <v>-0.75763857493284914</v>
      </c>
      <c r="J837">
        <f t="shared" ca="1" si="86"/>
        <v>-1.2443544259422143</v>
      </c>
      <c r="K837">
        <f t="shared" ca="1" si="87"/>
        <v>14.727435489998321</v>
      </c>
      <c r="L837">
        <f t="shared" ca="1" si="88"/>
        <v>14.489056887256005</v>
      </c>
      <c r="M837">
        <f t="shared" ca="1" si="89"/>
        <v>0</v>
      </c>
      <c r="N837">
        <f t="shared" ca="1" si="90"/>
        <v>0</v>
      </c>
    </row>
    <row r="838" spans="6:14" x14ac:dyDescent="0.75">
      <c r="F838">
        <v>833</v>
      </c>
      <c r="G838">
        <f t="shared" ca="1" si="84"/>
        <v>-0.26748630748738311</v>
      </c>
      <c r="H838">
        <f t="shared" ca="1" si="84"/>
        <v>-0.17453485573108118</v>
      </c>
      <c r="I838">
        <f t="shared" ca="1" si="85"/>
        <v>-0.26748630748738311</v>
      </c>
      <c r="J838">
        <f t="shared" ca="1" si="86"/>
        <v>-0.31605868645978163</v>
      </c>
      <c r="K838">
        <f t="shared" ca="1" si="87"/>
        <v>16.647335623757421</v>
      </c>
      <c r="L838">
        <f t="shared" ca="1" si="88"/>
        <v>18.273786512731508</v>
      </c>
      <c r="M838">
        <f t="shared" ca="1" si="89"/>
        <v>0</v>
      </c>
      <c r="N838">
        <f t="shared" ca="1" si="90"/>
        <v>0</v>
      </c>
    </row>
    <row r="839" spans="6:14" x14ac:dyDescent="0.75">
      <c r="F839">
        <v>834</v>
      </c>
      <c r="G839">
        <f t="shared" ref="G839:H870" ca="1" si="91">NORMSINV(RAND())</f>
        <v>0.68047914475764293</v>
      </c>
      <c r="H839">
        <f t="shared" ca="1" si="91"/>
        <v>0.16468692957456954</v>
      </c>
      <c r="I839">
        <f t="shared" ref="I839:I902" ca="1" si="92">G839</f>
        <v>0.68047914475764293</v>
      </c>
      <c r="J839">
        <f t="shared" ref="J839:J902" ca="1" si="93">G839*$C$8+SQRT(1-$C$8^2)*H839</f>
        <v>0.61928952352751199</v>
      </c>
      <c r="K839">
        <f t="shared" ref="K839:K902" ca="1" si="94">C$3*EXP(($C$5-0.5*C$4^2)*$C$6+C$4*SQRT($C$6)*I839)</f>
        <v>21.099335436500734</v>
      </c>
      <c r="L839">
        <f t="shared" ref="L839:L902" ca="1" si="95">D$3*EXP(($C$5-0.5*D$4^2)*$C$6+D$4*SQRT($C$6)*J839)</f>
        <v>23.087807271516137</v>
      </c>
      <c r="M839">
        <f t="shared" ref="M839:M902" ca="1" si="96">MAX(SQRT(K839*L839)-$C$7,0)</f>
        <v>2.071189141389727</v>
      </c>
      <c r="N839">
        <f t="shared" ref="N839:N902" ca="1" si="97">MAX((K839+L839)*0.5-$C$7,0)</f>
        <v>2.0935713540084357</v>
      </c>
    </row>
    <row r="840" spans="6:14" x14ac:dyDescent="0.75">
      <c r="F840">
        <v>835</v>
      </c>
      <c r="G840">
        <f t="shared" ca="1" si="91"/>
        <v>1.0960830438378364</v>
      </c>
      <c r="H840">
        <f t="shared" ca="1" si="91"/>
        <v>-1.3385436833247484</v>
      </c>
      <c r="I840">
        <f t="shared" ca="1" si="92"/>
        <v>1.0960830438378364</v>
      </c>
      <c r="J840">
        <f t="shared" ca="1" si="93"/>
        <v>-6.3301143390042558E-2</v>
      </c>
      <c r="K840">
        <f t="shared" ca="1" si="94"/>
        <v>23.409513951474995</v>
      </c>
      <c r="L840">
        <f t="shared" ca="1" si="95"/>
        <v>19.465759279135021</v>
      </c>
      <c r="M840">
        <f t="shared" ca="1" si="96"/>
        <v>1.3467553370755887</v>
      </c>
      <c r="N840">
        <f t="shared" ca="1" si="97"/>
        <v>1.43763661530501</v>
      </c>
    </row>
    <row r="841" spans="6:14" x14ac:dyDescent="0.75">
      <c r="F841">
        <v>836</v>
      </c>
      <c r="G841">
        <f t="shared" ca="1" si="91"/>
        <v>-0.69985349344928816</v>
      </c>
      <c r="H841">
        <f t="shared" ca="1" si="91"/>
        <v>2.0330853029306915</v>
      </c>
      <c r="I841">
        <f t="shared" ca="1" si="92"/>
        <v>-0.69985349344928816</v>
      </c>
      <c r="J841">
        <f t="shared" ca="1" si="93"/>
        <v>0.81986940634679073</v>
      </c>
      <c r="K841">
        <f t="shared" ca="1" si="94"/>
        <v>14.941736201023339</v>
      </c>
      <c r="L841">
        <f t="shared" ca="1" si="95"/>
        <v>24.275063381216849</v>
      </c>
      <c r="M841">
        <f t="shared" ca="1" si="96"/>
        <v>0</v>
      </c>
      <c r="N841">
        <f t="shared" ca="1" si="97"/>
        <v>0</v>
      </c>
    </row>
    <row r="842" spans="6:14" x14ac:dyDescent="0.75">
      <c r="F842">
        <v>837</v>
      </c>
      <c r="G842">
        <f t="shared" ca="1" si="91"/>
        <v>1.2296312297711565</v>
      </c>
      <c r="H842">
        <f t="shared" ca="1" si="91"/>
        <v>-0.91129154452003591</v>
      </c>
      <c r="I842">
        <f t="shared" ca="1" si="92"/>
        <v>1.2296312297711565</v>
      </c>
      <c r="J842">
        <f t="shared" ca="1" si="93"/>
        <v>0.31946072265937719</v>
      </c>
      <c r="K842">
        <f t="shared" ca="1" si="94"/>
        <v>24.204282137479559</v>
      </c>
      <c r="L842">
        <f t="shared" ca="1" si="95"/>
        <v>21.42047958201627</v>
      </c>
      <c r="M842">
        <f t="shared" ca="1" si="96"/>
        <v>2.7698777186712604</v>
      </c>
      <c r="N842">
        <f t="shared" ca="1" si="97"/>
        <v>2.8123808597479147</v>
      </c>
    </row>
    <row r="843" spans="6:14" x14ac:dyDescent="0.75">
      <c r="F843">
        <v>838</v>
      </c>
      <c r="G843">
        <f t="shared" ca="1" si="91"/>
        <v>0.64891779819250961</v>
      </c>
      <c r="H843">
        <f t="shared" ca="1" si="91"/>
        <v>-0.44695763101529906</v>
      </c>
      <c r="I843">
        <f t="shared" ca="1" si="92"/>
        <v>0.64891779819250961</v>
      </c>
      <c r="J843">
        <f t="shared" ca="1" si="93"/>
        <v>0.19105366408211943</v>
      </c>
      <c r="K843">
        <f t="shared" ca="1" si="94"/>
        <v>20.933509647969856</v>
      </c>
      <c r="L843">
        <f t="shared" ca="1" si="95"/>
        <v>20.743764377256923</v>
      </c>
      <c r="M843">
        <f t="shared" ca="1" si="96"/>
        <v>0.83842104686727836</v>
      </c>
      <c r="N843">
        <f t="shared" ca="1" si="97"/>
        <v>0.83863701261338974</v>
      </c>
    </row>
    <row r="844" spans="6:14" x14ac:dyDescent="0.75">
      <c r="F844">
        <v>839</v>
      </c>
      <c r="G844">
        <f t="shared" ca="1" si="91"/>
        <v>-0.62843130099554745</v>
      </c>
      <c r="H844">
        <f t="shared" ca="1" si="91"/>
        <v>-1.9080044066002699</v>
      </c>
      <c r="I844">
        <f t="shared" ca="1" si="92"/>
        <v>-0.62843130099554745</v>
      </c>
      <c r="J844">
        <f t="shared" ca="1" si="93"/>
        <v>-1.7333497658165808</v>
      </c>
      <c r="K844">
        <f t="shared" ca="1" si="94"/>
        <v>15.210925197318035</v>
      </c>
      <c r="L844">
        <f t="shared" ca="1" si="95"/>
        <v>12.821774162137851</v>
      </c>
      <c r="M844">
        <f t="shared" ca="1" si="96"/>
        <v>0</v>
      </c>
      <c r="N844">
        <f t="shared" ca="1" si="97"/>
        <v>0</v>
      </c>
    </row>
    <row r="845" spans="6:14" x14ac:dyDescent="0.75">
      <c r="F845">
        <v>840</v>
      </c>
      <c r="G845">
        <f t="shared" ca="1" si="91"/>
        <v>2.7482818431298409E-2</v>
      </c>
      <c r="H845">
        <f t="shared" ca="1" si="91"/>
        <v>-0.23172264201960519</v>
      </c>
      <c r="I845">
        <f t="shared" ca="1" si="92"/>
        <v>2.7482818431298409E-2</v>
      </c>
      <c r="J845">
        <f t="shared" ca="1" si="93"/>
        <v>-0.1326580071582065</v>
      </c>
      <c r="K845">
        <f t="shared" ca="1" si="94"/>
        <v>17.921345035308264</v>
      </c>
      <c r="L845">
        <f t="shared" ca="1" si="95"/>
        <v>19.13114761083515</v>
      </c>
      <c r="M845">
        <f t="shared" ca="1" si="96"/>
        <v>0</v>
      </c>
      <c r="N845">
        <f t="shared" ca="1" si="97"/>
        <v>0</v>
      </c>
    </row>
    <row r="846" spans="6:14" x14ac:dyDescent="0.75">
      <c r="F846">
        <v>841</v>
      </c>
      <c r="G846">
        <f t="shared" ca="1" si="91"/>
        <v>-1.4773808096750325</v>
      </c>
      <c r="H846">
        <f t="shared" ca="1" si="91"/>
        <v>-8.5271978865534365E-2</v>
      </c>
      <c r="I846">
        <f t="shared" ca="1" si="92"/>
        <v>-1.4773808096750325</v>
      </c>
      <c r="J846">
        <f t="shared" ca="1" si="93"/>
        <v>-1.1644377197264142</v>
      </c>
      <c r="K846">
        <f t="shared" ca="1" si="94"/>
        <v>12.302180898441538</v>
      </c>
      <c r="L846">
        <f t="shared" ca="1" si="95"/>
        <v>14.781447448224236</v>
      </c>
      <c r="M846">
        <f t="shared" ca="1" si="96"/>
        <v>0</v>
      </c>
      <c r="N846">
        <f t="shared" ca="1" si="97"/>
        <v>0</v>
      </c>
    </row>
    <row r="847" spans="6:14" x14ac:dyDescent="0.75">
      <c r="F847">
        <v>842</v>
      </c>
      <c r="G847">
        <f t="shared" ca="1" si="91"/>
        <v>1.3913619797887871</v>
      </c>
      <c r="H847">
        <f t="shared" ca="1" si="91"/>
        <v>0.99955458591967661</v>
      </c>
      <c r="I847">
        <f t="shared" ca="1" si="92"/>
        <v>1.3913619797887871</v>
      </c>
      <c r="J847">
        <f t="shared" ca="1" si="93"/>
        <v>1.7046646988859924</v>
      </c>
      <c r="K847">
        <f t="shared" ca="1" si="94"/>
        <v>25.202980286033139</v>
      </c>
      <c r="L847">
        <f t="shared" ca="1" si="95"/>
        <v>30.284876069266065</v>
      </c>
      <c r="M847">
        <f t="shared" ca="1" si="96"/>
        <v>7.6273258665884889</v>
      </c>
      <c r="N847">
        <f t="shared" ca="1" si="97"/>
        <v>7.7439281776496003</v>
      </c>
    </row>
    <row r="848" spans="6:14" x14ac:dyDescent="0.75">
      <c r="F848">
        <v>843</v>
      </c>
      <c r="G848">
        <f t="shared" ca="1" si="91"/>
        <v>-0.11406854261832906</v>
      </c>
      <c r="H848">
        <f t="shared" ca="1" si="91"/>
        <v>-1.5104743551572832</v>
      </c>
      <c r="I848">
        <f t="shared" ca="1" si="92"/>
        <v>-0.11406854261832906</v>
      </c>
      <c r="J848">
        <f t="shared" ca="1" si="93"/>
        <v>-1.0846362833354528</v>
      </c>
      <c r="K848">
        <f t="shared" ca="1" si="94"/>
        <v>17.298237578543414</v>
      </c>
      <c r="L848">
        <f t="shared" ca="1" si="95"/>
        <v>15.079303925381469</v>
      </c>
      <c r="M848">
        <f t="shared" ca="1" si="96"/>
        <v>0</v>
      </c>
      <c r="N848">
        <f t="shared" ca="1" si="97"/>
        <v>0</v>
      </c>
    </row>
    <row r="849" spans="6:14" x14ac:dyDescent="0.75">
      <c r="F849">
        <v>844</v>
      </c>
      <c r="G849">
        <f t="shared" ca="1" si="91"/>
        <v>-8.4064578625583183E-2</v>
      </c>
      <c r="H849">
        <f t="shared" ca="1" si="91"/>
        <v>-0.42030064178085125</v>
      </c>
      <c r="I849">
        <f t="shared" ca="1" si="92"/>
        <v>-8.4064578625583183E-2</v>
      </c>
      <c r="J849">
        <f t="shared" ca="1" si="93"/>
        <v>-0.34105117747743141</v>
      </c>
      <c r="K849">
        <f t="shared" ca="1" si="94"/>
        <v>17.428479363463552</v>
      </c>
      <c r="L849">
        <f t="shared" ca="1" si="95"/>
        <v>18.159965605201155</v>
      </c>
      <c r="M849">
        <f t="shared" ca="1" si="96"/>
        <v>0</v>
      </c>
      <c r="N849">
        <f t="shared" ca="1" si="97"/>
        <v>0</v>
      </c>
    </row>
    <row r="850" spans="6:14" x14ac:dyDescent="0.75">
      <c r="F850">
        <v>845</v>
      </c>
      <c r="G850">
        <f t="shared" ca="1" si="91"/>
        <v>-5.1972266806625429E-2</v>
      </c>
      <c r="H850">
        <f t="shared" ca="1" si="91"/>
        <v>-0.7158039420011244</v>
      </c>
      <c r="I850">
        <f t="shared" ca="1" si="92"/>
        <v>-5.1972266806625429E-2</v>
      </c>
      <c r="J850">
        <f t="shared" ca="1" si="93"/>
        <v>-0.51243900460863834</v>
      </c>
      <c r="K850">
        <f t="shared" ca="1" si="94"/>
        <v>17.568871848871225</v>
      </c>
      <c r="L850">
        <f t="shared" ca="1" si="95"/>
        <v>17.398300384569268</v>
      </c>
      <c r="M850">
        <f t="shared" ca="1" si="96"/>
        <v>0</v>
      </c>
      <c r="N850">
        <f t="shared" ca="1" si="97"/>
        <v>0</v>
      </c>
    </row>
    <row r="851" spans="6:14" x14ac:dyDescent="0.75">
      <c r="F851">
        <v>846</v>
      </c>
      <c r="G851">
        <f t="shared" ca="1" si="91"/>
        <v>-0.30706598663851481</v>
      </c>
      <c r="H851">
        <f t="shared" ca="1" si="91"/>
        <v>1.4962215148130709</v>
      </c>
      <c r="I851">
        <f t="shared" ca="1" si="92"/>
        <v>-0.30706598663851481</v>
      </c>
      <c r="J851">
        <f t="shared" ca="1" si="93"/>
        <v>0.75935801863604646</v>
      </c>
      <c r="K851">
        <f t="shared" ca="1" si="94"/>
        <v>16.483423857344061</v>
      </c>
      <c r="L851">
        <f t="shared" ca="1" si="95"/>
        <v>23.910597679589603</v>
      </c>
      <c r="M851">
        <f t="shared" ca="1" si="96"/>
        <v>0</v>
      </c>
      <c r="N851">
        <f t="shared" ca="1" si="97"/>
        <v>0.19701076846683208</v>
      </c>
    </row>
    <row r="852" spans="6:14" x14ac:dyDescent="0.75">
      <c r="F852">
        <v>847</v>
      </c>
      <c r="G852">
        <f t="shared" ca="1" si="91"/>
        <v>0.38715824227578427</v>
      </c>
      <c r="H852">
        <f t="shared" ca="1" si="91"/>
        <v>0.25607311955784251</v>
      </c>
      <c r="I852">
        <f t="shared" ca="1" si="92"/>
        <v>0.38715824227578427</v>
      </c>
      <c r="J852">
        <f t="shared" ca="1" si="93"/>
        <v>0.45974512965647862</v>
      </c>
      <c r="K852">
        <f t="shared" ca="1" si="94"/>
        <v>19.607483772063773</v>
      </c>
      <c r="L852">
        <f t="shared" ca="1" si="95"/>
        <v>22.18504816673191</v>
      </c>
      <c r="M852">
        <f t="shared" ca="1" si="96"/>
        <v>0.85648512841147806</v>
      </c>
      <c r="N852">
        <f t="shared" ca="1" si="97"/>
        <v>0.89626596939784164</v>
      </c>
    </row>
    <row r="853" spans="6:14" x14ac:dyDescent="0.75">
      <c r="F853">
        <v>848</v>
      </c>
      <c r="G853">
        <f t="shared" ca="1" si="91"/>
        <v>0.94988697273207423</v>
      </c>
      <c r="H853">
        <f t="shared" ca="1" si="91"/>
        <v>-7.6029809984061086E-2</v>
      </c>
      <c r="I853">
        <f t="shared" ca="1" si="92"/>
        <v>0.94988697273207423</v>
      </c>
      <c r="J853">
        <f t="shared" ca="1" si="93"/>
        <v>0.66212623718772534</v>
      </c>
      <c r="K853">
        <f t="shared" ca="1" si="94"/>
        <v>22.569366023240772</v>
      </c>
      <c r="L853">
        <f t="shared" ca="1" si="95"/>
        <v>23.336387387477838</v>
      </c>
      <c r="M853">
        <f t="shared" ca="1" si="96"/>
        <v>2.9496725163590689</v>
      </c>
      <c r="N853">
        <f t="shared" ca="1" si="97"/>
        <v>2.952876705359305</v>
      </c>
    </row>
    <row r="854" spans="6:14" x14ac:dyDescent="0.75">
      <c r="F854">
        <v>849</v>
      </c>
      <c r="G854">
        <f t="shared" ca="1" si="91"/>
        <v>0.38235955888451933</v>
      </c>
      <c r="H854">
        <f t="shared" ca="1" si="91"/>
        <v>0.23894347307861458</v>
      </c>
      <c r="I854">
        <f t="shared" ca="1" si="92"/>
        <v>0.38235955888451933</v>
      </c>
      <c r="J854">
        <f t="shared" ca="1" si="93"/>
        <v>0.44481592095540734</v>
      </c>
      <c r="K854">
        <f t="shared" ca="1" si="94"/>
        <v>19.583975349387543</v>
      </c>
      <c r="L854">
        <f t="shared" ca="1" si="95"/>
        <v>22.102401190884553</v>
      </c>
      <c r="M854">
        <f t="shared" ca="1" si="96"/>
        <v>0.80511668038795037</v>
      </c>
      <c r="N854">
        <f t="shared" ca="1" si="97"/>
        <v>0.84318827013604647</v>
      </c>
    </row>
    <row r="855" spans="6:14" x14ac:dyDescent="0.75">
      <c r="F855">
        <v>850</v>
      </c>
      <c r="G855">
        <f t="shared" ca="1" si="91"/>
        <v>0.27075562918551294</v>
      </c>
      <c r="H855">
        <f t="shared" ca="1" si="91"/>
        <v>0.99996300956198403</v>
      </c>
      <c r="I855">
        <f t="shared" ca="1" si="92"/>
        <v>0.27075562918551294</v>
      </c>
      <c r="J855">
        <f t="shared" ca="1" si="93"/>
        <v>0.86448008278031296</v>
      </c>
      <c r="K855">
        <f t="shared" ca="1" si="94"/>
        <v>19.045115513264633</v>
      </c>
      <c r="L855">
        <f t="shared" ca="1" si="95"/>
        <v>24.5473104495459</v>
      </c>
      <c r="M855">
        <f t="shared" ca="1" si="96"/>
        <v>1.621895454644342</v>
      </c>
      <c r="N855">
        <f t="shared" ca="1" si="97"/>
        <v>1.7962129814052687</v>
      </c>
    </row>
    <row r="856" spans="6:14" x14ac:dyDescent="0.75">
      <c r="F856">
        <v>851</v>
      </c>
      <c r="G856">
        <f t="shared" ca="1" si="91"/>
        <v>-0.72345716212494815</v>
      </c>
      <c r="H856">
        <f t="shared" ca="1" si="91"/>
        <v>-0.20241590671465254</v>
      </c>
      <c r="I856">
        <f t="shared" ca="1" si="92"/>
        <v>-0.72345716212494815</v>
      </c>
      <c r="J856">
        <f t="shared" ca="1" si="93"/>
        <v>-0.67647840923636615</v>
      </c>
      <c r="K856">
        <f t="shared" ca="1" si="94"/>
        <v>14.853825884182628</v>
      </c>
      <c r="L856">
        <f t="shared" ca="1" si="95"/>
        <v>16.699231013135932</v>
      </c>
      <c r="M856">
        <f t="shared" ca="1" si="96"/>
        <v>0</v>
      </c>
      <c r="N856">
        <f t="shared" ca="1" si="97"/>
        <v>0</v>
      </c>
    </row>
    <row r="857" spans="6:14" x14ac:dyDescent="0.75">
      <c r="F857">
        <v>852</v>
      </c>
      <c r="G857">
        <f t="shared" ca="1" si="91"/>
        <v>-0.50774624681567992</v>
      </c>
      <c r="H857">
        <f t="shared" ca="1" si="91"/>
        <v>0.83844387021766076</v>
      </c>
      <c r="I857">
        <f t="shared" ca="1" si="92"/>
        <v>-0.50774624681567992</v>
      </c>
      <c r="J857">
        <f t="shared" ca="1" si="93"/>
        <v>0.17376880710885145</v>
      </c>
      <c r="K857">
        <f t="shared" ca="1" si="94"/>
        <v>15.676851478464961</v>
      </c>
      <c r="L857">
        <f t="shared" ca="1" si="95"/>
        <v>20.654319521544959</v>
      </c>
      <c r="M857">
        <f t="shared" ca="1" si="96"/>
        <v>0</v>
      </c>
      <c r="N857">
        <f t="shared" ca="1" si="97"/>
        <v>0</v>
      </c>
    </row>
    <row r="858" spans="6:14" x14ac:dyDescent="0.75">
      <c r="F858">
        <v>853</v>
      </c>
      <c r="G858">
        <f t="shared" ca="1" si="91"/>
        <v>0.58345075597057006</v>
      </c>
      <c r="H858">
        <f t="shared" ca="1" si="91"/>
        <v>-0.95127450895492893</v>
      </c>
      <c r="I858">
        <f t="shared" ca="1" si="92"/>
        <v>0.58345075597057006</v>
      </c>
      <c r="J858">
        <f t="shared" ca="1" si="93"/>
        <v>-0.19162087783452952</v>
      </c>
      <c r="K858">
        <f t="shared" ca="1" si="94"/>
        <v>20.593684412841675</v>
      </c>
      <c r="L858">
        <f t="shared" ca="1" si="95"/>
        <v>18.85120908157019</v>
      </c>
      <c r="M858">
        <f t="shared" ca="1" si="96"/>
        <v>0</v>
      </c>
      <c r="N858">
        <f t="shared" ca="1" si="97"/>
        <v>0</v>
      </c>
    </row>
    <row r="859" spans="6:14" x14ac:dyDescent="0.75">
      <c r="F859">
        <v>854</v>
      </c>
      <c r="G859">
        <f t="shared" ca="1" si="91"/>
        <v>-0.56984637925974513</v>
      </c>
      <c r="H859">
        <f t="shared" ca="1" si="91"/>
        <v>0.40378252452606855</v>
      </c>
      <c r="I859">
        <f t="shared" ca="1" si="92"/>
        <v>-0.56984637925974513</v>
      </c>
      <c r="J859">
        <f t="shared" ca="1" si="93"/>
        <v>-0.16030774853235485</v>
      </c>
      <c r="K859">
        <f t="shared" ca="1" si="94"/>
        <v>15.435347370545673</v>
      </c>
      <c r="L859">
        <f t="shared" ca="1" si="95"/>
        <v>18.99936079858708</v>
      </c>
      <c r="M859">
        <f t="shared" ca="1" si="96"/>
        <v>0</v>
      </c>
      <c r="N859">
        <f t="shared" ca="1" si="97"/>
        <v>0</v>
      </c>
    </row>
    <row r="860" spans="6:14" x14ac:dyDescent="0.75">
      <c r="F860">
        <v>855</v>
      </c>
      <c r="G860">
        <f t="shared" ca="1" si="91"/>
        <v>0.42489467114867069</v>
      </c>
      <c r="H860">
        <f t="shared" ca="1" si="91"/>
        <v>4.2029477624341671E-2</v>
      </c>
      <c r="I860">
        <f t="shared" ca="1" si="92"/>
        <v>0.42489467114867069</v>
      </c>
      <c r="J860">
        <f t="shared" ca="1" si="93"/>
        <v>0.34647088974349349</v>
      </c>
      <c r="K860">
        <f t="shared" ca="1" si="94"/>
        <v>19.793338183013887</v>
      </c>
      <c r="L860">
        <f t="shared" ca="1" si="95"/>
        <v>21.565611719095035</v>
      </c>
      <c r="M860">
        <f t="shared" ca="1" si="96"/>
        <v>0.66048029160056743</v>
      </c>
      <c r="N860">
        <f t="shared" ca="1" si="97"/>
        <v>0.6794749510544591</v>
      </c>
    </row>
    <row r="861" spans="6:14" x14ac:dyDescent="0.75">
      <c r="F861">
        <v>856</v>
      </c>
      <c r="G861">
        <f t="shared" ca="1" si="91"/>
        <v>0.4020605599769918</v>
      </c>
      <c r="H861">
        <f t="shared" ca="1" si="91"/>
        <v>1.6203867939230454</v>
      </c>
      <c r="I861">
        <f t="shared" ca="1" si="92"/>
        <v>0.4020605599769918</v>
      </c>
      <c r="J861">
        <f t="shared" ca="1" si="93"/>
        <v>1.3733305410961554</v>
      </c>
      <c r="K861">
        <f t="shared" ca="1" si="94"/>
        <v>19.680669254700248</v>
      </c>
      <c r="L861">
        <f t="shared" ca="1" si="95"/>
        <v>27.877360528398185</v>
      </c>
      <c r="M861">
        <f t="shared" ca="1" si="96"/>
        <v>3.4231746834932792</v>
      </c>
      <c r="N861">
        <f t="shared" ca="1" si="97"/>
        <v>3.7790148915492168</v>
      </c>
    </row>
    <row r="862" spans="6:14" x14ac:dyDescent="0.75">
      <c r="F862">
        <v>857</v>
      </c>
      <c r="G862">
        <f t="shared" ca="1" si="91"/>
        <v>0.14569928908805421</v>
      </c>
      <c r="H862">
        <f t="shared" ca="1" si="91"/>
        <v>0.62827330080744226</v>
      </c>
      <c r="I862">
        <f t="shared" ca="1" si="92"/>
        <v>0.14569928908805421</v>
      </c>
      <c r="J862">
        <f t="shared" ca="1" si="93"/>
        <v>0.52483819414558275</v>
      </c>
      <c r="K862">
        <f t="shared" ca="1" si="94"/>
        <v>18.458898914025109</v>
      </c>
      <c r="L862">
        <f t="shared" ca="1" si="95"/>
        <v>22.54902487207962</v>
      </c>
      <c r="M862">
        <f t="shared" ca="1" si="96"/>
        <v>0.40171979818259373</v>
      </c>
      <c r="N862">
        <f t="shared" ca="1" si="97"/>
        <v>0.50396189305236305</v>
      </c>
    </row>
    <row r="863" spans="6:14" x14ac:dyDescent="0.75">
      <c r="F863">
        <v>858</v>
      </c>
      <c r="G863">
        <f t="shared" ca="1" si="91"/>
        <v>-0.92707103049630146</v>
      </c>
      <c r="H863">
        <f t="shared" ca="1" si="91"/>
        <v>-0.3335204095835157</v>
      </c>
      <c r="I863">
        <f t="shared" ca="1" si="92"/>
        <v>-0.92707103049630146</v>
      </c>
      <c r="J863">
        <f t="shared" ca="1" si="93"/>
        <v>-0.9159062881028226</v>
      </c>
      <c r="K863">
        <f t="shared" ca="1" si="94"/>
        <v>14.116636567736901</v>
      </c>
      <c r="L863">
        <f t="shared" ca="1" si="95"/>
        <v>15.728993067755896</v>
      </c>
      <c r="M863">
        <f t="shared" ca="1" si="96"/>
        <v>0</v>
      </c>
      <c r="N863">
        <f t="shared" ca="1" si="97"/>
        <v>0</v>
      </c>
    </row>
    <row r="864" spans="6:14" x14ac:dyDescent="0.75">
      <c r="F864">
        <v>859</v>
      </c>
      <c r="G864">
        <f t="shared" ca="1" si="91"/>
        <v>1.2150455238790703</v>
      </c>
      <c r="H864">
        <f t="shared" ca="1" si="91"/>
        <v>-1.0757202599519533</v>
      </c>
      <c r="I864">
        <f t="shared" ca="1" si="92"/>
        <v>1.2150455238790703</v>
      </c>
      <c r="J864">
        <f t="shared" ca="1" si="93"/>
        <v>0.19976207088264697</v>
      </c>
      <c r="K864">
        <f t="shared" ca="1" si="94"/>
        <v>24.116183722146072</v>
      </c>
      <c r="L864">
        <f t="shared" ca="1" si="95"/>
        <v>20.788974857999747</v>
      </c>
      <c r="M864">
        <f t="shared" ca="1" si="96"/>
        <v>2.3908628031748123</v>
      </c>
      <c r="N864">
        <f t="shared" ca="1" si="97"/>
        <v>2.4525792900729115</v>
      </c>
    </row>
    <row r="865" spans="6:14" x14ac:dyDescent="0.75">
      <c r="F865">
        <v>860</v>
      </c>
      <c r="G865">
        <f t="shared" ca="1" si="91"/>
        <v>1.9460648803652367</v>
      </c>
      <c r="H865">
        <f t="shared" ca="1" si="91"/>
        <v>-0.47055585506835546</v>
      </c>
      <c r="I865">
        <f t="shared" ca="1" si="92"/>
        <v>1.9460648803652367</v>
      </c>
      <c r="J865">
        <f t="shared" ca="1" si="93"/>
        <v>1.1483052176548725</v>
      </c>
      <c r="K865">
        <f t="shared" ca="1" si="94"/>
        <v>28.951962122876871</v>
      </c>
      <c r="L865">
        <f t="shared" ca="1" si="95"/>
        <v>26.352379590972362</v>
      </c>
      <c r="M865">
        <f t="shared" ca="1" si="96"/>
        <v>7.621605597168049</v>
      </c>
      <c r="N865">
        <f t="shared" ca="1" si="97"/>
        <v>7.6521708569246165</v>
      </c>
    </row>
    <row r="866" spans="6:14" x14ac:dyDescent="0.75">
      <c r="F866">
        <v>861</v>
      </c>
      <c r="G866">
        <f t="shared" ca="1" si="91"/>
        <v>0.20179099658344979</v>
      </c>
      <c r="H866">
        <f t="shared" ca="1" si="91"/>
        <v>-0.37568692352640465</v>
      </c>
      <c r="I866">
        <f t="shared" ca="1" si="92"/>
        <v>0.20179099658344979</v>
      </c>
      <c r="J866">
        <f t="shared" ca="1" si="93"/>
        <v>-9.7150295179864593E-2</v>
      </c>
      <c r="K866">
        <f t="shared" ca="1" si="94"/>
        <v>18.719570118717037</v>
      </c>
      <c r="L866">
        <f t="shared" ca="1" si="95"/>
        <v>19.301729431750683</v>
      </c>
      <c r="M866">
        <f t="shared" ca="1" si="96"/>
        <v>0</v>
      </c>
      <c r="N866">
        <f t="shared" ca="1" si="97"/>
        <v>0</v>
      </c>
    </row>
    <row r="867" spans="6:14" x14ac:dyDescent="0.75">
      <c r="F867">
        <v>862</v>
      </c>
      <c r="G867">
        <f t="shared" ca="1" si="91"/>
        <v>-0.34658362639747553</v>
      </c>
      <c r="H867">
        <f t="shared" ca="1" si="91"/>
        <v>0.54695252153903351</v>
      </c>
      <c r="I867">
        <f t="shared" ca="1" si="92"/>
        <v>-0.34658362639747553</v>
      </c>
      <c r="J867">
        <f t="shared" ca="1" si="93"/>
        <v>0.10183736793988879</v>
      </c>
      <c r="K867">
        <f t="shared" ca="1" si="94"/>
        <v>16.321379127005333</v>
      </c>
      <c r="L867">
        <f t="shared" ca="1" si="95"/>
        <v>20.286215490907075</v>
      </c>
      <c r="M867">
        <f t="shared" ca="1" si="96"/>
        <v>0</v>
      </c>
      <c r="N867">
        <f t="shared" ca="1" si="97"/>
        <v>0</v>
      </c>
    </row>
    <row r="868" spans="6:14" x14ac:dyDescent="0.75">
      <c r="F868">
        <v>863</v>
      </c>
      <c r="G868">
        <f t="shared" ca="1" si="91"/>
        <v>-0.1607654653230893</v>
      </c>
      <c r="H868">
        <f t="shared" ca="1" si="91"/>
        <v>0.18104124313450551</v>
      </c>
      <c r="I868">
        <f t="shared" ca="1" si="92"/>
        <v>-0.1607654653230893</v>
      </c>
      <c r="J868">
        <f t="shared" ca="1" si="93"/>
        <v>-8.2657239734665322E-4</v>
      </c>
      <c r="K868">
        <f t="shared" ca="1" si="94"/>
        <v>17.097468157222973</v>
      </c>
      <c r="L868">
        <f t="shared" ca="1" si="95"/>
        <v>19.77217468658824</v>
      </c>
      <c r="M868">
        <f t="shared" ca="1" si="96"/>
        <v>0</v>
      </c>
      <c r="N868">
        <f t="shared" ca="1" si="97"/>
        <v>0</v>
      </c>
    </row>
    <row r="869" spans="6:14" x14ac:dyDescent="0.75">
      <c r="F869">
        <v>864</v>
      </c>
      <c r="G869">
        <f t="shared" ca="1" si="91"/>
        <v>-1.2981619009279743</v>
      </c>
      <c r="H869">
        <f t="shared" ca="1" si="91"/>
        <v>0.56626503714453835</v>
      </c>
      <c r="I869">
        <f t="shared" ca="1" si="92"/>
        <v>-1.2981619009279743</v>
      </c>
      <c r="J869">
        <f t="shared" ca="1" si="93"/>
        <v>-0.59907230958718038</v>
      </c>
      <c r="K869">
        <f t="shared" ca="1" si="94"/>
        <v>12.865911349388629</v>
      </c>
      <c r="L869">
        <f t="shared" ca="1" si="95"/>
        <v>17.025533642033803</v>
      </c>
      <c r="M869">
        <f t="shared" ca="1" si="96"/>
        <v>0</v>
      </c>
      <c r="N869">
        <f t="shared" ca="1" si="97"/>
        <v>0</v>
      </c>
    </row>
    <row r="870" spans="6:14" x14ac:dyDescent="0.75">
      <c r="F870">
        <v>865</v>
      </c>
      <c r="G870">
        <f t="shared" ca="1" si="91"/>
        <v>3.0815479832589671E-2</v>
      </c>
      <c r="H870">
        <f t="shared" ca="1" si="91"/>
        <v>0.66664488236132624</v>
      </c>
      <c r="I870">
        <f t="shared" ca="1" si="92"/>
        <v>3.0815479832589671E-2</v>
      </c>
      <c r="J870">
        <f t="shared" ca="1" si="93"/>
        <v>0.46405575275493693</v>
      </c>
      <c r="K870">
        <f t="shared" ca="1" si="94"/>
        <v>17.936282700931468</v>
      </c>
      <c r="L870">
        <f t="shared" ca="1" si="95"/>
        <v>22.208968898841427</v>
      </c>
      <c r="M870">
        <f t="shared" ca="1" si="96"/>
        <v>0</v>
      </c>
      <c r="N870">
        <f t="shared" ca="1" si="97"/>
        <v>7.2625799886445463E-2</v>
      </c>
    </row>
    <row r="871" spans="6:14" x14ac:dyDescent="0.75">
      <c r="F871">
        <v>866</v>
      </c>
      <c r="G871">
        <f t="shared" ref="G871:H902" ca="1" si="98">NORMSINV(RAND())</f>
        <v>0.27300541039561238</v>
      </c>
      <c r="H871">
        <f t="shared" ca="1" si="98"/>
        <v>0.80634534025862004</v>
      </c>
      <c r="I871">
        <f t="shared" ca="1" si="92"/>
        <v>0.27300541039561238</v>
      </c>
      <c r="J871">
        <f t="shared" ca="1" si="93"/>
        <v>0.73810136808672622</v>
      </c>
      <c r="K871">
        <f t="shared" ca="1" si="94"/>
        <v>19.055830361996815</v>
      </c>
      <c r="L871">
        <f t="shared" ca="1" si="95"/>
        <v>23.783869899018804</v>
      </c>
      <c r="M871">
        <f t="shared" ca="1" si="96"/>
        <v>1.2889969267578358</v>
      </c>
      <c r="N871">
        <f t="shared" ca="1" si="97"/>
        <v>1.4198501305078111</v>
      </c>
    </row>
    <row r="872" spans="6:14" x14ac:dyDescent="0.75">
      <c r="F872">
        <v>867</v>
      </c>
      <c r="G872">
        <f t="shared" ca="1" si="98"/>
        <v>1.9033441628068712</v>
      </c>
      <c r="H872">
        <f t="shared" ca="1" si="98"/>
        <v>1.3790350689782056</v>
      </c>
      <c r="I872">
        <f t="shared" ca="1" si="92"/>
        <v>1.9033441628068712</v>
      </c>
      <c r="J872">
        <f t="shared" ca="1" si="93"/>
        <v>2.3396540825434373</v>
      </c>
      <c r="K872">
        <f t="shared" ca="1" si="94"/>
        <v>28.64439533155322</v>
      </c>
      <c r="L872">
        <f t="shared" ca="1" si="95"/>
        <v>35.495140301310585</v>
      </c>
      <c r="M872">
        <f t="shared" ca="1" si="96"/>
        <v>11.886311030592537</v>
      </c>
      <c r="N872">
        <f t="shared" ca="1" si="97"/>
        <v>12.069767816431906</v>
      </c>
    </row>
    <row r="873" spans="6:14" x14ac:dyDescent="0.75">
      <c r="F873">
        <v>868</v>
      </c>
      <c r="G873">
        <f t="shared" ca="1" si="98"/>
        <v>0.68636739973190575</v>
      </c>
      <c r="H873">
        <f t="shared" ca="1" si="98"/>
        <v>1.2567950131690793</v>
      </c>
      <c r="I873">
        <f t="shared" ca="1" si="92"/>
        <v>0.68636739973190575</v>
      </c>
      <c r="J873">
        <f t="shared" ca="1" si="93"/>
        <v>1.3460673132568122</v>
      </c>
      <c r="K873">
        <f t="shared" ca="1" si="94"/>
        <v>21.130417875262822</v>
      </c>
      <c r="L873">
        <f t="shared" ca="1" si="95"/>
        <v>27.687999876377258</v>
      </c>
      <c r="M873">
        <f t="shared" ca="1" si="96"/>
        <v>4.1879930444441129</v>
      </c>
      <c r="N873">
        <f t="shared" ca="1" si="97"/>
        <v>4.4092088758200418</v>
      </c>
    </row>
    <row r="874" spans="6:14" x14ac:dyDescent="0.75">
      <c r="F874">
        <v>869</v>
      </c>
      <c r="G874">
        <f t="shared" ca="1" si="98"/>
        <v>-1.1610752521536496</v>
      </c>
      <c r="H874">
        <f t="shared" ca="1" si="98"/>
        <v>-1.1381714153836417</v>
      </c>
      <c r="I874">
        <f t="shared" ca="1" si="92"/>
        <v>-1.1610752521536496</v>
      </c>
      <c r="J874">
        <f t="shared" ca="1" si="93"/>
        <v>-1.6236360677321149</v>
      </c>
      <c r="K874">
        <f t="shared" ca="1" si="94"/>
        <v>13.31449038600822</v>
      </c>
      <c r="L874">
        <f t="shared" ca="1" si="95"/>
        <v>13.178322655806323</v>
      </c>
      <c r="M874">
        <f t="shared" ca="1" si="96"/>
        <v>0</v>
      </c>
      <c r="N874">
        <f t="shared" ca="1" si="97"/>
        <v>0</v>
      </c>
    </row>
    <row r="875" spans="6:14" x14ac:dyDescent="0.75">
      <c r="F875">
        <v>870</v>
      </c>
      <c r="G875">
        <f t="shared" ca="1" si="98"/>
        <v>0.17852433632125553</v>
      </c>
      <c r="H875">
        <f t="shared" ca="1" si="98"/>
        <v>1.0454035754427142</v>
      </c>
      <c r="I875">
        <f t="shared" ca="1" si="92"/>
        <v>0.17852433632125553</v>
      </c>
      <c r="J875">
        <f t="shared" ca="1" si="93"/>
        <v>0.8253627223207346</v>
      </c>
      <c r="K875">
        <f t="shared" ca="1" si="94"/>
        <v>18.611000711212903</v>
      </c>
      <c r="L875">
        <f t="shared" ca="1" si="95"/>
        <v>24.308423931839435</v>
      </c>
      <c r="M875">
        <f t="shared" ca="1" si="96"/>
        <v>1.2697930193015381</v>
      </c>
      <c r="N875">
        <f t="shared" ca="1" si="97"/>
        <v>1.4597123215261689</v>
      </c>
    </row>
    <row r="876" spans="6:14" x14ac:dyDescent="0.75">
      <c r="F876">
        <v>871</v>
      </c>
      <c r="G876">
        <f t="shared" ca="1" si="98"/>
        <v>-1.2320628926467629</v>
      </c>
      <c r="H876">
        <f t="shared" ca="1" si="98"/>
        <v>0.72515422043517852</v>
      </c>
      <c r="I876">
        <f t="shared" ca="1" si="92"/>
        <v>-1.2320628926467629</v>
      </c>
      <c r="J876">
        <f t="shared" ca="1" si="93"/>
        <v>-0.44440273712497358</v>
      </c>
      <c r="K876">
        <f t="shared" ca="1" si="94"/>
        <v>13.080283691343348</v>
      </c>
      <c r="L876">
        <f t="shared" ca="1" si="95"/>
        <v>17.696760306087995</v>
      </c>
      <c r="M876">
        <f t="shared" ca="1" si="96"/>
        <v>0</v>
      </c>
      <c r="N876">
        <f t="shared" ca="1" si="97"/>
        <v>0</v>
      </c>
    </row>
    <row r="877" spans="6:14" x14ac:dyDescent="0.75">
      <c r="F877">
        <v>872</v>
      </c>
      <c r="G877">
        <f t="shared" ca="1" si="98"/>
        <v>0.88471884448734273</v>
      </c>
      <c r="H877">
        <f t="shared" ca="1" si="98"/>
        <v>-0.81892558614886002</v>
      </c>
      <c r="I877">
        <f t="shared" ca="1" si="92"/>
        <v>0.88471884448734273</v>
      </c>
      <c r="J877">
        <f t="shared" ca="1" si="93"/>
        <v>0.12187077256108592</v>
      </c>
      <c r="K877">
        <f t="shared" ca="1" si="94"/>
        <v>22.204644284831961</v>
      </c>
      <c r="L877">
        <f t="shared" ca="1" si="95"/>
        <v>20.388070832448374</v>
      </c>
      <c r="M877">
        <f t="shared" ca="1" si="96"/>
        <v>1.2769795903571328</v>
      </c>
      <c r="N877">
        <f t="shared" ca="1" si="97"/>
        <v>1.2963575586401674</v>
      </c>
    </row>
    <row r="878" spans="6:14" x14ac:dyDescent="0.75">
      <c r="F878">
        <v>873</v>
      </c>
      <c r="G878">
        <f t="shared" ca="1" si="98"/>
        <v>-0.19313616205487427</v>
      </c>
      <c r="H878">
        <f t="shared" ca="1" si="98"/>
        <v>-0.84739324400466898</v>
      </c>
      <c r="I878">
        <f t="shared" ca="1" si="92"/>
        <v>-0.19313616205487427</v>
      </c>
      <c r="J878">
        <f t="shared" ca="1" si="93"/>
        <v>-0.70535006811931311</v>
      </c>
      <c r="K878">
        <f t="shared" ca="1" si="94"/>
        <v>16.959662279199492</v>
      </c>
      <c r="L878">
        <f t="shared" ca="1" si="95"/>
        <v>16.57913134378212</v>
      </c>
      <c r="M878">
        <f t="shared" ca="1" si="96"/>
        <v>0</v>
      </c>
      <c r="N878">
        <f t="shared" ca="1" si="97"/>
        <v>0</v>
      </c>
    </row>
    <row r="879" spans="6:14" x14ac:dyDescent="0.75">
      <c r="F879">
        <v>874</v>
      </c>
      <c r="G879">
        <f t="shared" ca="1" si="98"/>
        <v>-0.7325707450789728</v>
      </c>
      <c r="H879">
        <f t="shared" ca="1" si="98"/>
        <v>-0.77333785267962563</v>
      </c>
      <c r="I879">
        <f t="shared" ca="1" si="92"/>
        <v>-0.7325707450789728</v>
      </c>
      <c r="J879">
        <f t="shared" ca="1" si="93"/>
        <v>-1.0609429682149782</v>
      </c>
      <c r="K879">
        <f t="shared" ca="1" si="94"/>
        <v>14.8200215150763</v>
      </c>
      <c r="L879">
        <f t="shared" ca="1" si="95"/>
        <v>15.168888658290829</v>
      </c>
      <c r="M879">
        <f t="shared" ca="1" si="96"/>
        <v>0</v>
      </c>
      <c r="N879">
        <f t="shared" ca="1" si="97"/>
        <v>0</v>
      </c>
    </row>
    <row r="880" spans="6:14" x14ac:dyDescent="0.75">
      <c r="F880">
        <v>875</v>
      </c>
      <c r="G880">
        <f t="shared" ca="1" si="98"/>
        <v>0.11601284612480055</v>
      </c>
      <c r="H880">
        <f t="shared" ca="1" si="98"/>
        <v>-0.50087554105072518</v>
      </c>
      <c r="I880">
        <f t="shared" ca="1" si="92"/>
        <v>0.11601284612480055</v>
      </c>
      <c r="J880">
        <f t="shared" ca="1" si="93"/>
        <v>-0.2442883952601852</v>
      </c>
      <c r="K880">
        <f t="shared" ca="1" si="94"/>
        <v>18.322411257192414</v>
      </c>
      <c r="L880">
        <f t="shared" ca="1" si="95"/>
        <v>18.60462442354628</v>
      </c>
      <c r="M880">
        <f t="shared" ca="1" si="96"/>
        <v>0</v>
      </c>
      <c r="N880">
        <f t="shared" ca="1" si="97"/>
        <v>0</v>
      </c>
    </row>
    <row r="881" spans="6:14" x14ac:dyDescent="0.75">
      <c r="F881">
        <v>876</v>
      </c>
      <c r="G881">
        <f t="shared" ca="1" si="98"/>
        <v>0.55120923817481493</v>
      </c>
      <c r="H881">
        <f t="shared" ca="1" si="98"/>
        <v>-0.40843139451917509</v>
      </c>
      <c r="I881">
        <f t="shared" ca="1" si="92"/>
        <v>0.55120923817481493</v>
      </c>
      <c r="J881">
        <f t="shared" ca="1" si="93"/>
        <v>0.14325495424884954</v>
      </c>
      <c r="K881">
        <f t="shared" ca="1" si="94"/>
        <v>20.428358691342591</v>
      </c>
      <c r="L881">
        <f t="shared" ca="1" si="95"/>
        <v>20.497358252652703</v>
      </c>
      <c r="M881">
        <f t="shared" ca="1" si="96"/>
        <v>0.46282938916660754</v>
      </c>
      <c r="N881">
        <f t="shared" ca="1" si="97"/>
        <v>0.46285847199764873</v>
      </c>
    </row>
    <row r="882" spans="6:14" x14ac:dyDescent="0.75">
      <c r="F882">
        <v>877</v>
      </c>
      <c r="G882">
        <f t="shared" ca="1" si="98"/>
        <v>-0.89902394197276603</v>
      </c>
      <c r="H882">
        <f t="shared" ca="1" si="98"/>
        <v>-0.62586258726690902</v>
      </c>
      <c r="I882">
        <f t="shared" ca="1" si="92"/>
        <v>-0.89902394197276603</v>
      </c>
      <c r="J882">
        <f t="shared" ca="1" si="93"/>
        <v>-1.0882371466814997</v>
      </c>
      <c r="K882">
        <f t="shared" ca="1" si="94"/>
        <v>14.215967040961864</v>
      </c>
      <c r="L882">
        <f t="shared" ca="1" si="95"/>
        <v>15.065735405398865</v>
      </c>
      <c r="M882">
        <f t="shared" ca="1" si="96"/>
        <v>0</v>
      </c>
      <c r="N882">
        <f t="shared" ca="1" si="97"/>
        <v>0</v>
      </c>
    </row>
    <row r="883" spans="6:14" x14ac:dyDescent="0.75">
      <c r="F883">
        <v>878</v>
      </c>
      <c r="G883">
        <f t="shared" ca="1" si="98"/>
        <v>-0.34675632933868406</v>
      </c>
      <c r="H883">
        <f t="shared" ca="1" si="98"/>
        <v>-0.33835779019381101</v>
      </c>
      <c r="I883">
        <f t="shared" ca="1" si="92"/>
        <v>-0.34675632933868406</v>
      </c>
      <c r="J883">
        <f t="shared" ca="1" si="93"/>
        <v>-0.48386988875756137</v>
      </c>
      <c r="K883">
        <f t="shared" ca="1" si="94"/>
        <v>16.320674454672865</v>
      </c>
      <c r="L883">
        <f t="shared" ca="1" si="95"/>
        <v>17.523008720118426</v>
      </c>
      <c r="M883">
        <f t="shared" ca="1" si="96"/>
        <v>0</v>
      </c>
      <c r="N883">
        <f t="shared" ca="1" si="97"/>
        <v>0</v>
      </c>
    </row>
    <row r="884" spans="6:14" x14ac:dyDescent="0.75">
      <c r="F884">
        <v>879</v>
      </c>
      <c r="G884">
        <f t="shared" ca="1" si="98"/>
        <v>-0.47863585320734703</v>
      </c>
      <c r="H884">
        <f t="shared" ca="1" si="98"/>
        <v>0.6643666829710575</v>
      </c>
      <c r="I884">
        <f t="shared" ca="1" si="92"/>
        <v>-0.47863585320734703</v>
      </c>
      <c r="J884">
        <f t="shared" ca="1" si="93"/>
        <v>8.0460365719066951E-2</v>
      </c>
      <c r="K884">
        <f t="shared" ca="1" si="94"/>
        <v>15.791357466647188</v>
      </c>
      <c r="L884">
        <f t="shared" ca="1" si="95"/>
        <v>20.178090054565928</v>
      </c>
      <c r="M884">
        <f t="shared" ca="1" si="96"/>
        <v>0</v>
      </c>
      <c r="N884">
        <f t="shared" ca="1" si="97"/>
        <v>0</v>
      </c>
    </row>
    <row r="885" spans="6:14" x14ac:dyDescent="0.75">
      <c r="F885">
        <v>880</v>
      </c>
      <c r="G885">
        <f t="shared" ca="1" si="98"/>
        <v>-1.6794504838196483E-2</v>
      </c>
      <c r="H885">
        <f t="shared" ca="1" si="98"/>
        <v>-0.62336299709147203</v>
      </c>
      <c r="I885">
        <f t="shared" ca="1" si="92"/>
        <v>-1.6794504838196483E-2</v>
      </c>
      <c r="J885">
        <f t="shared" ca="1" si="93"/>
        <v>-0.42491174533462606</v>
      </c>
      <c r="K885">
        <f t="shared" ca="1" si="94"/>
        <v>17.7240616503715</v>
      </c>
      <c r="L885">
        <f t="shared" ca="1" si="95"/>
        <v>17.783202593249051</v>
      </c>
      <c r="M885">
        <f t="shared" ca="1" si="96"/>
        <v>0</v>
      </c>
      <c r="N885">
        <f t="shared" ca="1" si="97"/>
        <v>0</v>
      </c>
    </row>
    <row r="886" spans="6:14" x14ac:dyDescent="0.75">
      <c r="F886">
        <v>881</v>
      </c>
      <c r="G886">
        <f t="shared" ca="1" si="98"/>
        <v>-1.2197634412205127</v>
      </c>
      <c r="H886">
        <f t="shared" ca="1" si="98"/>
        <v>0.61097296112677579</v>
      </c>
      <c r="I886">
        <f t="shared" ca="1" si="92"/>
        <v>-1.2197634412205127</v>
      </c>
      <c r="J886">
        <f t="shared" ca="1" si="93"/>
        <v>-0.510701952683839</v>
      </c>
      <c r="K886">
        <f t="shared" ca="1" si="94"/>
        <v>13.120565668859284</v>
      </c>
      <c r="L886">
        <f t="shared" ca="1" si="95"/>
        <v>17.405857463123052</v>
      </c>
      <c r="M886">
        <f t="shared" ca="1" si="96"/>
        <v>0</v>
      </c>
      <c r="N886">
        <f t="shared" ca="1" si="97"/>
        <v>0</v>
      </c>
    </row>
    <row r="887" spans="6:14" x14ac:dyDescent="0.75">
      <c r="F887">
        <v>882</v>
      </c>
      <c r="G887">
        <f t="shared" ca="1" si="98"/>
        <v>7.5289232399344583E-2</v>
      </c>
      <c r="H887">
        <f t="shared" ca="1" si="98"/>
        <v>-1.0267172471490023</v>
      </c>
      <c r="I887">
        <f t="shared" ca="1" si="92"/>
        <v>7.5289232399344583E-2</v>
      </c>
      <c r="J887">
        <f t="shared" ca="1" si="93"/>
        <v>-0.62264270138476663</v>
      </c>
      <c r="K887">
        <f t="shared" ca="1" si="94"/>
        <v>18.136818909501347</v>
      </c>
      <c r="L887">
        <f t="shared" ca="1" si="95"/>
        <v>16.925504024009854</v>
      </c>
      <c r="M887">
        <f t="shared" ca="1" si="96"/>
        <v>0</v>
      </c>
      <c r="N887">
        <f t="shared" ca="1" si="97"/>
        <v>0</v>
      </c>
    </row>
    <row r="888" spans="6:14" x14ac:dyDescent="0.75">
      <c r="F888">
        <v>883</v>
      </c>
      <c r="G888">
        <f t="shared" ca="1" si="98"/>
        <v>-1.7816521630473365</v>
      </c>
      <c r="H888">
        <f t="shared" ca="1" si="98"/>
        <v>-1.1697625551051485</v>
      </c>
      <c r="I888">
        <f t="shared" ca="1" si="92"/>
        <v>-1.7816521630473365</v>
      </c>
      <c r="J888">
        <f t="shared" ca="1" si="93"/>
        <v>-2.1099643257364304</v>
      </c>
      <c r="K888">
        <f t="shared" ca="1" si="94"/>
        <v>11.401087175602893</v>
      </c>
      <c r="L888">
        <f t="shared" ca="1" si="95"/>
        <v>11.669646939076767</v>
      </c>
      <c r="M888">
        <f t="shared" ca="1" si="96"/>
        <v>0</v>
      </c>
      <c r="N888">
        <f t="shared" ca="1" si="97"/>
        <v>0</v>
      </c>
    </row>
    <row r="889" spans="6:14" x14ac:dyDescent="0.75">
      <c r="F889">
        <v>884</v>
      </c>
      <c r="G889">
        <f t="shared" ca="1" si="98"/>
        <v>-0.20597866239452714</v>
      </c>
      <c r="H889">
        <f t="shared" ca="1" si="98"/>
        <v>-1.1572395500594663</v>
      </c>
      <c r="I889">
        <f t="shared" ca="1" si="92"/>
        <v>-0.20597866239452714</v>
      </c>
      <c r="J889">
        <f t="shared" ca="1" si="93"/>
        <v>-0.91992601099230287</v>
      </c>
      <c r="K889">
        <f t="shared" ca="1" si="94"/>
        <v>16.905298479642532</v>
      </c>
      <c r="L889">
        <f t="shared" ca="1" si="95"/>
        <v>15.713194458973396</v>
      </c>
      <c r="M889">
        <f t="shared" ca="1" si="96"/>
        <v>0</v>
      </c>
      <c r="N889">
        <f t="shared" ca="1" si="97"/>
        <v>0</v>
      </c>
    </row>
    <row r="890" spans="6:14" x14ac:dyDescent="0.75">
      <c r="F890">
        <v>885</v>
      </c>
      <c r="G890">
        <f t="shared" ca="1" si="98"/>
        <v>0.646944310706277</v>
      </c>
      <c r="H890">
        <f t="shared" ca="1" si="98"/>
        <v>1.8833458341259131</v>
      </c>
      <c r="I890">
        <f t="shared" ca="1" si="92"/>
        <v>0.646944310706277</v>
      </c>
      <c r="J890">
        <f t="shared" ca="1" si="93"/>
        <v>1.730924410486375</v>
      </c>
      <c r="K890">
        <f t="shared" ca="1" si="94"/>
        <v>20.923184190491149</v>
      </c>
      <c r="L890">
        <f t="shared" ca="1" si="95"/>
        <v>30.484348140599266</v>
      </c>
      <c r="M890">
        <f t="shared" ca="1" si="96"/>
        <v>5.2552891702473836</v>
      </c>
      <c r="N890">
        <f t="shared" ca="1" si="97"/>
        <v>5.7037661655452077</v>
      </c>
    </row>
    <row r="891" spans="6:14" x14ac:dyDescent="0.75">
      <c r="F891">
        <v>886</v>
      </c>
      <c r="G891">
        <f t="shared" ca="1" si="98"/>
        <v>-0.21840377233033989</v>
      </c>
      <c r="H891">
        <f t="shared" ca="1" si="98"/>
        <v>1.4503430748108344</v>
      </c>
      <c r="I891">
        <f t="shared" ca="1" si="92"/>
        <v>-0.21840377233033989</v>
      </c>
      <c r="J891">
        <f t="shared" ca="1" si="93"/>
        <v>0.79550894367079883</v>
      </c>
      <c r="K891">
        <f t="shared" ca="1" si="94"/>
        <v>16.852867406505453</v>
      </c>
      <c r="L891">
        <f t="shared" ca="1" si="95"/>
        <v>24.127674699959098</v>
      </c>
      <c r="M891">
        <f t="shared" ca="1" si="96"/>
        <v>0.16483331311486182</v>
      </c>
      <c r="N891">
        <f t="shared" ca="1" si="97"/>
        <v>0.49027105323227715</v>
      </c>
    </row>
    <row r="892" spans="6:14" x14ac:dyDescent="0.75">
      <c r="F892">
        <v>887</v>
      </c>
      <c r="G892">
        <f t="shared" ca="1" si="98"/>
        <v>-0.34449157467503438</v>
      </c>
      <c r="H892">
        <f t="shared" ca="1" si="98"/>
        <v>0.83566250061097602</v>
      </c>
      <c r="I892">
        <f t="shared" ca="1" si="92"/>
        <v>-0.34449157467503438</v>
      </c>
      <c r="J892">
        <f t="shared" ca="1" si="93"/>
        <v>0.29437010814347525</v>
      </c>
      <c r="K892">
        <f t="shared" ca="1" si="94"/>
        <v>16.329917652019009</v>
      </c>
      <c r="L892">
        <f t="shared" ca="1" si="95"/>
        <v>21.2865368603589</v>
      </c>
      <c r="M892">
        <f t="shared" ca="1" si="96"/>
        <v>0</v>
      </c>
      <c r="N892">
        <f t="shared" ca="1" si="97"/>
        <v>0</v>
      </c>
    </row>
    <row r="893" spans="6:14" x14ac:dyDescent="0.75">
      <c r="F893">
        <v>888</v>
      </c>
      <c r="G893">
        <f t="shared" ca="1" si="98"/>
        <v>-0.9689129218431396</v>
      </c>
      <c r="H893">
        <f t="shared" ca="1" si="98"/>
        <v>0.85774020817961905</v>
      </c>
      <c r="I893">
        <f t="shared" ca="1" si="92"/>
        <v>-0.9689129218431396</v>
      </c>
      <c r="J893">
        <f t="shared" ca="1" si="93"/>
        <v>-0.15934287129634417</v>
      </c>
      <c r="K893">
        <f t="shared" ca="1" si="94"/>
        <v>13.969739520134576</v>
      </c>
      <c r="L893">
        <f t="shared" ca="1" si="95"/>
        <v>19.003944364070431</v>
      </c>
      <c r="M893">
        <f t="shared" ca="1" si="96"/>
        <v>0</v>
      </c>
      <c r="N893">
        <f t="shared" ca="1" si="97"/>
        <v>0</v>
      </c>
    </row>
    <row r="894" spans="6:14" x14ac:dyDescent="0.75">
      <c r="F894">
        <v>889</v>
      </c>
      <c r="G894">
        <f t="shared" ca="1" si="98"/>
        <v>0.42867476906973817</v>
      </c>
      <c r="H894">
        <f t="shared" ca="1" si="98"/>
        <v>1.4094031980182933</v>
      </c>
      <c r="I894">
        <f t="shared" ca="1" si="92"/>
        <v>0.42867476906973817</v>
      </c>
      <c r="J894">
        <f t="shared" ca="1" si="93"/>
        <v>1.2537386665461852</v>
      </c>
      <c r="K894">
        <f t="shared" ca="1" si="94"/>
        <v>19.812052213358694</v>
      </c>
      <c r="L894">
        <f t="shared" ca="1" si="95"/>
        <v>27.056220454114502</v>
      </c>
      <c r="M894">
        <f t="shared" ca="1" si="96"/>
        <v>3.1525215113399696</v>
      </c>
      <c r="N894">
        <f t="shared" ca="1" si="97"/>
        <v>3.4341363337365962</v>
      </c>
    </row>
    <row r="895" spans="6:14" x14ac:dyDescent="0.75">
      <c r="F895">
        <v>890</v>
      </c>
      <c r="G895">
        <f t="shared" ca="1" si="98"/>
        <v>-1.4809257433225524</v>
      </c>
      <c r="H895">
        <f t="shared" ca="1" si="98"/>
        <v>-1.1297907729355188</v>
      </c>
      <c r="I895">
        <f t="shared" ca="1" si="92"/>
        <v>-1.4809257433225524</v>
      </c>
      <c r="J895">
        <f t="shared" ca="1" si="93"/>
        <v>-1.8579806621726207</v>
      </c>
      <c r="K895">
        <f t="shared" ca="1" si="94"/>
        <v>12.291283124389354</v>
      </c>
      <c r="L895">
        <f t="shared" ca="1" si="95"/>
        <v>12.428436435276865</v>
      </c>
      <c r="M895">
        <f t="shared" ca="1" si="96"/>
        <v>0</v>
      </c>
      <c r="N895">
        <f t="shared" ca="1" si="97"/>
        <v>0</v>
      </c>
    </row>
    <row r="896" spans="6:14" x14ac:dyDescent="0.75">
      <c r="F896">
        <v>891</v>
      </c>
      <c r="G896">
        <f t="shared" ca="1" si="98"/>
        <v>-0.22261535612984737</v>
      </c>
      <c r="H896">
        <f t="shared" ca="1" si="98"/>
        <v>0.22587338409815175</v>
      </c>
      <c r="I896">
        <f t="shared" ca="1" si="92"/>
        <v>-0.22261535612984737</v>
      </c>
      <c r="J896">
        <f t="shared" ca="1" si="93"/>
        <v>-1.756031656931531E-2</v>
      </c>
      <c r="K896">
        <f t="shared" ca="1" si="94"/>
        <v>16.835132428850805</v>
      </c>
      <c r="L896">
        <f t="shared" ca="1" si="95"/>
        <v>19.689631835108795</v>
      </c>
      <c r="M896">
        <f t="shared" ca="1" si="96"/>
        <v>0</v>
      </c>
      <c r="N896">
        <f t="shared" ca="1" si="97"/>
        <v>0</v>
      </c>
    </row>
    <row r="897" spans="6:14" x14ac:dyDescent="0.75">
      <c r="F897">
        <v>892</v>
      </c>
      <c r="G897">
        <f t="shared" ca="1" si="98"/>
        <v>0.37866683426140896</v>
      </c>
      <c r="H897">
        <f t="shared" ca="1" si="98"/>
        <v>-1.4222849099573611</v>
      </c>
      <c r="I897">
        <f t="shared" ca="1" si="92"/>
        <v>0.37866683426140896</v>
      </c>
      <c r="J897">
        <f t="shared" ca="1" si="93"/>
        <v>-0.65675291561071114</v>
      </c>
      <c r="K897">
        <f t="shared" ca="1" si="94"/>
        <v>19.56590413517544</v>
      </c>
      <c r="L897">
        <f t="shared" ca="1" si="95"/>
        <v>16.781784540699178</v>
      </c>
      <c r="M897">
        <f t="shared" ca="1" si="96"/>
        <v>0</v>
      </c>
      <c r="N897">
        <f t="shared" ca="1" si="97"/>
        <v>0</v>
      </c>
    </row>
    <row r="898" spans="6:14" x14ac:dyDescent="0.75">
      <c r="F898">
        <v>893</v>
      </c>
      <c r="G898">
        <f t="shared" ca="1" si="98"/>
        <v>1.4350172812194539</v>
      </c>
      <c r="H898">
        <f t="shared" ca="1" si="98"/>
        <v>0.32237676013250383</v>
      </c>
      <c r="I898">
        <f t="shared" ca="1" si="92"/>
        <v>1.4350172812194539</v>
      </c>
      <c r="J898">
        <f t="shared" ca="1" si="93"/>
        <v>1.2894951448589222</v>
      </c>
      <c r="K898">
        <f t="shared" ca="1" si="94"/>
        <v>25.479547670240233</v>
      </c>
      <c r="L898">
        <f t="shared" ca="1" si="95"/>
        <v>27.29916347469079</v>
      </c>
      <c r="M898">
        <f t="shared" ca="1" si="96"/>
        <v>6.3736674945117358</v>
      </c>
      <c r="N898">
        <f t="shared" ca="1" si="97"/>
        <v>6.3893555724655116</v>
      </c>
    </row>
    <row r="899" spans="6:14" x14ac:dyDescent="0.75">
      <c r="F899">
        <v>894</v>
      </c>
      <c r="G899">
        <f t="shared" ca="1" si="98"/>
        <v>1.7087854792412978</v>
      </c>
      <c r="H899">
        <f t="shared" ca="1" si="98"/>
        <v>-1.593936598950767</v>
      </c>
      <c r="I899">
        <f t="shared" ca="1" si="92"/>
        <v>1.7087854792412978</v>
      </c>
      <c r="J899">
        <f t="shared" ca="1" si="93"/>
        <v>0.22729914782401672</v>
      </c>
      <c r="K899">
        <f t="shared" ca="1" si="94"/>
        <v>27.284482328469288</v>
      </c>
      <c r="L899">
        <f t="shared" ca="1" si="95"/>
        <v>20.932585518093724</v>
      </c>
      <c r="M899">
        <f t="shared" ca="1" si="96"/>
        <v>3.8984258824216376</v>
      </c>
      <c r="N899">
        <f t="shared" ca="1" si="97"/>
        <v>4.1085339232815059</v>
      </c>
    </row>
    <row r="900" spans="6:14" x14ac:dyDescent="0.75">
      <c r="F900">
        <v>895</v>
      </c>
      <c r="G900">
        <f t="shared" ca="1" si="98"/>
        <v>-0.53847289843265778</v>
      </c>
      <c r="H900">
        <f t="shared" ca="1" si="98"/>
        <v>-0.79452801166747533</v>
      </c>
      <c r="I900">
        <f t="shared" ca="1" si="92"/>
        <v>-0.53847289843265778</v>
      </c>
      <c r="J900">
        <f t="shared" ca="1" si="93"/>
        <v>-0.92938555596118466</v>
      </c>
      <c r="K900">
        <f t="shared" ca="1" si="94"/>
        <v>15.556888537341482</v>
      </c>
      <c r="L900">
        <f t="shared" ca="1" si="95"/>
        <v>15.676078446447914</v>
      </c>
      <c r="M900">
        <f t="shared" ca="1" si="96"/>
        <v>0</v>
      </c>
      <c r="N900">
        <f t="shared" ca="1" si="97"/>
        <v>0</v>
      </c>
    </row>
    <row r="901" spans="6:14" x14ac:dyDescent="0.75">
      <c r="F901">
        <v>896</v>
      </c>
      <c r="G901">
        <f t="shared" ca="1" si="98"/>
        <v>-0.40922237683656087</v>
      </c>
      <c r="H901">
        <f t="shared" ca="1" si="98"/>
        <v>0.30153882464992698</v>
      </c>
      <c r="I901">
        <f t="shared" ca="1" si="92"/>
        <v>-0.40922237683656087</v>
      </c>
      <c r="J901">
        <f t="shared" ca="1" si="93"/>
        <v>-0.10746759746381565</v>
      </c>
      <c r="K901">
        <f t="shared" ca="1" si="94"/>
        <v>16.067782234924408</v>
      </c>
      <c r="L901">
        <f t="shared" ca="1" si="95"/>
        <v>19.252008138730318</v>
      </c>
      <c r="M901">
        <f t="shared" ca="1" si="96"/>
        <v>0</v>
      </c>
      <c r="N901">
        <f t="shared" ca="1" si="97"/>
        <v>0</v>
      </c>
    </row>
    <row r="902" spans="6:14" x14ac:dyDescent="0.75">
      <c r="F902">
        <v>897</v>
      </c>
      <c r="G902">
        <f t="shared" ca="1" si="98"/>
        <v>0.35674649579368323</v>
      </c>
      <c r="H902">
        <f t="shared" ca="1" si="98"/>
        <v>0.60758734437716588</v>
      </c>
      <c r="I902">
        <f t="shared" ca="1" si="92"/>
        <v>0.35674649579368323</v>
      </c>
      <c r="J902">
        <f t="shared" ca="1" si="93"/>
        <v>0.66944112508829734</v>
      </c>
      <c r="K902">
        <f t="shared" ca="1" si="94"/>
        <v>19.458974584005038</v>
      </c>
      <c r="L902">
        <f t="shared" ca="1" si="95"/>
        <v>23.379102196764983</v>
      </c>
      <c r="M902">
        <f t="shared" ca="1" si="96"/>
        <v>1.3291667779992338</v>
      </c>
      <c r="N902">
        <f t="shared" ca="1" si="97"/>
        <v>1.4190383903850119</v>
      </c>
    </row>
    <row r="903" spans="6:14" x14ac:dyDescent="0.75">
      <c r="F903">
        <v>898</v>
      </c>
      <c r="G903">
        <f t="shared" ref="G903:H934" ca="1" si="99">NORMSINV(RAND())</f>
        <v>1.372593439588514</v>
      </c>
      <c r="H903">
        <f t="shared" ca="1" si="99"/>
        <v>1.2273865716293413</v>
      </c>
      <c r="I903">
        <f t="shared" ref="I903:I966" ca="1" si="100">G903</f>
        <v>1.372593439588514</v>
      </c>
      <c r="J903">
        <f t="shared" ref="J903:J966" ca="1" si="101">G903*$C$8+SQRT(1-$C$8^2)*H903</f>
        <v>1.8412849874592361</v>
      </c>
      <c r="K903">
        <f t="shared" ref="K903:K966" ca="1" si="102">C$3*EXP(($C$5-0.5*C$4^2)*$C$6+C$4*SQRT($C$6)*I903)</f>
        <v>25.085001501514821</v>
      </c>
      <c r="L903">
        <f t="shared" ref="L903:L966" ca="1" si="103">D$3*EXP(($C$5-0.5*D$4^2)*$C$6+D$4*SQRT($C$6)*J903)</f>
        <v>31.337125736416326</v>
      </c>
      <c r="M903">
        <f t="shared" ref="M903:M966" ca="1" si="104">MAX(SQRT(K903*L903)-$C$7,0)</f>
        <v>8.0373295117627457</v>
      </c>
      <c r="N903">
        <f t="shared" ref="N903:N966" ca="1" si="105">MAX((K903+L903)*0.5-$C$7,0)</f>
        <v>8.211063618965575</v>
      </c>
    </row>
    <row r="904" spans="6:14" x14ac:dyDescent="0.75">
      <c r="F904">
        <v>899</v>
      </c>
      <c r="G904">
        <f t="shared" ca="1" si="99"/>
        <v>-0.71076043179107951</v>
      </c>
      <c r="H904">
        <f t="shared" ca="1" si="99"/>
        <v>-0.65213081619048097</v>
      </c>
      <c r="I904">
        <f t="shared" ca="1" si="100"/>
        <v>-0.71076043179107951</v>
      </c>
      <c r="J904">
        <f t="shared" ca="1" si="101"/>
        <v>-0.96441431432370628</v>
      </c>
      <c r="K904">
        <f t="shared" ca="1" si="102"/>
        <v>14.901049548218101</v>
      </c>
      <c r="L904">
        <f t="shared" ca="1" si="103"/>
        <v>15.539399391128402</v>
      </c>
      <c r="M904">
        <f t="shared" ca="1" si="104"/>
        <v>0</v>
      </c>
      <c r="N904">
        <f t="shared" ca="1" si="105"/>
        <v>0</v>
      </c>
    </row>
    <row r="905" spans="6:14" x14ac:dyDescent="0.75">
      <c r="F905">
        <v>900</v>
      </c>
      <c r="G905">
        <f t="shared" ca="1" si="99"/>
        <v>0.23856173330665975</v>
      </c>
      <c r="H905">
        <f t="shared" ca="1" si="99"/>
        <v>2.3133461061042619</v>
      </c>
      <c r="I905">
        <f t="shared" ca="1" si="100"/>
        <v>0.23856173330665975</v>
      </c>
      <c r="J905">
        <f t="shared" ca="1" si="101"/>
        <v>1.7090559232728739</v>
      </c>
      <c r="K905">
        <f t="shared" ca="1" si="102"/>
        <v>18.892446596836386</v>
      </c>
      <c r="L905">
        <f t="shared" ca="1" si="103"/>
        <v>30.318141246869846</v>
      </c>
      <c r="M905">
        <f t="shared" ca="1" si="104"/>
        <v>3.9329033847093271</v>
      </c>
      <c r="N905">
        <f t="shared" ca="1" si="105"/>
        <v>4.6052939218531179</v>
      </c>
    </row>
    <row r="906" spans="6:14" x14ac:dyDescent="0.75">
      <c r="F906">
        <v>901</v>
      </c>
      <c r="G906">
        <f t="shared" ca="1" si="99"/>
        <v>1.121866006740398</v>
      </c>
      <c r="H906">
        <f t="shared" ca="1" si="99"/>
        <v>-0.61231773627662356</v>
      </c>
      <c r="I906">
        <f t="shared" ca="1" si="100"/>
        <v>1.121866006740398</v>
      </c>
      <c r="J906">
        <f t="shared" ca="1" si="101"/>
        <v>0.43638939166980373</v>
      </c>
      <c r="K906">
        <f t="shared" ca="1" si="102"/>
        <v>23.560892959719848</v>
      </c>
      <c r="L906">
        <f t="shared" ca="1" si="103"/>
        <v>22.055888567854307</v>
      </c>
      <c r="M906">
        <f t="shared" ca="1" si="104"/>
        <v>2.7959739796027172</v>
      </c>
      <c r="N906">
        <f t="shared" ca="1" si="105"/>
        <v>2.8083907637870773</v>
      </c>
    </row>
    <row r="907" spans="6:14" x14ac:dyDescent="0.75">
      <c r="F907">
        <v>902</v>
      </c>
      <c r="G907">
        <f t="shared" ca="1" si="99"/>
        <v>0.31991558811393567</v>
      </c>
      <c r="H907">
        <f t="shared" ca="1" si="99"/>
        <v>9.485881857820265E-2</v>
      </c>
      <c r="I907">
        <f t="shared" ca="1" si="100"/>
        <v>0.31991558811393567</v>
      </c>
      <c r="J907">
        <f t="shared" ca="1" si="101"/>
        <v>0.30267990199028116</v>
      </c>
      <c r="K907">
        <f t="shared" ca="1" si="102"/>
        <v>19.280624021608972</v>
      </c>
      <c r="L907">
        <f t="shared" ca="1" si="103"/>
        <v>21.330804509573458</v>
      </c>
      <c r="M907">
        <f t="shared" ca="1" si="104"/>
        <v>0.27982302258890357</v>
      </c>
      <c r="N907">
        <f t="shared" ca="1" si="105"/>
        <v>0.30571426559121306</v>
      </c>
    </row>
    <row r="908" spans="6:14" x14ac:dyDescent="0.75">
      <c r="F908">
        <v>903</v>
      </c>
      <c r="G908">
        <f t="shared" ca="1" si="99"/>
        <v>1.226363561623895</v>
      </c>
      <c r="H908">
        <f t="shared" ca="1" si="99"/>
        <v>0.93852615057451427</v>
      </c>
      <c r="I908">
        <f t="shared" ca="1" si="100"/>
        <v>1.226363561623895</v>
      </c>
      <c r="J908">
        <f t="shared" ca="1" si="101"/>
        <v>1.5405493695556525</v>
      </c>
      <c r="K908">
        <f t="shared" ca="1" si="102"/>
        <v>24.1845173212443</v>
      </c>
      <c r="L908">
        <f t="shared" ca="1" si="103"/>
        <v>29.067468153149314</v>
      </c>
      <c r="M908">
        <f t="shared" ca="1" si="104"/>
        <v>6.5138206796862193</v>
      </c>
      <c r="N908">
        <f t="shared" ca="1" si="105"/>
        <v>6.6259927371968068</v>
      </c>
    </row>
    <row r="909" spans="6:14" x14ac:dyDescent="0.75">
      <c r="F909">
        <v>904</v>
      </c>
      <c r="G909">
        <f t="shared" ca="1" si="99"/>
        <v>0.16168314557728738</v>
      </c>
      <c r="H909">
        <f t="shared" ca="1" si="99"/>
        <v>0.91489261182109549</v>
      </c>
      <c r="I909">
        <f t="shared" ca="1" si="100"/>
        <v>0.16168314557728738</v>
      </c>
      <c r="J909">
        <f t="shared" ca="1" si="101"/>
        <v>0.7264069409852083</v>
      </c>
      <c r="K909">
        <f t="shared" ca="1" si="102"/>
        <v>18.532807581668877</v>
      </c>
      <c r="L909">
        <f t="shared" ca="1" si="103"/>
        <v>23.714436762887409</v>
      </c>
      <c r="M909">
        <f t="shared" ca="1" si="104"/>
        <v>0.96413827072906244</v>
      </c>
      <c r="N909">
        <f t="shared" ca="1" si="105"/>
        <v>1.123622172278143</v>
      </c>
    </row>
    <row r="910" spans="6:14" x14ac:dyDescent="0.75">
      <c r="F910">
        <v>905</v>
      </c>
      <c r="G910">
        <f t="shared" ca="1" si="99"/>
        <v>0.12410664365910644</v>
      </c>
      <c r="H910">
        <f t="shared" ca="1" si="99"/>
        <v>0.47736273156761572</v>
      </c>
      <c r="I910">
        <f t="shared" ca="1" si="100"/>
        <v>0.12410664365910644</v>
      </c>
      <c r="J910">
        <f t="shared" ca="1" si="101"/>
        <v>0.4088257509689282</v>
      </c>
      <c r="K910">
        <f t="shared" ca="1" si="102"/>
        <v>18.359523263427025</v>
      </c>
      <c r="L910">
        <f t="shared" ca="1" si="103"/>
        <v>21.904425878138952</v>
      </c>
      <c r="M910">
        <f t="shared" ca="1" si="104"/>
        <v>5.3798056271162409E-2</v>
      </c>
      <c r="N910">
        <f t="shared" ca="1" si="105"/>
        <v>0.13197457078298669</v>
      </c>
    </row>
    <row r="911" spans="6:14" x14ac:dyDescent="0.75">
      <c r="F911">
        <v>906</v>
      </c>
      <c r="G911">
        <f t="shared" ca="1" si="99"/>
        <v>-1.8995371964007075</v>
      </c>
      <c r="H911">
        <f t="shared" ca="1" si="99"/>
        <v>2.2193998096853327</v>
      </c>
      <c r="I911">
        <f t="shared" ca="1" si="100"/>
        <v>-1.8995371964007075</v>
      </c>
      <c r="J911">
        <f t="shared" ca="1" si="101"/>
        <v>4.3342091762337498E-2</v>
      </c>
      <c r="K911">
        <f t="shared" ca="1" si="102"/>
        <v>11.069985742684327</v>
      </c>
      <c r="L911">
        <f t="shared" ca="1" si="103"/>
        <v>19.991712176486697</v>
      </c>
      <c r="M911">
        <f t="shared" ca="1" si="104"/>
        <v>0</v>
      </c>
      <c r="N911">
        <f t="shared" ca="1" si="105"/>
        <v>0</v>
      </c>
    </row>
    <row r="912" spans="6:14" x14ac:dyDescent="0.75">
      <c r="F912">
        <v>907</v>
      </c>
      <c r="G912">
        <f t="shared" ca="1" si="99"/>
        <v>-1.8451854327768313</v>
      </c>
      <c r="H912">
        <f t="shared" ca="1" si="99"/>
        <v>3.5102398959677351E-2</v>
      </c>
      <c r="I912">
        <f t="shared" ca="1" si="100"/>
        <v>-1.8451854327768313</v>
      </c>
      <c r="J912">
        <f t="shared" ca="1" si="101"/>
        <v>-1.3606710200653538</v>
      </c>
      <c r="K912">
        <f t="shared" ca="1" si="102"/>
        <v>11.221430636795979</v>
      </c>
      <c r="L912">
        <f t="shared" ca="1" si="103"/>
        <v>14.073794450636667</v>
      </c>
      <c r="M912">
        <f t="shared" ca="1" si="104"/>
        <v>0</v>
      </c>
      <c r="N912">
        <f t="shared" ca="1" si="105"/>
        <v>0</v>
      </c>
    </row>
    <row r="913" spans="6:14" x14ac:dyDescent="0.75">
      <c r="F913">
        <v>908</v>
      </c>
      <c r="G913">
        <f t="shared" ca="1" si="99"/>
        <v>0.22971094520137472</v>
      </c>
      <c r="H913">
        <f t="shared" ca="1" si="99"/>
        <v>1.1828994412247125</v>
      </c>
      <c r="I913">
        <f t="shared" ca="1" si="100"/>
        <v>0.22971094520137472</v>
      </c>
      <c r="J913">
        <f t="shared" ca="1" si="101"/>
        <v>0.95469764577049476</v>
      </c>
      <c r="K913">
        <f t="shared" ca="1" si="102"/>
        <v>18.850689551313828</v>
      </c>
      <c r="L913">
        <f t="shared" ca="1" si="103"/>
        <v>25.10725090247859</v>
      </c>
      <c r="M913">
        <f t="shared" ca="1" si="104"/>
        <v>1.7552060953135502</v>
      </c>
      <c r="N913">
        <f t="shared" ca="1" si="105"/>
        <v>1.9789702268962088</v>
      </c>
    </row>
    <row r="914" spans="6:14" x14ac:dyDescent="0.75">
      <c r="F914">
        <v>909</v>
      </c>
      <c r="G914">
        <f t="shared" ca="1" si="99"/>
        <v>-1.9044642014937372</v>
      </c>
      <c r="H914">
        <f t="shared" ca="1" si="99"/>
        <v>0.31904709261320069</v>
      </c>
      <c r="I914">
        <f t="shared" ca="1" si="100"/>
        <v>-1.9044642014937372</v>
      </c>
      <c r="J914">
        <f t="shared" ca="1" si="101"/>
        <v>-1.2173183352271224</v>
      </c>
      <c r="K914">
        <f t="shared" ca="1" si="102"/>
        <v>11.056358667957086</v>
      </c>
      <c r="L914">
        <f t="shared" ca="1" si="103"/>
        <v>14.587320460117423</v>
      </c>
      <c r="M914">
        <f t="shared" ca="1" si="104"/>
        <v>0</v>
      </c>
      <c r="N914">
        <f t="shared" ca="1" si="105"/>
        <v>0</v>
      </c>
    </row>
    <row r="915" spans="6:14" x14ac:dyDescent="0.75">
      <c r="F915">
        <v>910</v>
      </c>
      <c r="G915">
        <f t="shared" ca="1" si="99"/>
        <v>-1.7900308973424806</v>
      </c>
      <c r="H915">
        <f t="shared" ca="1" si="99"/>
        <v>1.3506732321912647</v>
      </c>
      <c r="I915">
        <f t="shared" ca="1" si="100"/>
        <v>-1.7900308973424806</v>
      </c>
      <c r="J915">
        <f t="shared" ca="1" si="101"/>
        <v>-0.44913680428438862</v>
      </c>
      <c r="K915">
        <f t="shared" ca="1" si="102"/>
        <v>11.377230500388695</v>
      </c>
      <c r="L915">
        <f t="shared" ca="1" si="103"/>
        <v>17.675828282283842</v>
      </c>
      <c r="M915">
        <f t="shared" ca="1" si="104"/>
        <v>0</v>
      </c>
      <c r="N915">
        <f t="shared" ca="1" si="105"/>
        <v>0</v>
      </c>
    </row>
    <row r="916" spans="6:14" x14ac:dyDescent="0.75">
      <c r="F916">
        <v>911</v>
      </c>
      <c r="G916">
        <f t="shared" ca="1" si="99"/>
        <v>-0.55453473160769817</v>
      </c>
      <c r="H916">
        <f t="shared" ca="1" si="99"/>
        <v>-1.5330186188861419</v>
      </c>
      <c r="I916">
        <f t="shared" ca="1" si="100"/>
        <v>-0.55453473160769817</v>
      </c>
      <c r="J916">
        <f t="shared" ca="1" si="101"/>
        <v>-1.429897553906883</v>
      </c>
      <c r="K916">
        <f t="shared" ca="1" si="102"/>
        <v>15.494545751434883</v>
      </c>
      <c r="L916">
        <f t="shared" ca="1" si="103"/>
        <v>13.832320030485167</v>
      </c>
      <c r="M916">
        <f t="shared" ca="1" si="104"/>
        <v>0</v>
      </c>
      <c r="N916">
        <f t="shared" ca="1" si="105"/>
        <v>0</v>
      </c>
    </row>
    <row r="917" spans="6:14" x14ac:dyDescent="0.75">
      <c r="F917">
        <v>912</v>
      </c>
      <c r="G917">
        <f t="shared" ca="1" si="99"/>
        <v>0.63124929094270044</v>
      </c>
      <c r="H917">
        <f t="shared" ca="1" si="99"/>
        <v>0.76382398241724292</v>
      </c>
      <c r="I917">
        <f t="shared" ca="1" si="100"/>
        <v>0.63124929094270044</v>
      </c>
      <c r="J917">
        <f t="shared" ca="1" si="101"/>
        <v>0.97865904393277459</v>
      </c>
      <c r="K917">
        <f t="shared" ca="1" si="102"/>
        <v>20.841247597823248</v>
      </c>
      <c r="L917">
        <f t="shared" ca="1" si="103"/>
        <v>25.258103490148983</v>
      </c>
      <c r="M917">
        <f t="shared" ca="1" si="104"/>
        <v>2.9436350365333013</v>
      </c>
      <c r="N917">
        <f t="shared" ca="1" si="105"/>
        <v>3.0496755439861154</v>
      </c>
    </row>
    <row r="918" spans="6:14" x14ac:dyDescent="0.75">
      <c r="F918">
        <v>913</v>
      </c>
      <c r="G918">
        <f t="shared" ca="1" si="99"/>
        <v>-0.36627478779017109</v>
      </c>
      <c r="H918">
        <f t="shared" ca="1" si="99"/>
        <v>1.8205320263586697</v>
      </c>
      <c r="I918">
        <f t="shared" ca="1" si="100"/>
        <v>-0.36627478779017109</v>
      </c>
      <c r="J918">
        <f t="shared" ca="1" si="101"/>
        <v>0.92946265805075334</v>
      </c>
      <c r="K918">
        <f t="shared" ca="1" si="102"/>
        <v>16.24122984029805</v>
      </c>
      <c r="L918">
        <f t="shared" ca="1" si="103"/>
        <v>24.949354199293367</v>
      </c>
      <c r="M918">
        <f t="shared" ca="1" si="104"/>
        <v>0.12978380206128648</v>
      </c>
      <c r="N918">
        <f t="shared" ca="1" si="105"/>
        <v>0.59529201979570701</v>
      </c>
    </row>
    <row r="919" spans="6:14" x14ac:dyDescent="0.75">
      <c r="F919">
        <v>914</v>
      </c>
      <c r="G919">
        <f t="shared" ca="1" si="99"/>
        <v>0.11214154370887038</v>
      </c>
      <c r="H919">
        <f t="shared" ca="1" si="99"/>
        <v>-0.30463165705328543</v>
      </c>
      <c r="I919">
        <f t="shared" ca="1" si="100"/>
        <v>0.11214154370887038</v>
      </c>
      <c r="J919">
        <f t="shared" ca="1" si="101"/>
        <v>-0.11738874372847438</v>
      </c>
      <c r="K919">
        <f t="shared" ca="1" si="102"/>
        <v>18.30468693686003</v>
      </c>
      <c r="L919">
        <f t="shared" ca="1" si="103"/>
        <v>19.204316810102032</v>
      </c>
      <c r="M919">
        <f t="shared" ca="1" si="104"/>
        <v>0</v>
      </c>
      <c r="N919">
        <f t="shared" ca="1" si="105"/>
        <v>0</v>
      </c>
    </row>
    <row r="920" spans="6:14" x14ac:dyDescent="0.75">
      <c r="F920">
        <v>915</v>
      </c>
      <c r="G920">
        <f t="shared" ca="1" si="99"/>
        <v>-4.7257518880293392E-2</v>
      </c>
      <c r="H920">
        <f t="shared" ca="1" si="99"/>
        <v>-0.88701694036986944</v>
      </c>
      <c r="I920">
        <f t="shared" ca="1" si="100"/>
        <v>-4.7257518880293392E-2</v>
      </c>
      <c r="J920">
        <f t="shared" ca="1" si="101"/>
        <v>-0.62214969739024106</v>
      </c>
      <c r="K920">
        <f t="shared" ca="1" si="102"/>
        <v>17.589592258440184</v>
      </c>
      <c r="L920">
        <f t="shared" ca="1" si="103"/>
        <v>16.92759023784448</v>
      </c>
      <c r="M920">
        <f t="shared" ca="1" si="104"/>
        <v>0</v>
      </c>
      <c r="N920">
        <f t="shared" ca="1" si="105"/>
        <v>0</v>
      </c>
    </row>
    <row r="921" spans="6:14" x14ac:dyDescent="0.75">
      <c r="F921">
        <v>916</v>
      </c>
      <c r="G921">
        <f t="shared" ca="1" si="99"/>
        <v>0.52671218236984441</v>
      </c>
      <c r="H921">
        <f t="shared" ca="1" si="99"/>
        <v>-1.5816328159166111</v>
      </c>
      <c r="I921">
        <f t="shared" ca="1" si="100"/>
        <v>0.52671218236984441</v>
      </c>
      <c r="J921">
        <f t="shared" ca="1" si="101"/>
        <v>-0.65111763730615535</v>
      </c>
      <c r="K921">
        <f t="shared" ca="1" si="102"/>
        <v>20.303632348985548</v>
      </c>
      <c r="L921">
        <f t="shared" ca="1" si="103"/>
        <v>16.805443709119302</v>
      </c>
      <c r="M921">
        <f t="shared" ca="1" si="104"/>
        <v>0</v>
      </c>
      <c r="N921">
        <f t="shared" ca="1" si="105"/>
        <v>0</v>
      </c>
    </row>
    <row r="922" spans="6:14" x14ac:dyDescent="0.75">
      <c r="F922">
        <v>917</v>
      </c>
      <c r="G922">
        <f t="shared" ca="1" si="99"/>
        <v>0.26460235413342476</v>
      </c>
      <c r="H922">
        <f t="shared" ca="1" si="99"/>
        <v>-0.48692134986836921</v>
      </c>
      <c r="I922">
        <f t="shared" ca="1" si="100"/>
        <v>0.26460235413342476</v>
      </c>
      <c r="J922">
        <f t="shared" ca="1" si="101"/>
        <v>-0.123616434349826</v>
      </c>
      <c r="K922">
        <f t="shared" ca="1" si="102"/>
        <v>19.015840577591153</v>
      </c>
      <c r="L922">
        <f t="shared" ca="1" si="103"/>
        <v>19.174440437815583</v>
      </c>
      <c r="M922">
        <f t="shared" ca="1" si="104"/>
        <v>0</v>
      </c>
      <c r="N922">
        <f t="shared" ca="1" si="105"/>
        <v>0</v>
      </c>
    </row>
    <row r="923" spans="6:14" x14ac:dyDescent="0.75">
      <c r="F923">
        <v>918</v>
      </c>
      <c r="G923">
        <f t="shared" ca="1" si="99"/>
        <v>-1.9734554484223985</v>
      </c>
      <c r="H923">
        <f t="shared" ca="1" si="99"/>
        <v>0.9923327861404041</v>
      </c>
      <c r="I923">
        <f t="shared" ca="1" si="100"/>
        <v>-1.9734554484223985</v>
      </c>
      <c r="J923">
        <f t="shared" ca="1" si="101"/>
        <v>-0.82372514383096085</v>
      </c>
      <c r="K923">
        <f t="shared" ca="1" si="102"/>
        <v>10.867295822347321</v>
      </c>
      <c r="L923">
        <f t="shared" ca="1" si="103"/>
        <v>16.095681200613061</v>
      </c>
      <c r="M923">
        <f t="shared" ca="1" si="104"/>
        <v>0</v>
      </c>
      <c r="N923">
        <f t="shared" ca="1" si="105"/>
        <v>0</v>
      </c>
    </row>
    <row r="924" spans="6:14" x14ac:dyDescent="0.75">
      <c r="F924">
        <v>919</v>
      </c>
      <c r="G924">
        <f t="shared" ca="1" si="99"/>
        <v>0.53690810679562317</v>
      </c>
      <c r="H924">
        <f t="shared" ca="1" si="99"/>
        <v>-0.86730662914762646</v>
      </c>
      <c r="I924">
        <f t="shared" ca="1" si="100"/>
        <v>0.53690810679562317</v>
      </c>
      <c r="J924">
        <f t="shared" ca="1" si="101"/>
        <v>-0.17098833269386854</v>
      </c>
      <c r="K924">
        <f t="shared" ca="1" si="102"/>
        <v>20.355451939756922</v>
      </c>
      <c r="L924">
        <f t="shared" ca="1" si="103"/>
        <v>18.948697400018698</v>
      </c>
      <c r="M924">
        <f t="shared" ca="1" si="104"/>
        <v>0</v>
      </c>
      <c r="N924">
        <f t="shared" ca="1" si="105"/>
        <v>0</v>
      </c>
    </row>
    <row r="925" spans="6:14" x14ac:dyDescent="0.75">
      <c r="F925">
        <v>920</v>
      </c>
      <c r="G925">
        <f t="shared" ca="1" si="99"/>
        <v>-0.44835573000449946</v>
      </c>
      <c r="H925">
        <f t="shared" ca="1" si="99"/>
        <v>-0.53907725856323607</v>
      </c>
      <c r="I925">
        <f t="shared" ca="1" si="100"/>
        <v>-0.44835573000449946</v>
      </c>
      <c r="J925">
        <f t="shared" ca="1" si="101"/>
        <v>-0.69283288840557145</v>
      </c>
      <c r="K925">
        <f t="shared" ca="1" si="102"/>
        <v>15.911352137705006</v>
      </c>
      <c r="L925">
        <f t="shared" ca="1" si="103"/>
        <v>16.631093595616349</v>
      </c>
      <c r="M925">
        <f t="shared" ca="1" si="104"/>
        <v>0</v>
      </c>
      <c r="N925">
        <f t="shared" ca="1" si="105"/>
        <v>0</v>
      </c>
    </row>
    <row r="926" spans="6:14" x14ac:dyDescent="0.75">
      <c r="F926">
        <v>921</v>
      </c>
      <c r="G926">
        <f t="shared" ca="1" si="99"/>
        <v>0.61943144016427332</v>
      </c>
      <c r="H926">
        <f t="shared" ca="1" si="99"/>
        <v>1.8529924134385778</v>
      </c>
      <c r="I926">
        <f t="shared" ca="1" si="100"/>
        <v>0.61943144016427332</v>
      </c>
      <c r="J926">
        <f t="shared" ca="1" si="101"/>
        <v>1.6902128569351693</v>
      </c>
      <c r="K926">
        <f t="shared" ca="1" si="102"/>
        <v>20.779763779833281</v>
      </c>
      <c r="L926">
        <f t="shared" ca="1" si="103"/>
        <v>30.175655432384612</v>
      </c>
      <c r="M926">
        <f t="shared" ca="1" si="104"/>
        <v>5.0408264996703949</v>
      </c>
      <c r="N926">
        <f t="shared" ca="1" si="105"/>
        <v>5.4777096061089452</v>
      </c>
    </row>
    <row r="927" spans="6:14" x14ac:dyDescent="0.75">
      <c r="F927">
        <v>922</v>
      </c>
      <c r="G927">
        <f t="shared" ca="1" si="99"/>
        <v>-0.94994133365760458</v>
      </c>
      <c r="H927">
        <f t="shared" ca="1" si="99"/>
        <v>-0.37570453055532871</v>
      </c>
      <c r="I927">
        <f t="shared" ca="1" si="100"/>
        <v>-0.94994133365760458</v>
      </c>
      <c r="J927">
        <f t="shared" ca="1" si="101"/>
        <v>-0.96096118881562032</v>
      </c>
      <c r="K927">
        <f t="shared" ca="1" si="102"/>
        <v>14.036153930298575</v>
      </c>
      <c r="L927">
        <f t="shared" ca="1" si="103"/>
        <v>15.552820057304967</v>
      </c>
      <c r="M927">
        <f t="shared" ca="1" si="104"/>
        <v>0</v>
      </c>
      <c r="N927">
        <f t="shared" ca="1" si="105"/>
        <v>0</v>
      </c>
    </row>
    <row r="928" spans="6:14" x14ac:dyDescent="0.75">
      <c r="F928">
        <v>923</v>
      </c>
      <c r="G928">
        <f t="shared" ca="1" si="99"/>
        <v>-0.29079304771509579</v>
      </c>
      <c r="H928">
        <f t="shared" ca="1" si="99"/>
        <v>-3.6057860943219826E-2</v>
      </c>
      <c r="I928">
        <f t="shared" ca="1" si="100"/>
        <v>-0.29079304771509579</v>
      </c>
      <c r="J928">
        <f t="shared" ca="1" si="101"/>
        <v>-0.24194481900249898</v>
      </c>
      <c r="K928">
        <f t="shared" ca="1" si="102"/>
        <v>16.550618884659734</v>
      </c>
      <c r="L928">
        <f t="shared" ca="1" si="103"/>
        <v>18.615527956412517</v>
      </c>
      <c r="M928">
        <f t="shared" ca="1" si="104"/>
        <v>0</v>
      </c>
      <c r="N928">
        <f t="shared" ca="1" si="105"/>
        <v>0</v>
      </c>
    </row>
    <row r="929" spans="6:14" x14ac:dyDescent="0.75">
      <c r="F929">
        <v>924</v>
      </c>
      <c r="G929">
        <f t="shared" ca="1" si="99"/>
        <v>-0.70083741198004446</v>
      </c>
      <c r="H929">
        <f t="shared" ca="1" si="99"/>
        <v>1.4401485753358167</v>
      </c>
      <c r="I929">
        <f t="shared" ca="1" si="100"/>
        <v>-0.70083741198004446</v>
      </c>
      <c r="J929">
        <f t="shared" ca="1" si="101"/>
        <v>0.42694068634560167</v>
      </c>
      <c r="K929">
        <f t="shared" ca="1" si="102"/>
        <v>14.938061290236007</v>
      </c>
      <c r="L929">
        <f t="shared" ca="1" si="103"/>
        <v>22.003850156068673</v>
      </c>
      <c r="M929">
        <f t="shared" ca="1" si="104"/>
        <v>0</v>
      </c>
      <c r="N929">
        <f t="shared" ca="1" si="105"/>
        <v>0</v>
      </c>
    </row>
    <row r="930" spans="6:14" x14ac:dyDescent="0.75">
      <c r="F930">
        <v>925</v>
      </c>
      <c r="G930">
        <f t="shared" ca="1" si="99"/>
        <v>2.4668666163252908</v>
      </c>
      <c r="H930">
        <f t="shared" ca="1" si="99"/>
        <v>-1.1315209137132471</v>
      </c>
      <c r="I930">
        <f t="shared" ca="1" si="100"/>
        <v>2.4668666163252908</v>
      </c>
      <c r="J930">
        <f t="shared" ca="1" si="101"/>
        <v>1.1017192270055114</v>
      </c>
      <c r="K930">
        <f t="shared" ca="1" si="102"/>
        <v>32.977925453272746</v>
      </c>
      <c r="L930">
        <f t="shared" ca="1" si="103"/>
        <v>26.047246975844342</v>
      </c>
      <c r="M930">
        <f t="shared" ca="1" si="104"/>
        <v>9.3084317054389416</v>
      </c>
      <c r="N930">
        <f t="shared" ca="1" si="105"/>
        <v>9.5125862145585458</v>
      </c>
    </row>
    <row r="931" spans="6:14" x14ac:dyDescent="0.75">
      <c r="F931">
        <v>926</v>
      </c>
      <c r="G931">
        <f t="shared" ca="1" si="99"/>
        <v>-1.5648383142647821</v>
      </c>
      <c r="H931">
        <f t="shared" ca="1" si="99"/>
        <v>0.26611990610389896</v>
      </c>
      <c r="I931">
        <f t="shared" ca="1" si="100"/>
        <v>-1.5648383142647821</v>
      </c>
      <c r="J931">
        <f t="shared" ca="1" si="101"/>
        <v>-0.99760696307989249</v>
      </c>
      <c r="K931">
        <f t="shared" ca="1" si="102"/>
        <v>12.036120608090561</v>
      </c>
      <c r="L931">
        <f t="shared" ca="1" si="103"/>
        <v>15.410984475440729</v>
      </c>
      <c r="M931">
        <f t="shared" ca="1" si="104"/>
        <v>0</v>
      </c>
      <c r="N931">
        <f t="shared" ca="1" si="105"/>
        <v>0</v>
      </c>
    </row>
    <row r="932" spans="6:14" x14ac:dyDescent="0.75">
      <c r="F932">
        <v>927</v>
      </c>
      <c r="G932">
        <f t="shared" ca="1" si="99"/>
        <v>-0.86392704295872391</v>
      </c>
      <c r="H932">
        <f t="shared" ca="1" si="99"/>
        <v>1.9416035443407347</v>
      </c>
      <c r="I932">
        <f t="shared" ca="1" si="100"/>
        <v>-0.86392704295872391</v>
      </c>
      <c r="J932">
        <f t="shared" ca="1" si="101"/>
        <v>0.63630474853274588</v>
      </c>
      <c r="K932">
        <f t="shared" ca="1" si="102"/>
        <v>14.341249957338626</v>
      </c>
      <c r="L932">
        <f t="shared" ca="1" si="103"/>
        <v>23.186227512326131</v>
      </c>
      <c r="M932">
        <f t="shared" ca="1" si="104"/>
        <v>0</v>
      </c>
      <c r="N932">
        <f t="shared" ca="1" si="105"/>
        <v>0</v>
      </c>
    </row>
    <row r="933" spans="6:14" x14ac:dyDescent="0.75">
      <c r="F933">
        <v>928</v>
      </c>
      <c r="G933">
        <f t="shared" ca="1" si="99"/>
        <v>-0.14671607249642635</v>
      </c>
      <c r="H933">
        <f t="shared" ca="1" si="99"/>
        <v>-1.8980112007589698</v>
      </c>
      <c r="I933">
        <f t="shared" ca="1" si="100"/>
        <v>-0.14671607249642635</v>
      </c>
      <c r="J933">
        <f t="shared" ca="1" si="101"/>
        <v>-1.3654534600781503</v>
      </c>
      <c r="K933">
        <f t="shared" ca="1" si="102"/>
        <v>17.157626004652073</v>
      </c>
      <c r="L933">
        <f t="shared" ca="1" si="103"/>
        <v>14.05697773632771</v>
      </c>
      <c r="M933">
        <f t="shared" ca="1" si="104"/>
        <v>0</v>
      </c>
      <c r="N933">
        <f t="shared" ca="1" si="105"/>
        <v>0</v>
      </c>
    </row>
    <row r="934" spans="6:14" x14ac:dyDescent="0.75">
      <c r="F934">
        <v>929</v>
      </c>
      <c r="G934">
        <f t="shared" ca="1" si="99"/>
        <v>-0.53297167011253288</v>
      </c>
      <c r="H934">
        <f t="shared" ca="1" si="99"/>
        <v>0.12824365560201423</v>
      </c>
      <c r="I934">
        <f t="shared" ca="1" si="100"/>
        <v>-0.53297167011253288</v>
      </c>
      <c r="J934">
        <f t="shared" ca="1" si="101"/>
        <v>-0.31490354759821343</v>
      </c>
      <c r="K934">
        <f t="shared" ca="1" si="102"/>
        <v>15.578298755727879</v>
      </c>
      <c r="L934">
        <f t="shared" ca="1" si="103"/>
        <v>18.279064465028018</v>
      </c>
      <c r="M934">
        <f t="shared" ca="1" si="104"/>
        <v>0</v>
      </c>
      <c r="N934">
        <f t="shared" ca="1" si="105"/>
        <v>0</v>
      </c>
    </row>
    <row r="935" spans="6:14" x14ac:dyDescent="0.75">
      <c r="F935">
        <v>930</v>
      </c>
      <c r="G935">
        <f t="shared" ref="G935:H966" ca="1" si="106">NORMSINV(RAND())</f>
        <v>-0.9107314044077689</v>
      </c>
      <c r="H935">
        <f t="shared" ca="1" si="106"/>
        <v>0.31179886794932726</v>
      </c>
      <c r="I935">
        <f t="shared" ca="1" si="100"/>
        <v>-0.9107314044077689</v>
      </c>
      <c r="J935">
        <f t="shared" ca="1" si="101"/>
        <v>-0.47681298738947975</v>
      </c>
      <c r="K935">
        <f t="shared" ca="1" si="102"/>
        <v>14.174419647412982</v>
      </c>
      <c r="L935">
        <f t="shared" ca="1" si="103"/>
        <v>17.55395054231882</v>
      </c>
      <c r="M935">
        <f t="shared" ca="1" si="104"/>
        <v>0</v>
      </c>
      <c r="N935">
        <f t="shared" ca="1" si="105"/>
        <v>0</v>
      </c>
    </row>
    <row r="936" spans="6:14" x14ac:dyDescent="0.75">
      <c r="F936">
        <v>931</v>
      </c>
      <c r="G936">
        <f t="shared" ca="1" si="106"/>
        <v>-1.5076520063621486</v>
      </c>
      <c r="H936">
        <f t="shared" ca="1" si="106"/>
        <v>0.25224368624494142</v>
      </c>
      <c r="I936">
        <f t="shared" ca="1" si="100"/>
        <v>-1.5076520063621486</v>
      </c>
      <c r="J936">
        <f t="shared" ca="1" si="101"/>
        <v>-0.96389548887403176</v>
      </c>
      <c r="K936">
        <f t="shared" ca="1" si="102"/>
        <v>12.209431859733005</v>
      </c>
      <c r="L936">
        <f t="shared" ca="1" si="103"/>
        <v>15.541415080818657</v>
      </c>
      <c r="M936">
        <f t="shared" ca="1" si="104"/>
        <v>0</v>
      </c>
      <c r="N936">
        <f t="shared" ca="1" si="105"/>
        <v>0</v>
      </c>
    </row>
    <row r="937" spans="6:14" x14ac:dyDescent="0.75">
      <c r="F937">
        <v>932</v>
      </c>
      <c r="G937">
        <f t="shared" ca="1" si="106"/>
        <v>-0.60748790067386693</v>
      </c>
      <c r="H937">
        <f t="shared" ca="1" si="106"/>
        <v>-1.0975091578436351</v>
      </c>
      <c r="I937">
        <f t="shared" ca="1" si="100"/>
        <v>-0.60748790067386693</v>
      </c>
      <c r="J937">
        <f t="shared" ca="1" si="101"/>
        <v>-1.1815499988229483</v>
      </c>
      <c r="K937">
        <f t="shared" ca="1" si="102"/>
        <v>15.290776182709488</v>
      </c>
      <c r="L937">
        <f t="shared" ca="1" si="103"/>
        <v>14.718346456140395</v>
      </c>
      <c r="M937">
        <f t="shared" ca="1" si="104"/>
        <v>0</v>
      </c>
      <c r="N937">
        <f t="shared" ca="1" si="105"/>
        <v>0</v>
      </c>
    </row>
    <row r="938" spans="6:14" x14ac:dyDescent="0.75">
      <c r="F938">
        <v>933</v>
      </c>
      <c r="G938">
        <f t="shared" ca="1" si="106"/>
        <v>-0.42874861361898997</v>
      </c>
      <c r="H938">
        <f t="shared" ca="1" si="106"/>
        <v>-1.4591259345830438</v>
      </c>
      <c r="I938">
        <f t="shared" ca="1" si="100"/>
        <v>-0.42874861361898997</v>
      </c>
      <c r="J938">
        <f t="shared" ca="1" si="101"/>
        <v>-1.286682548822101</v>
      </c>
      <c r="K938">
        <f t="shared" ca="1" si="102"/>
        <v>15.989537538240189</v>
      </c>
      <c r="L938">
        <f t="shared" ca="1" si="103"/>
        <v>14.336541625972696</v>
      </c>
      <c r="M938">
        <f t="shared" ca="1" si="104"/>
        <v>0</v>
      </c>
      <c r="N938">
        <f t="shared" ca="1" si="105"/>
        <v>0</v>
      </c>
    </row>
    <row r="939" spans="6:14" x14ac:dyDescent="0.75">
      <c r="F939">
        <v>934</v>
      </c>
      <c r="G939">
        <f t="shared" ca="1" si="106"/>
        <v>0.56540256494572805</v>
      </c>
      <c r="H939">
        <f t="shared" ca="1" si="106"/>
        <v>-1.7014512077933555</v>
      </c>
      <c r="I939">
        <f t="shared" ca="1" si="100"/>
        <v>0.56540256494572805</v>
      </c>
      <c r="J939">
        <f t="shared" ca="1" si="101"/>
        <v>-0.70135226722362931</v>
      </c>
      <c r="K939">
        <f t="shared" ca="1" si="102"/>
        <v>20.500974039398379</v>
      </c>
      <c r="L939">
        <f t="shared" ca="1" si="103"/>
        <v>16.595709643528767</v>
      </c>
      <c r="M939">
        <f t="shared" ca="1" si="104"/>
        <v>0</v>
      </c>
      <c r="N939">
        <f t="shared" ca="1" si="105"/>
        <v>0</v>
      </c>
    </row>
    <row r="940" spans="6:14" x14ac:dyDescent="0.75">
      <c r="F940">
        <v>935</v>
      </c>
      <c r="G940">
        <f t="shared" ca="1" si="106"/>
        <v>0.21846694715429754</v>
      </c>
      <c r="H940">
        <f t="shared" ca="1" si="106"/>
        <v>0.66934583217486954</v>
      </c>
      <c r="I940">
        <f t="shared" ca="1" si="100"/>
        <v>0.21846694715429754</v>
      </c>
      <c r="J940">
        <f t="shared" ca="1" si="101"/>
        <v>0.60658086362379326</v>
      </c>
      <c r="K940">
        <f t="shared" ca="1" si="102"/>
        <v>18.797774678872067</v>
      </c>
      <c r="L940">
        <f t="shared" ca="1" si="103"/>
        <v>23.014569904088546</v>
      </c>
      <c r="M940">
        <f t="shared" ca="1" si="104"/>
        <v>0.79958411575113075</v>
      </c>
      <c r="N940">
        <f t="shared" ca="1" si="105"/>
        <v>0.90617229148030631</v>
      </c>
    </row>
    <row r="941" spans="6:14" x14ac:dyDescent="0.75">
      <c r="F941">
        <v>936</v>
      </c>
      <c r="G941">
        <f t="shared" ca="1" si="106"/>
        <v>-0.32692407846031485</v>
      </c>
      <c r="H941">
        <f t="shared" ca="1" si="106"/>
        <v>0.87293080478844043</v>
      </c>
      <c r="I941">
        <f t="shared" ca="1" si="100"/>
        <v>-0.32692407846031485</v>
      </c>
      <c r="J941">
        <f t="shared" ca="1" si="101"/>
        <v>0.33219639646418497</v>
      </c>
      <c r="K941">
        <f t="shared" ca="1" si="102"/>
        <v>16.401794314745629</v>
      </c>
      <c r="L941">
        <f t="shared" ca="1" si="103"/>
        <v>21.488789330819284</v>
      </c>
      <c r="M941">
        <f t="shared" ca="1" si="104"/>
        <v>0</v>
      </c>
      <c r="N941">
        <f t="shared" ca="1" si="105"/>
        <v>0</v>
      </c>
    </row>
    <row r="942" spans="6:14" x14ac:dyDescent="0.75">
      <c r="F942">
        <v>937</v>
      </c>
      <c r="G942">
        <f t="shared" ca="1" si="106"/>
        <v>-0.7410097735263883</v>
      </c>
      <c r="H942">
        <f t="shared" ca="1" si="106"/>
        <v>0.42183782770456896</v>
      </c>
      <c r="I942">
        <f t="shared" ca="1" si="100"/>
        <v>-0.7410097735263883</v>
      </c>
      <c r="J942">
        <f t="shared" ca="1" si="101"/>
        <v>-0.27673783371829069</v>
      </c>
      <c r="K942">
        <f t="shared" ca="1" si="102"/>
        <v>14.788787828618398</v>
      </c>
      <c r="L942">
        <f t="shared" ca="1" si="103"/>
        <v>18.454307556337326</v>
      </c>
      <c r="M942">
        <f t="shared" ca="1" si="104"/>
        <v>0</v>
      </c>
      <c r="N942">
        <f t="shared" ca="1" si="105"/>
        <v>0</v>
      </c>
    </row>
    <row r="943" spans="6:14" x14ac:dyDescent="0.75">
      <c r="F943">
        <v>938</v>
      </c>
      <c r="G943">
        <f t="shared" ca="1" si="106"/>
        <v>-1.8512565951447153</v>
      </c>
      <c r="H943">
        <f t="shared" ca="1" si="106"/>
        <v>2.4484966441292175</v>
      </c>
      <c r="I943">
        <f t="shared" ca="1" si="100"/>
        <v>-1.8512565951447153</v>
      </c>
      <c r="J943">
        <f t="shared" ca="1" si="101"/>
        <v>0.23108585522699543</v>
      </c>
      <c r="K943">
        <f t="shared" ca="1" si="102"/>
        <v>11.204411773749285</v>
      </c>
      <c r="L943">
        <f t="shared" ca="1" si="103"/>
        <v>20.952411295051334</v>
      </c>
      <c r="M943">
        <f t="shared" ca="1" si="104"/>
        <v>0</v>
      </c>
      <c r="N943">
        <f t="shared" ca="1" si="105"/>
        <v>0</v>
      </c>
    </row>
    <row r="944" spans="6:14" x14ac:dyDescent="0.75">
      <c r="F944">
        <v>939</v>
      </c>
      <c r="G944">
        <f t="shared" ca="1" si="106"/>
        <v>-0.2029284875163527</v>
      </c>
      <c r="H944">
        <f t="shared" ca="1" si="106"/>
        <v>-1.53408136782923</v>
      </c>
      <c r="I944">
        <f t="shared" ca="1" si="100"/>
        <v>-0.2029284875163527</v>
      </c>
      <c r="J944">
        <f t="shared" ca="1" si="101"/>
        <v>-1.166895813190751</v>
      </c>
      <c r="K944">
        <f t="shared" ca="1" si="102"/>
        <v>16.918194425061401</v>
      </c>
      <c r="L944">
        <f t="shared" ca="1" si="103"/>
        <v>14.772366693836403</v>
      </c>
      <c r="M944">
        <f t="shared" ca="1" si="104"/>
        <v>0</v>
      </c>
      <c r="N944">
        <f t="shared" ca="1" si="105"/>
        <v>0</v>
      </c>
    </row>
    <row r="945" spans="6:14" x14ac:dyDescent="0.75">
      <c r="F945">
        <v>940</v>
      </c>
      <c r="G945">
        <f t="shared" ca="1" si="106"/>
        <v>7.6561846976356041E-2</v>
      </c>
      <c r="H945">
        <f t="shared" ca="1" si="106"/>
        <v>-1.219333647041341</v>
      </c>
      <c r="I945">
        <f t="shared" ca="1" si="100"/>
        <v>7.6561846976356041E-2</v>
      </c>
      <c r="J945">
        <f t="shared" ca="1" si="101"/>
        <v>-0.74909201358893218</v>
      </c>
      <c r="K945">
        <f t="shared" ca="1" si="102"/>
        <v>18.142590122550104</v>
      </c>
      <c r="L945">
        <f t="shared" ca="1" si="103"/>
        <v>16.398818181940502</v>
      </c>
      <c r="M945">
        <f t="shared" ca="1" si="104"/>
        <v>0</v>
      </c>
      <c r="N945">
        <f t="shared" ca="1" si="105"/>
        <v>0</v>
      </c>
    </row>
    <row r="946" spans="6:14" x14ac:dyDescent="0.75">
      <c r="F946">
        <v>941</v>
      </c>
      <c r="G946">
        <f t="shared" ca="1" si="106"/>
        <v>-1.0027069546878102</v>
      </c>
      <c r="H946">
        <f t="shared" ca="1" si="106"/>
        <v>-2.0492390999183216</v>
      </c>
      <c r="I946">
        <f t="shared" ca="1" si="100"/>
        <v>-1.0027069546878102</v>
      </c>
      <c r="J946">
        <f t="shared" ca="1" si="101"/>
        <v>-2.1074744748392877</v>
      </c>
      <c r="K946">
        <f t="shared" ca="1" si="102"/>
        <v>13.852213221100294</v>
      </c>
      <c r="L946">
        <f t="shared" ca="1" si="103"/>
        <v>11.676913120530855</v>
      </c>
      <c r="M946">
        <f t="shared" ca="1" si="104"/>
        <v>0</v>
      </c>
      <c r="N946">
        <f t="shared" ca="1" si="105"/>
        <v>0</v>
      </c>
    </row>
    <row r="947" spans="6:14" x14ac:dyDescent="0.75">
      <c r="F947">
        <v>942</v>
      </c>
      <c r="G947">
        <f t="shared" ca="1" si="106"/>
        <v>0.41003763992607378</v>
      </c>
      <c r="H947">
        <f t="shared" ca="1" si="106"/>
        <v>-0.53052932204249548</v>
      </c>
      <c r="I947">
        <f t="shared" ca="1" si="100"/>
        <v>0.41003763992607378</v>
      </c>
      <c r="J947">
        <f t="shared" ca="1" si="101"/>
        <v>-4.3383932393479929E-2</v>
      </c>
      <c r="K947">
        <f t="shared" ca="1" si="102"/>
        <v>19.719956984873896</v>
      </c>
      <c r="L947">
        <f t="shared" ca="1" si="103"/>
        <v>19.562926900569988</v>
      </c>
      <c r="M947">
        <f t="shared" ca="1" si="104"/>
        <v>0</v>
      </c>
      <c r="N947">
        <f t="shared" ca="1" si="105"/>
        <v>0</v>
      </c>
    </row>
    <row r="948" spans="6:14" x14ac:dyDescent="0.75">
      <c r="F948">
        <v>943</v>
      </c>
      <c r="G948">
        <f t="shared" ca="1" si="106"/>
        <v>-7.0670691065974442E-2</v>
      </c>
      <c r="H948">
        <f t="shared" ca="1" si="106"/>
        <v>-5.3683591083657022E-2</v>
      </c>
      <c r="I948">
        <f t="shared" ca="1" si="100"/>
        <v>-7.0670691065974442E-2</v>
      </c>
      <c r="J948">
        <f t="shared" ca="1" si="101"/>
        <v>-8.8511376172541067E-2</v>
      </c>
      <c r="K948">
        <f t="shared" ca="1" si="102"/>
        <v>17.486935952198717</v>
      </c>
      <c r="L948">
        <f t="shared" ca="1" si="103"/>
        <v>19.343460999299065</v>
      </c>
      <c r="M948">
        <f t="shared" ca="1" si="104"/>
        <v>0</v>
      </c>
      <c r="N948">
        <f t="shared" ca="1" si="105"/>
        <v>0</v>
      </c>
    </row>
    <row r="949" spans="6:14" x14ac:dyDescent="0.75">
      <c r="F949">
        <v>944</v>
      </c>
      <c r="G949">
        <f t="shared" ca="1" si="106"/>
        <v>0.64348925353116893</v>
      </c>
      <c r="H949">
        <f t="shared" ca="1" si="106"/>
        <v>-9.3722639660362025E-2</v>
      </c>
      <c r="I949">
        <f t="shared" ca="1" si="100"/>
        <v>0.64348925353116893</v>
      </c>
      <c r="J949">
        <f t="shared" ca="1" si="101"/>
        <v>0.42062524095891746</v>
      </c>
      <c r="K949">
        <f t="shared" ca="1" si="102"/>
        <v>20.905119294104686</v>
      </c>
      <c r="L949">
        <f t="shared" ca="1" si="103"/>
        <v>21.969136538784767</v>
      </c>
      <c r="M949">
        <f t="shared" ca="1" si="104"/>
        <v>1.4305254282709932</v>
      </c>
      <c r="N949">
        <f t="shared" ca="1" si="105"/>
        <v>1.4371279164447266</v>
      </c>
    </row>
    <row r="950" spans="6:14" x14ac:dyDescent="0.75">
      <c r="F950">
        <v>945</v>
      </c>
      <c r="G950">
        <f t="shared" ca="1" si="106"/>
        <v>0.64526536847331739</v>
      </c>
      <c r="H950">
        <f t="shared" ca="1" si="106"/>
        <v>-0.52852518757052747</v>
      </c>
      <c r="I950">
        <f t="shared" ca="1" si="100"/>
        <v>0.64526536847331739</v>
      </c>
      <c r="J950">
        <f t="shared" ca="1" si="101"/>
        <v>0.13436247436864263</v>
      </c>
      <c r="K950">
        <f t="shared" ca="1" si="102"/>
        <v>20.914403828938681</v>
      </c>
      <c r="L950">
        <f t="shared" ca="1" si="103"/>
        <v>20.451840780335381</v>
      </c>
      <c r="M950">
        <f t="shared" ca="1" si="104"/>
        <v>0.68182915327100702</v>
      </c>
      <c r="N950">
        <f t="shared" ca="1" si="105"/>
        <v>0.68312230463703116</v>
      </c>
    </row>
    <row r="951" spans="6:14" x14ac:dyDescent="0.75">
      <c r="F951">
        <v>946</v>
      </c>
      <c r="G951">
        <f t="shared" ca="1" si="106"/>
        <v>-0.67663753957466888</v>
      </c>
      <c r="H951">
        <f t="shared" ca="1" si="106"/>
        <v>0.68691788254770181</v>
      </c>
      <c r="I951">
        <f t="shared" ca="1" si="100"/>
        <v>-0.67663753957466888</v>
      </c>
      <c r="J951">
        <f t="shared" ca="1" si="101"/>
        <v>-5.312468259492803E-2</v>
      </c>
      <c r="K951">
        <f t="shared" ca="1" si="102"/>
        <v>15.02871001900216</v>
      </c>
      <c r="L951">
        <f t="shared" ca="1" si="103"/>
        <v>19.515345462909096</v>
      </c>
      <c r="M951">
        <f t="shared" ca="1" si="104"/>
        <v>0</v>
      </c>
      <c r="N951">
        <f t="shared" ca="1" si="105"/>
        <v>0</v>
      </c>
    </row>
    <row r="952" spans="6:14" x14ac:dyDescent="0.75">
      <c r="F952">
        <v>947</v>
      </c>
      <c r="G952">
        <f t="shared" ca="1" si="106"/>
        <v>-0.15766343110912734</v>
      </c>
      <c r="H952">
        <f t="shared" ca="1" si="106"/>
        <v>-0.209302376074642</v>
      </c>
      <c r="I952">
        <f t="shared" ca="1" si="100"/>
        <v>-0.15766343110912734</v>
      </c>
      <c r="J952">
        <f t="shared" ca="1" si="101"/>
        <v>-0.25668808230895002</v>
      </c>
      <c r="K952">
        <f t="shared" ca="1" si="102"/>
        <v>17.11073253267546</v>
      </c>
      <c r="L952">
        <f t="shared" ca="1" si="103"/>
        <v>18.547040841829908</v>
      </c>
      <c r="M952">
        <f t="shared" ca="1" si="104"/>
        <v>0</v>
      </c>
      <c r="N952">
        <f t="shared" ca="1" si="105"/>
        <v>0</v>
      </c>
    </row>
    <row r="953" spans="6:14" x14ac:dyDescent="0.75">
      <c r="F953">
        <v>948</v>
      </c>
      <c r="G953">
        <f t="shared" ca="1" si="106"/>
        <v>-3.7820955535614917E-2</v>
      </c>
      <c r="H953">
        <f t="shared" ca="1" si="106"/>
        <v>1.1940393964050597</v>
      </c>
      <c r="I953">
        <f t="shared" ca="1" si="100"/>
        <v>-3.7820955535614917E-2</v>
      </c>
      <c r="J953">
        <f t="shared" ca="1" si="101"/>
        <v>0.7614171079736537</v>
      </c>
      <c r="K953">
        <f t="shared" ca="1" si="102"/>
        <v>17.631137570180861</v>
      </c>
      <c r="L953">
        <f t="shared" ca="1" si="103"/>
        <v>23.922909362359036</v>
      </c>
      <c r="M953">
        <f t="shared" ca="1" si="104"/>
        <v>0.5374805184745064</v>
      </c>
      <c r="N953">
        <f t="shared" ca="1" si="105"/>
        <v>0.77702346626994867</v>
      </c>
    </row>
    <row r="954" spans="6:14" x14ac:dyDescent="0.75">
      <c r="F954">
        <v>949</v>
      </c>
      <c r="G954">
        <f t="shared" ca="1" si="106"/>
        <v>-1.3905238720039281</v>
      </c>
      <c r="H954">
        <f t="shared" ca="1" si="106"/>
        <v>0.19903340704974651</v>
      </c>
      <c r="I954">
        <f t="shared" ca="1" si="100"/>
        <v>-1.3905238720039281</v>
      </c>
      <c r="J954">
        <f t="shared" ca="1" si="101"/>
        <v>-0.91124467959106625</v>
      </c>
      <c r="K954">
        <f t="shared" ca="1" si="102"/>
        <v>12.572234733498721</v>
      </c>
      <c r="L954">
        <f t="shared" ca="1" si="103"/>
        <v>15.747334355159213</v>
      </c>
      <c r="M954">
        <f t="shared" ca="1" si="104"/>
        <v>0</v>
      </c>
      <c r="N954">
        <f t="shared" ca="1" si="105"/>
        <v>0</v>
      </c>
    </row>
    <row r="955" spans="6:14" x14ac:dyDescent="0.75">
      <c r="F955">
        <v>950</v>
      </c>
      <c r="G955">
        <f t="shared" ca="1" si="106"/>
        <v>-0.80678601340924705</v>
      </c>
      <c r="H955">
        <f t="shared" ca="1" si="106"/>
        <v>-1.0475061290416563</v>
      </c>
      <c r="I955">
        <f t="shared" ca="1" si="100"/>
        <v>-0.80678601340924705</v>
      </c>
      <c r="J955">
        <f t="shared" ca="1" si="101"/>
        <v>-1.2979496886219746</v>
      </c>
      <c r="K955">
        <f t="shared" ca="1" si="102"/>
        <v>14.547588696307553</v>
      </c>
      <c r="L955">
        <f t="shared" ca="1" si="103"/>
        <v>14.296215492971548</v>
      </c>
      <c r="M955">
        <f t="shared" ca="1" si="104"/>
        <v>0</v>
      </c>
      <c r="N955">
        <f t="shared" ca="1" si="105"/>
        <v>0</v>
      </c>
    </row>
    <row r="956" spans="6:14" x14ac:dyDescent="0.75">
      <c r="F956">
        <v>951</v>
      </c>
      <c r="G956">
        <f t="shared" ca="1" si="106"/>
        <v>-0.54129577043099009</v>
      </c>
      <c r="H956">
        <f t="shared" ca="1" si="106"/>
        <v>1.7255816919820612</v>
      </c>
      <c r="I956">
        <f t="shared" ca="1" si="100"/>
        <v>-0.54129577043099009</v>
      </c>
      <c r="J956">
        <f t="shared" ca="1" si="101"/>
        <v>0.73539317815440575</v>
      </c>
      <c r="K956">
        <f t="shared" ca="1" si="102"/>
        <v>15.545913634132035</v>
      </c>
      <c r="L956">
        <f t="shared" ca="1" si="103"/>
        <v>23.76777253971898</v>
      </c>
      <c r="M956">
        <f t="shared" ca="1" si="104"/>
        <v>0</v>
      </c>
      <c r="N956">
        <f t="shared" ca="1" si="105"/>
        <v>0</v>
      </c>
    </row>
    <row r="957" spans="6:14" x14ac:dyDescent="0.75">
      <c r="F957">
        <v>952</v>
      </c>
      <c r="G957">
        <f t="shared" ca="1" si="106"/>
        <v>0.64138570031633768</v>
      </c>
      <c r="H957">
        <f t="shared" ca="1" si="106"/>
        <v>0.60557421127501931</v>
      </c>
      <c r="I957">
        <f t="shared" ca="1" si="100"/>
        <v>0.64138570031633768</v>
      </c>
      <c r="J957">
        <f t="shared" ca="1" si="101"/>
        <v>0.88158896609420023</v>
      </c>
      <c r="K957">
        <f t="shared" ca="1" si="102"/>
        <v>20.894128426617925</v>
      </c>
      <c r="L957">
        <f t="shared" ca="1" si="103"/>
        <v>24.652529579398607</v>
      </c>
      <c r="M957">
        <f t="shared" ca="1" si="104"/>
        <v>2.6956630013963618</v>
      </c>
      <c r="N957">
        <f t="shared" ca="1" si="105"/>
        <v>2.7733290030082642</v>
      </c>
    </row>
    <row r="958" spans="6:14" x14ac:dyDescent="0.75">
      <c r="F958">
        <v>953</v>
      </c>
      <c r="G958">
        <f t="shared" ca="1" si="106"/>
        <v>-2.5640365356981123</v>
      </c>
      <c r="H958">
        <f t="shared" ca="1" si="106"/>
        <v>1.5748261151881844</v>
      </c>
      <c r="I958">
        <f t="shared" ca="1" si="100"/>
        <v>-2.5640365356981123</v>
      </c>
      <c r="J958">
        <f t="shared" ca="1" si="101"/>
        <v>-0.88137783703411055</v>
      </c>
      <c r="K958">
        <f t="shared" ca="1" si="102"/>
        <v>9.3756192590311045</v>
      </c>
      <c r="L958">
        <f t="shared" ca="1" si="103"/>
        <v>15.865355209591154</v>
      </c>
      <c r="M958">
        <f t="shared" ca="1" si="104"/>
        <v>0</v>
      </c>
      <c r="N958">
        <f t="shared" ca="1" si="105"/>
        <v>0</v>
      </c>
    </row>
    <row r="959" spans="6:14" x14ac:dyDescent="0.75">
      <c r="F959">
        <v>954</v>
      </c>
      <c r="G959">
        <f t="shared" ca="1" si="106"/>
        <v>1.2079811283766269</v>
      </c>
      <c r="H959">
        <f t="shared" ca="1" si="106"/>
        <v>-8.7566364245606682E-2</v>
      </c>
      <c r="I959">
        <f t="shared" ca="1" si="100"/>
        <v>1.2079811283766269</v>
      </c>
      <c r="J959">
        <f t="shared" ca="1" si="101"/>
        <v>0.8480661405304768</v>
      </c>
      <c r="K959">
        <f t="shared" ca="1" si="102"/>
        <v>24.073629745516364</v>
      </c>
      <c r="L959">
        <f t="shared" ca="1" si="103"/>
        <v>24.446787304212435</v>
      </c>
      <c r="M959">
        <f t="shared" ca="1" si="104"/>
        <v>4.259491050494038</v>
      </c>
      <c r="N959">
        <f t="shared" ca="1" si="105"/>
        <v>4.2602085248643995</v>
      </c>
    </row>
    <row r="960" spans="6:14" x14ac:dyDescent="0.75">
      <c r="F960">
        <v>955</v>
      </c>
      <c r="G960">
        <f t="shared" ca="1" si="106"/>
        <v>-0.85805291710201836</v>
      </c>
      <c r="H960">
        <f t="shared" ca="1" si="106"/>
        <v>-1.1718479403627118</v>
      </c>
      <c r="I960">
        <f t="shared" ca="1" si="100"/>
        <v>-0.85805291710201836</v>
      </c>
      <c r="J960">
        <f t="shared" ca="1" si="101"/>
        <v>-1.4186442439722602</v>
      </c>
      <c r="K960">
        <f t="shared" ca="1" si="102"/>
        <v>14.362326005769036</v>
      </c>
      <c r="L960">
        <f t="shared" ca="1" si="103"/>
        <v>13.871289668062756</v>
      </c>
      <c r="M960">
        <f t="shared" ca="1" si="104"/>
        <v>0</v>
      </c>
      <c r="N960">
        <f t="shared" ca="1" si="105"/>
        <v>0</v>
      </c>
    </row>
    <row r="961" spans="6:14" x14ac:dyDescent="0.75">
      <c r="F961">
        <v>956</v>
      </c>
      <c r="G961">
        <f t="shared" ca="1" si="106"/>
        <v>0.46383951506374044</v>
      </c>
      <c r="H961">
        <f t="shared" ca="1" si="106"/>
        <v>-9.7200701006213031E-2</v>
      </c>
      <c r="I961">
        <f t="shared" ca="1" si="100"/>
        <v>0.46383951506374044</v>
      </c>
      <c r="J961">
        <f t="shared" ca="1" si="101"/>
        <v>0.28358741576690899</v>
      </c>
      <c r="K961">
        <f t="shared" ca="1" si="102"/>
        <v>19.986991494527864</v>
      </c>
      <c r="L961">
        <f t="shared" ca="1" si="103"/>
        <v>21.229232587171541</v>
      </c>
      <c r="M961">
        <f t="shared" ca="1" si="104"/>
        <v>0.59874974737912012</v>
      </c>
      <c r="N961">
        <f t="shared" ca="1" si="105"/>
        <v>0.60811204084970427</v>
      </c>
    </row>
    <row r="962" spans="6:14" x14ac:dyDescent="0.75">
      <c r="F962">
        <v>957</v>
      </c>
      <c r="G962">
        <f t="shared" ca="1" si="106"/>
        <v>-1.1422202868881122</v>
      </c>
      <c r="H962">
        <f t="shared" ca="1" si="106"/>
        <v>-1.67539484160746</v>
      </c>
      <c r="I962">
        <f t="shared" ca="1" si="100"/>
        <v>-1.1422202868881122</v>
      </c>
      <c r="J962">
        <f t="shared" ca="1" si="101"/>
        <v>-1.9648347398495314</v>
      </c>
      <c r="K962">
        <f t="shared" ca="1" si="102"/>
        <v>13.377399601848809</v>
      </c>
      <c r="L962">
        <f t="shared" ca="1" si="103"/>
        <v>12.100824473553686</v>
      </c>
      <c r="M962">
        <f t="shared" ca="1" si="104"/>
        <v>0</v>
      </c>
      <c r="N962">
        <f t="shared" ca="1" si="105"/>
        <v>0</v>
      </c>
    </row>
    <row r="963" spans="6:14" x14ac:dyDescent="0.75">
      <c r="F963">
        <v>958</v>
      </c>
      <c r="G963">
        <f t="shared" ca="1" si="106"/>
        <v>0.10067101701858083</v>
      </c>
      <c r="H963">
        <f t="shared" ca="1" si="106"/>
        <v>-0.92596795291127632</v>
      </c>
      <c r="I963">
        <f t="shared" ca="1" si="100"/>
        <v>0.10067101701858083</v>
      </c>
      <c r="J963">
        <f t="shared" ca="1" si="101"/>
        <v>-0.53696696859076554</v>
      </c>
      <c r="K963">
        <f t="shared" ca="1" si="102"/>
        <v>18.252271027523605</v>
      </c>
      <c r="L963">
        <f t="shared" ca="1" si="103"/>
        <v>17.291940595181046</v>
      </c>
      <c r="M963">
        <f t="shared" ca="1" si="104"/>
        <v>0</v>
      </c>
      <c r="N963">
        <f t="shared" ca="1" si="105"/>
        <v>0</v>
      </c>
    </row>
    <row r="964" spans="6:14" x14ac:dyDescent="0.75">
      <c r="F964">
        <v>959</v>
      </c>
      <c r="G964">
        <f t="shared" ca="1" si="106"/>
        <v>0.73415133080535255</v>
      </c>
      <c r="H964">
        <f t="shared" ca="1" si="106"/>
        <v>-0.23380693481486772</v>
      </c>
      <c r="I964">
        <f t="shared" ca="1" si="100"/>
        <v>0.73415133080535255</v>
      </c>
      <c r="J964">
        <f t="shared" ca="1" si="101"/>
        <v>0.395964747023407</v>
      </c>
      <c r="K964">
        <f t="shared" ca="1" si="102"/>
        <v>21.384355228845241</v>
      </c>
      <c r="L964">
        <f t="shared" ca="1" si="103"/>
        <v>21.834110752192728</v>
      </c>
      <c r="M964">
        <f t="shared" ca="1" si="104"/>
        <v>1.6080628569716708</v>
      </c>
      <c r="N964">
        <f t="shared" ca="1" si="105"/>
        <v>1.6092329905189828</v>
      </c>
    </row>
    <row r="965" spans="6:14" x14ac:dyDescent="0.75">
      <c r="F965">
        <v>960</v>
      </c>
      <c r="G965">
        <f t="shared" ca="1" si="106"/>
        <v>0.3692677653736483</v>
      </c>
      <c r="H965">
        <f t="shared" ca="1" si="106"/>
        <v>1.0392654966404795</v>
      </c>
      <c r="I965">
        <f t="shared" ca="1" si="100"/>
        <v>0.3692677653736483</v>
      </c>
      <c r="J965">
        <f t="shared" ca="1" si="101"/>
        <v>0.96436033660042164</v>
      </c>
      <c r="K965">
        <f t="shared" ca="1" si="102"/>
        <v>19.519982788337973</v>
      </c>
      <c r="L965">
        <f t="shared" ca="1" si="103"/>
        <v>25.167975118629869</v>
      </c>
      <c r="M965">
        <f t="shared" ca="1" si="104"/>
        <v>2.1648018518770762</v>
      </c>
      <c r="N965">
        <f t="shared" ca="1" si="105"/>
        <v>2.3439789534839193</v>
      </c>
    </row>
    <row r="966" spans="6:14" x14ac:dyDescent="0.75">
      <c r="F966">
        <v>961</v>
      </c>
      <c r="G966">
        <f t="shared" ca="1" si="106"/>
        <v>1.8846009656668581</v>
      </c>
      <c r="H966">
        <f t="shared" ca="1" si="106"/>
        <v>-0.52012472688867717</v>
      </c>
      <c r="I966">
        <f t="shared" ca="1" si="100"/>
        <v>1.8846009656668581</v>
      </c>
      <c r="J966">
        <f t="shared" ca="1" si="101"/>
        <v>1.069420554729436</v>
      </c>
      <c r="K966">
        <f t="shared" ca="1" si="102"/>
        <v>28.51048742219696</v>
      </c>
      <c r="L966">
        <f t="shared" ca="1" si="103"/>
        <v>25.837770965186255</v>
      </c>
      <c r="M966">
        <f t="shared" ca="1" si="104"/>
        <v>7.141249862903301</v>
      </c>
      <c r="N966">
        <f t="shared" ca="1" si="105"/>
        <v>7.1741291936916056</v>
      </c>
    </row>
    <row r="967" spans="6:14" x14ac:dyDescent="0.75">
      <c r="F967">
        <v>962</v>
      </c>
      <c r="G967">
        <f t="shared" ref="G967:H1005" ca="1" si="107">NORMSINV(RAND())</f>
        <v>0.52275255419534894</v>
      </c>
      <c r="H967">
        <f t="shared" ca="1" si="107"/>
        <v>-2.9604787933104859</v>
      </c>
      <c r="I967">
        <f t="shared" ref="I967:I1005" ca="1" si="108">G967</f>
        <v>0.52275255419534894</v>
      </c>
      <c r="J967">
        <f t="shared" ref="J967:J1005" ca="1" si="109">G967*$C$8+SQRT(1-$C$8^2)*H967</f>
        <v>-1.5661082465485223</v>
      </c>
      <c r="K967">
        <f t="shared" ref="K967:K1005" ca="1" si="110">C$3*EXP(($C$5-0.5*C$4^2)*$C$6+C$4*SQRT($C$6)*I967)</f>
        <v>20.283543584957087</v>
      </c>
      <c r="L967">
        <f t="shared" ref="L967:L1005" ca="1" si="111">D$3*EXP(($C$5-0.5*D$4^2)*$C$6+D$4*SQRT($C$6)*J967)</f>
        <v>13.369222166763301</v>
      </c>
      <c r="M967">
        <f t="shared" ref="M967:M1005" ca="1" si="112">MAX(SQRT(K967*L967)-$C$7,0)</f>
        <v>0</v>
      </c>
      <c r="N967">
        <f t="shared" ref="N967:N1005" ca="1" si="113">MAX((K967+L967)*0.5-$C$7,0)</f>
        <v>0</v>
      </c>
    </row>
    <row r="968" spans="6:14" x14ac:dyDescent="0.75">
      <c r="F968">
        <v>963</v>
      </c>
      <c r="G968">
        <f t="shared" ca="1" si="107"/>
        <v>-0.52498146512784183</v>
      </c>
      <c r="H968">
        <f t="shared" ca="1" si="107"/>
        <v>-1.5361495419155564</v>
      </c>
      <c r="I968">
        <f t="shared" ca="1" si="108"/>
        <v>-0.52498146512784183</v>
      </c>
      <c r="J968">
        <f t="shared" ca="1" si="109"/>
        <v>-1.4098035149744699</v>
      </c>
      <c r="K968">
        <f t="shared" ca="1" si="110"/>
        <v>15.609448306875219</v>
      </c>
      <c r="L968">
        <f t="shared" ca="1" si="111"/>
        <v>13.901981651208278</v>
      </c>
      <c r="M968">
        <f t="shared" ca="1" si="112"/>
        <v>0</v>
      </c>
      <c r="N968">
        <f t="shared" ca="1" si="113"/>
        <v>0</v>
      </c>
    </row>
    <row r="969" spans="6:14" x14ac:dyDescent="0.75">
      <c r="F969">
        <v>964</v>
      </c>
      <c r="G969">
        <f t="shared" ca="1" si="107"/>
        <v>-0.17316611524039235</v>
      </c>
      <c r="H969">
        <f t="shared" ca="1" si="107"/>
        <v>-1.8584411627556661</v>
      </c>
      <c r="I969">
        <f t="shared" ca="1" si="108"/>
        <v>-0.17316611524039235</v>
      </c>
      <c r="J969">
        <f t="shared" ca="1" si="109"/>
        <v>-1.3591178721545956</v>
      </c>
      <c r="K969">
        <f t="shared" ca="1" si="110"/>
        <v>17.044545305057596</v>
      </c>
      <c r="L969">
        <f t="shared" ca="1" si="111"/>
        <v>14.079260182816174</v>
      </c>
      <c r="M969">
        <f t="shared" ca="1" si="112"/>
        <v>0</v>
      </c>
      <c r="N969">
        <f t="shared" ca="1" si="113"/>
        <v>0</v>
      </c>
    </row>
    <row r="970" spans="6:14" x14ac:dyDescent="0.75">
      <c r="F970">
        <v>965</v>
      </c>
      <c r="G970">
        <f t="shared" ca="1" si="107"/>
        <v>-0.45194615800896581</v>
      </c>
      <c r="H970">
        <f t="shared" ca="1" si="107"/>
        <v>1.106487207238068</v>
      </c>
      <c r="I970">
        <f t="shared" ca="1" si="108"/>
        <v>-0.45194615800896581</v>
      </c>
      <c r="J970">
        <f t="shared" ca="1" si="109"/>
        <v>0.39291287629985466</v>
      </c>
      <c r="K970">
        <f t="shared" ca="1" si="110"/>
        <v>15.897076404586459</v>
      </c>
      <c r="L970">
        <f t="shared" ca="1" si="111"/>
        <v>21.817458384764763</v>
      </c>
      <c r="M970">
        <f t="shared" ca="1" si="112"/>
        <v>0</v>
      </c>
      <c r="N970">
        <f t="shared" ca="1" si="113"/>
        <v>0</v>
      </c>
    </row>
    <row r="971" spans="6:14" x14ac:dyDescent="0.75">
      <c r="F971">
        <v>966</v>
      </c>
      <c r="G971">
        <f t="shared" ca="1" si="107"/>
        <v>0.42327921152201858</v>
      </c>
      <c r="H971">
        <f t="shared" ca="1" si="107"/>
        <v>1.3481532599748527</v>
      </c>
      <c r="I971">
        <f t="shared" ca="1" si="108"/>
        <v>0.42327921152201858</v>
      </c>
      <c r="J971">
        <f t="shared" ca="1" si="109"/>
        <v>1.2091789724151312</v>
      </c>
      <c r="K971">
        <f t="shared" ca="1" si="110"/>
        <v>19.785345962333416</v>
      </c>
      <c r="L971">
        <f t="shared" ca="1" si="111"/>
        <v>26.756488820574752</v>
      </c>
      <c r="M971">
        <f t="shared" ca="1" si="112"/>
        <v>3.0083982070107993</v>
      </c>
      <c r="N971">
        <f t="shared" ca="1" si="113"/>
        <v>3.2709173914540841</v>
      </c>
    </row>
    <row r="972" spans="6:14" x14ac:dyDescent="0.75">
      <c r="F972">
        <v>967</v>
      </c>
      <c r="G972">
        <f t="shared" ca="1" si="107"/>
        <v>-0.81937315864567706</v>
      </c>
      <c r="H972">
        <f t="shared" ca="1" si="107"/>
        <v>0.5581730445916725</v>
      </c>
      <c r="I972">
        <f t="shared" ca="1" si="108"/>
        <v>-0.81937315864567706</v>
      </c>
      <c r="J972">
        <f t="shared" ca="1" si="109"/>
        <v>-0.24533310285192483</v>
      </c>
      <c r="K972">
        <f t="shared" ca="1" si="110"/>
        <v>14.50188249490812</v>
      </c>
      <c r="L972">
        <f t="shared" ca="1" si="111"/>
        <v>18.599765959938942</v>
      </c>
      <c r="M972">
        <f t="shared" ca="1" si="112"/>
        <v>0</v>
      </c>
      <c r="N972">
        <f t="shared" ca="1" si="113"/>
        <v>0</v>
      </c>
    </row>
    <row r="973" spans="6:14" x14ac:dyDescent="0.75">
      <c r="F973">
        <v>968</v>
      </c>
      <c r="G973">
        <f t="shared" ca="1" si="107"/>
        <v>0.92838997225257092</v>
      </c>
      <c r="H973">
        <f t="shared" ca="1" si="107"/>
        <v>0.84368845882573285</v>
      </c>
      <c r="I973">
        <f t="shared" ca="1" si="108"/>
        <v>0.92838997225257092</v>
      </c>
      <c r="J973">
        <f t="shared" ca="1" si="109"/>
        <v>1.2543399407064899</v>
      </c>
      <c r="K973">
        <f t="shared" ca="1" si="110"/>
        <v>22.448397952674256</v>
      </c>
      <c r="L973">
        <f t="shared" ca="1" si="111"/>
        <v>27.060287811365086</v>
      </c>
      <c r="M973">
        <f t="shared" ca="1" si="112"/>
        <v>4.6467058550108078</v>
      </c>
      <c r="N973">
        <f t="shared" ca="1" si="113"/>
        <v>4.7543428820196709</v>
      </c>
    </row>
    <row r="974" spans="6:14" x14ac:dyDescent="0.75">
      <c r="F974">
        <v>969</v>
      </c>
      <c r="G974">
        <f t="shared" ca="1" si="107"/>
        <v>1.7469259519409341</v>
      </c>
      <c r="H974">
        <f t="shared" ca="1" si="107"/>
        <v>-1.4139707331160545</v>
      </c>
      <c r="I974">
        <f t="shared" ca="1" si="108"/>
        <v>1.7469259519409341</v>
      </c>
      <c r="J974">
        <f t="shared" ca="1" si="109"/>
        <v>0.37494073371851022</v>
      </c>
      <c r="K974">
        <f t="shared" ca="1" si="110"/>
        <v>27.545887375276109</v>
      </c>
      <c r="L974">
        <f t="shared" ca="1" si="111"/>
        <v>21.719651655649834</v>
      </c>
      <c r="M974">
        <f t="shared" ca="1" si="112"/>
        <v>4.4599075700780091</v>
      </c>
      <c r="N974">
        <f t="shared" ca="1" si="113"/>
        <v>4.6327695154629716</v>
      </c>
    </row>
    <row r="975" spans="6:14" x14ac:dyDescent="0.75">
      <c r="F975">
        <v>970</v>
      </c>
      <c r="G975">
        <f t="shared" ca="1" si="107"/>
        <v>-2.2603839278693743</v>
      </c>
      <c r="H975">
        <f t="shared" ca="1" si="107"/>
        <v>-0.87940993642755894</v>
      </c>
      <c r="I975">
        <f t="shared" ca="1" si="108"/>
        <v>-2.2603839278693743</v>
      </c>
      <c r="J975">
        <f t="shared" ca="1" si="109"/>
        <v>-2.2769629439686412</v>
      </c>
      <c r="K975">
        <f t="shared" ca="1" si="110"/>
        <v>10.115063778402744</v>
      </c>
      <c r="L975">
        <f t="shared" ca="1" si="111"/>
        <v>11.192473433836401</v>
      </c>
      <c r="M975">
        <f t="shared" ca="1" si="112"/>
        <v>0</v>
      </c>
      <c r="N975">
        <f t="shared" ca="1" si="113"/>
        <v>0</v>
      </c>
    </row>
    <row r="976" spans="6:14" x14ac:dyDescent="0.75">
      <c r="F976">
        <v>971</v>
      </c>
      <c r="G976">
        <f t="shared" ca="1" si="107"/>
        <v>-0.3193617038680393</v>
      </c>
      <c r="H976">
        <f t="shared" ca="1" si="107"/>
        <v>-1.6479534307396988</v>
      </c>
      <c r="I976">
        <f t="shared" ca="1" si="108"/>
        <v>-0.3193617038680393</v>
      </c>
      <c r="J976">
        <f t="shared" ca="1" si="109"/>
        <v>-1.3295400153892665</v>
      </c>
      <c r="K976">
        <f t="shared" ca="1" si="110"/>
        <v>16.432832774205991</v>
      </c>
      <c r="L976">
        <f t="shared" ca="1" si="111"/>
        <v>14.183754632181067</v>
      </c>
      <c r="M976">
        <f t="shared" ca="1" si="112"/>
        <v>0</v>
      </c>
      <c r="N976">
        <f t="shared" ca="1" si="113"/>
        <v>0</v>
      </c>
    </row>
    <row r="977" spans="6:14" x14ac:dyDescent="0.75">
      <c r="F977">
        <v>972</v>
      </c>
      <c r="G977">
        <f t="shared" ca="1" si="107"/>
        <v>-0.15730502341980324</v>
      </c>
      <c r="H977">
        <f t="shared" ca="1" si="107"/>
        <v>1.1748056990421774</v>
      </c>
      <c r="I977">
        <f t="shared" ca="1" si="108"/>
        <v>-0.15730502341980324</v>
      </c>
      <c r="J977">
        <f t="shared" ca="1" si="109"/>
        <v>0.65908216205689607</v>
      </c>
      <c r="K977">
        <f t="shared" ca="1" si="110"/>
        <v>17.112265755891727</v>
      </c>
      <c r="L977">
        <f t="shared" ca="1" si="111"/>
        <v>23.318634714271095</v>
      </c>
      <c r="M977">
        <f t="shared" ca="1" si="112"/>
        <v>0</v>
      </c>
      <c r="N977">
        <f t="shared" ca="1" si="113"/>
        <v>0.2154502350814127</v>
      </c>
    </row>
    <row r="978" spans="6:14" x14ac:dyDescent="0.75">
      <c r="F978">
        <v>973</v>
      </c>
      <c r="G978">
        <f t="shared" ca="1" si="107"/>
        <v>-2.5458837238513352</v>
      </c>
      <c r="H978">
        <f t="shared" ca="1" si="107"/>
        <v>1.8704917018880818</v>
      </c>
      <c r="I978">
        <f t="shared" ca="1" si="108"/>
        <v>-2.5458837238513352</v>
      </c>
      <c r="J978">
        <f t="shared" ca="1" si="109"/>
        <v>-0.67219882473704384</v>
      </c>
      <c r="K978">
        <f t="shared" ca="1" si="110"/>
        <v>9.4182644151162407</v>
      </c>
      <c r="L978">
        <f t="shared" ca="1" si="111"/>
        <v>16.717107016712824</v>
      </c>
      <c r="M978">
        <f t="shared" ca="1" si="112"/>
        <v>0</v>
      </c>
      <c r="N978">
        <f t="shared" ca="1" si="113"/>
        <v>0</v>
      </c>
    </row>
    <row r="979" spans="6:14" x14ac:dyDescent="0.75">
      <c r="F979">
        <v>974</v>
      </c>
      <c r="G979">
        <f t="shared" ca="1" si="107"/>
        <v>-1.2335460647786516</v>
      </c>
      <c r="H979">
        <f t="shared" ca="1" si="107"/>
        <v>-0.87904685825640838</v>
      </c>
      <c r="I979">
        <f t="shared" ca="1" si="108"/>
        <v>-1.2335460647786516</v>
      </c>
      <c r="J979">
        <f t="shared" ca="1" si="109"/>
        <v>-1.5065943930137642</v>
      </c>
      <c r="K979">
        <f t="shared" ca="1" si="110"/>
        <v>13.07543451235775</v>
      </c>
      <c r="L979">
        <f t="shared" ca="1" si="111"/>
        <v>13.56962277897081</v>
      </c>
      <c r="M979">
        <f t="shared" ca="1" si="112"/>
        <v>0</v>
      </c>
      <c r="N979">
        <f t="shared" ca="1" si="113"/>
        <v>0</v>
      </c>
    </row>
    <row r="980" spans="6:14" x14ac:dyDescent="0.75">
      <c r="F980">
        <v>975</v>
      </c>
      <c r="G980">
        <f t="shared" ca="1" si="107"/>
        <v>-0.46449911160410229</v>
      </c>
      <c r="H980">
        <f t="shared" ca="1" si="107"/>
        <v>-1.0729602543958778</v>
      </c>
      <c r="I980">
        <f t="shared" ca="1" si="108"/>
        <v>-0.46449911160410229</v>
      </c>
      <c r="J980">
        <f t="shared" ca="1" si="109"/>
        <v>-1.0580708336500995</v>
      </c>
      <c r="K980">
        <f t="shared" ca="1" si="110"/>
        <v>15.847265788659115</v>
      </c>
      <c r="L980">
        <f t="shared" ca="1" si="111"/>
        <v>15.179784341912963</v>
      </c>
      <c r="M980">
        <f t="shared" ca="1" si="112"/>
        <v>0</v>
      </c>
      <c r="N980">
        <f t="shared" ca="1" si="113"/>
        <v>0</v>
      </c>
    </row>
    <row r="981" spans="6:14" x14ac:dyDescent="0.75">
      <c r="F981">
        <v>976</v>
      </c>
      <c r="G981">
        <f t="shared" ca="1" si="107"/>
        <v>1.1862958146940699</v>
      </c>
      <c r="H981">
        <f t="shared" ca="1" si="107"/>
        <v>1.9375336453805849</v>
      </c>
      <c r="I981">
        <f t="shared" ca="1" si="108"/>
        <v>1.1862958146940699</v>
      </c>
      <c r="J981">
        <f t="shared" ca="1" si="109"/>
        <v>2.1712799066449122</v>
      </c>
      <c r="K981">
        <f t="shared" ca="1" si="110"/>
        <v>23.943471825591264</v>
      </c>
      <c r="L981">
        <f t="shared" ca="1" si="111"/>
        <v>34.032033751502453</v>
      </c>
      <c r="M981">
        <f t="shared" ca="1" si="112"/>
        <v>8.5454907349071512</v>
      </c>
      <c r="N981">
        <f t="shared" ca="1" si="113"/>
        <v>8.9877527885468567</v>
      </c>
    </row>
    <row r="982" spans="6:14" x14ac:dyDescent="0.75">
      <c r="F982">
        <v>977</v>
      </c>
      <c r="G982">
        <f t="shared" ca="1" si="107"/>
        <v>-0.52265103965873294</v>
      </c>
      <c r="H982">
        <f t="shared" ca="1" si="107"/>
        <v>0.34019951602742476</v>
      </c>
      <c r="I982">
        <f t="shared" ca="1" si="108"/>
        <v>-0.52265103965873294</v>
      </c>
      <c r="J982">
        <f t="shared" ca="1" si="109"/>
        <v>-0.16696745085577513</v>
      </c>
      <c r="K982">
        <f t="shared" ca="1" si="110"/>
        <v>15.618545120521953</v>
      </c>
      <c r="L982">
        <f t="shared" ca="1" si="111"/>
        <v>18.967754595062971</v>
      </c>
      <c r="M982">
        <f t="shared" ca="1" si="112"/>
        <v>0</v>
      </c>
      <c r="N982">
        <f t="shared" ca="1" si="113"/>
        <v>0</v>
      </c>
    </row>
    <row r="983" spans="6:14" x14ac:dyDescent="0.75">
      <c r="F983">
        <v>978</v>
      </c>
      <c r="G983">
        <f t="shared" ca="1" si="107"/>
        <v>0.1277891721376255</v>
      </c>
      <c r="H983">
        <f t="shared" ca="1" si="107"/>
        <v>0.93840244767201142</v>
      </c>
      <c r="I983">
        <f t="shared" ca="1" si="108"/>
        <v>0.1277891721376255</v>
      </c>
      <c r="J983">
        <f t="shared" ca="1" si="109"/>
        <v>0.7165367556618305</v>
      </c>
      <c r="K983">
        <f t="shared" ca="1" si="110"/>
        <v>18.376433413063513</v>
      </c>
      <c r="L983">
        <f t="shared" ca="1" si="111"/>
        <v>23.655992428171523</v>
      </c>
      <c r="M983">
        <f t="shared" ca="1" si="112"/>
        <v>0.84976665759664272</v>
      </c>
      <c r="N983">
        <f t="shared" ca="1" si="113"/>
        <v>1.0162129206175194</v>
      </c>
    </row>
    <row r="984" spans="6:14" x14ac:dyDescent="0.75">
      <c r="F984">
        <v>979</v>
      </c>
      <c r="G984">
        <f t="shared" ca="1" si="107"/>
        <v>-0.44948359343849559</v>
      </c>
      <c r="H984">
        <f t="shared" ca="1" si="107"/>
        <v>-0.57787019501680892</v>
      </c>
      <c r="I984">
        <f t="shared" ca="1" si="108"/>
        <v>-0.44948359343849559</v>
      </c>
      <c r="J984">
        <f t="shared" ca="1" si="109"/>
        <v>-0.71933790160158995</v>
      </c>
      <c r="K984">
        <f t="shared" ca="1" si="110"/>
        <v>15.906866312094172</v>
      </c>
      <c r="L984">
        <f t="shared" ca="1" si="111"/>
        <v>16.521256064352499</v>
      </c>
      <c r="M984">
        <f t="shared" ca="1" si="112"/>
        <v>0</v>
      </c>
      <c r="N984">
        <f t="shared" ca="1" si="113"/>
        <v>0</v>
      </c>
    </row>
    <row r="985" spans="6:14" x14ac:dyDescent="0.75">
      <c r="F985">
        <v>980</v>
      </c>
      <c r="G985">
        <f t="shared" ca="1" si="107"/>
        <v>0.42495906482850426</v>
      </c>
      <c r="H985">
        <f t="shared" ca="1" si="107"/>
        <v>0.16609838584858644</v>
      </c>
      <c r="I985">
        <f t="shared" ca="1" si="108"/>
        <v>0.42495906482850426</v>
      </c>
      <c r="J985">
        <f t="shared" ca="1" si="109"/>
        <v>0.42858305415253067</v>
      </c>
      <c r="K985">
        <f t="shared" ca="1" si="110"/>
        <v>19.793656827049162</v>
      </c>
      <c r="L985">
        <f t="shared" ca="1" si="111"/>
        <v>22.012886614871555</v>
      </c>
      <c r="M985">
        <f t="shared" ca="1" si="112"/>
        <v>0.87379992784043736</v>
      </c>
      <c r="N985">
        <f t="shared" ca="1" si="113"/>
        <v>0.90327172096035824</v>
      </c>
    </row>
    <row r="986" spans="6:14" x14ac:dyDescent="0.75">
      <c r="F986">
        <v>981</v>
      </c>
      <c r="G986">
        <f t="shared" ca="1" si="107"/>
        <v>2.260555438380039</v>
      </c>
      <c r="H986">
        <f t="shared" ca="1" si="107"/>
        <v>-0.2577893674980053</v>
      </c>
      <c r="I986">
        <f t="shared" ca="1" si="108"/>
        <v>2.260555438380039</v>
      </c>
      <c r="J986">
        <f t="shared" ca="1" si="109"/>
        <v>1.5249049395259395</v>
      </c>
      <c r="K986">
        <f t="shared" ca="1" si="110"/>
        <v>31.320117336483474</v>
      </c>
      <c r="L986">
        <f t="shared" ca="1" si="111"/>
        <v>28.954004189749035</v>
      </c>
      <c r="M986">
        <f t="shared" ca="1" si="112"/>
        <v>10.113830852018378</v>
      </c>
      <c r="N986">
        <f t="shared" ca="1" si="113"/>
        <v>10.137060763116253</v>
      </c>
    </row>
    <row r="987" spans="6:14" x14ac:dyDescent="0.75">
      <c r="F987">
        <v>982</v>
      </c>
      <c r="G987">
        <f t="shared" ca="1" si="107"/>
        <v>-0.87016575725112366</v>
      </c>
      <c r="H987">
        <f t="shared" ca="1" si="107"/>
        <v>1.5204768426238278</v>
      </c>
      <c r="I987">
        <f t="shared" ca="1" si="108"/>
        <v>-0.87016575725112366</v>
      </c>
      <c r="J987">
        <f t="shared" ca="1" si="109"/>
        <v>0.35307658201549275</v>
      </c>
      <c r="K987">
        <f t="shared" ca="1" si="110"/>
        <v>14.318899651246225</v>
      </c>
      <c r="L987">
        <f t="shared" ca="1" si="111"/>
        <v>21.601255090806063</v>
      </c>
      <c r="M987">
        <f t="shared" ca="1" si="112"/>
        <v>0</v>
      </c>
      <c r="N987">
        <f t="shared" ca="1" si="113"/>
        <v>0</v>
      </c>
    </row>
    <row r="988" spans="6:14" x14ac:dyDescent="0.75">
      <c r="F988">
        <v>983</v>
      </c>
      <c r="G988">
        <f t="shared" ca="1" si="107"/>
        <v>-1.4549112870014607</v>
      </c>
      <c r="H988">
        <f t="shared" ca="1" si="107"/>
        <v>2.3565622472205416</v>
      </c>
      <c r="I988">
        <f t="shared" ca="1" si="108"/>
        <v>-1.4549112870014607</v>
      </c>
      <c r="J988">
        <f t="shared" ca="1" si="109"/>
        <v>0.4675359485461712</v>
      </c>
      <c r="K988">
        <f t="shared" ca="1" si="110"/>
        <v>12.3714813929976</v>
      </c>
      <c r="L988">
        <f t="shared" ca="1" si="111"/>
        <v>22.228300197232226</v>
      </c>
      <c r="M988">
        <f t="shared" ca="1" si="112"/>
        <v>0</v>
      </c>
      <c r="N988">
        <f t="shared" ca="1" si="113"/>
        <v>0</v>
      </c>
    </row>
    <row r="989" spans="6:14" x14ac:dyDescent="0.75">
      <c r="F989">
        <v>984</v>
      </c>
      <c r="G989">
        <f t="shared" ca="1" si="107"/>
        <v>0.65275850057483631</v>
      </c>
      <c r="H989">
        <f t="shared" ca="1" si="107"/>
        <v>0.17704876344288492</v>
      </c>
      <c r="I989">
        <f t="shared" ca="1" si="108"/>
        <v>0.65275850057483631</v>
      </c>
      <c r="J989">
        <f t="shared" ca="1" si="109"/>
        <v>0.60667562493147165</v>
      </c>
      <c r="K989">
        <f t="shared" ca="1" si="110"/>
        <v>20.953619145843284</v>
      </c>
      <c r="L989">
        <f t="shared" ca="1" si="111"/>
        <v>23.015115133231788</v>
      </c>
      <c r="M989">
        <f t="shared" ca="1" si="112"/>
        <v>1.9601902792182813</v>
      </c>
      <c r="N989">
        <f t="shared" ca="1" si="113"/>
        <v>1.984367139537536</v>
      </c>
    </row>
    <row r="990" spans="6:14" x14ac:dyDescent="0.75">
      <c r="F990">
        <v>985</v>
      </c>
      <c r="G990">
        <f t="shared" ca="1" si="107"/>
        <v>9.8061423948812357E-2</v>
      </c>
      <c r="H990">
        <f t="shared" ca="1" si="107"/>
        <v>1.6380774287963376</v>
      </c>
      <c r="I990">
        <f t="shared" ca="1" si="108"/>
        <v>9.8061423948812357E-2</v>
      </c>
      <c r="J990">
        <f t="shared" ca="1" si="109"/>
        <v>1.1570324441774154</v>
      </c>
      <c r="K990">
        <f t="shared" ca="1" si="110"/>
        <v>18.240367160981531</v>
      </c>
      <c r="L990">
        <f t="shared" ca="1" si="111"/>
        <v>26.409938155492931</v>
      </c>
      <c r="M990">
        <f t="shared" ca="1" si="112"/>
        <v>1.9482794007868982</v>
      </c>
      <c r="N990">
        <f t="shared" ca="1" si="113"/>
        <v>2.3251526582372293</v>
      </c>
    </row>
    <row r="991" spans="6:14" x14ac:dyDescent="0.75">
      <c r="F991">
        <v>986</v>
      </c>
      <c r="G991">
        <f t="shared" ca="1" si="107"/>
        <v>0.32576570068217792</v>
      </c>
      <c r="H991">
        <f t="shared" ca="1" si="107"/>
        <v>-0.11647494137654242</v>
      </c>
      <c r="I991">
        <f t="shared" ca="1" si="108"/>
        <v>0.32576570068217792</v>
      </c>
      <c r="J991">
        <f t="shared" ca="1" si="109"/>
        <v>0.16728334329834382</v>
      </c>
      <c r="K991">
        <f t="shared" ca="1" si="110"/>
        <v>19.308843107410599</v>
      </c>
      <c r="L991">
        <f t="shared" ca="1" si="111"/>
        <v>20.620858444753658</v>
      </c>
      <c r="M991">
        <f t="shared" ca="1" si="112"/>
        <v>0</v>
      </c>
      <c r="N991">
        <f t="shared" ca="1" si="113"/>
        <v>0</v>
      </c>
    </row>
    <row r="992" spans="6:14" x14ac:dyDescent="0.75">
      <c r="F992">
        <v>987</v>
      </c>
      <c r="G992">
        <f t="shared" ca="1" si="107"/>
        <v>0.67351083789591515</v>
      </c>
      <c r="H992">
        <f t="shared" ca="1" si="107"/>
        <v>-1.8753601133595637</v>
      </c>
      <c r="I992">
        <f t="shared" ca="1" si="108"/>
        <v>0.67351083789591515</v>
      </c>
      <c r="J992">
        <f t="shared" ca="1" si="109"/>
        <v>-0.73530099123788994</v>
      </c>
      <c r="K992">
        <f t="shared" ca="1" si="110"/>
        <v>21.062610773403712</v>
      </c>
      <c r="L992">
        <f t="shared" ca="1" si="111"/>
        <v>16.455454877598477</v>
      </c>
      <c r="M992">
        <f t="shared" ca="1" si="112"/>
        <v>0</v>
      </c>
      <c r="N992">
        <f t="shared" ca="1" si="113"/>
        <v>0</v>
      </c>
    </row>
    <row r="993" spans="6:14" x14ac:dyDescent="0.75">
      <c r="F993">
        <v>988</v>
      </c>
      <c r="G993">
        <f t="shared" ca="1" si="107"/>
        <v>0.70213995258434858</v>
      </c>
      <c r="H993">
        <f t="shared" ca="1" si="107"/>
        <v>-0.68989697808535777</v>
      </c>
      <c r="I993">
        <f t="shared" ca="1" si="108"/>
        <v>0.70213995258434858</v>
      </c>
      <c r="J993">
        <f t="shared" ca="1" si="109"/>
        <v>7.0281005871052793E-2</v>
      </c>
      <c r="K993">
        <f t="shared" ca="1" si="110"/>
        <v>21.21390252102362</v>
      </c>
      <c r="L993">
        <f t="shared" ca="1" si="111"/>
        <v>20.126805328026485</v>
      </c>
      <c r="M993">
        <f t="shared" ca="1" si="112"/>
        <v>0.66320609896665061</v>
      </c>
      <c r="N993">
        <f t="shared" ca="1" si="113"/>
        <v>0.67035392452505249</v>
      </c>
    </row>
    <row r="994" spans="6:14" x14ac:dyDescent="0.75">
      <c r="F994">
        <v>989</v>
      </c>
      <c r="G994">
        <f t="shared" ca="1" si="107"/>
        <v>-0.43752170857105249</v>
      </c>
      <c r="H994">
        <f t="shared" ca="1" si="107"/>
        <v>-0.75064091766220908</v>
      </c>
      <c r="I994">
        <f t="shared" ca="1" si="108"/>
        <v>-0.43752170857105249</v>
      </c>
      <c r="J994">
        <f t="shared" ca="1" si="109"/>
        <v>-0.82464357943916866</v>
      </c>
      <c r="K994">
        <f t="shared" ca="1" si="110"/>
        <v>15.954506535806283</v>
      </c>
      <c r="L994">
        <f t="shared" ca="1" si="111"/>
        <v>16.09198591317649</v>
      </c>
      <c r="M994">
        <f t="shared" ca="1" si="112"/>
        <v>0</v>
      </c>
      <c r="N994">
        <f t="shared" ca="1" si="113"/>
        <v>0</v>
      </c>
    </row>
    <row r="995" spans="6:14" x14ac:dyDescent="0.75">
      <c r="F995">
        <v>990</v>
      </c>
      <c r="G995">
        <f t="shared" ca="1" si="107"/>
        <v>1.4262264264564786</v>
      </c>
      <c r="H995">
        <f t="shared" ca="1" si="107"/>
        <v>0.67342246448825138</v>
      </c>
      <c r="I995">
        <f t="shared" ca="1" si="108"/>
        <v>1.4262264264564786</v>
      </c>
      <c r="J995">
        <f t="shared" ca="1" si="109"/>
        <v>1.5150969119223936</v>
      </c>
      <c r="K995">
        <f t="shared" ca="1" si="110"/>
        <v>25.423612406852147</v>
      </c>
      <c r="L995">
        <f t="shared" ca="1" si="111"/>
        <v>28.883095741197188</v>
      </c>
      <c r="M995">
        <f t="shared" ca="1" si="112"/>
        <v>7.0982034687578377</v>
      </c>
      <c r="N995">
        <f t="shared" ca="1" si="113"/>
        <v>7.1533540740246693</v>
      </c>
    </row>
    <row r="996" spans="6:14" x14ac:dyDescent="0.75">
      <c r="F996">
        <v>991</v>
      </c>
      <c r="G996">
        <f t="shared" ca="1" si="107"/>
        <v>0.1874292835991952</v>
      </c>
      <c r="H996">
        <f t="shared" ca="1" si="107"/>
        <v>2.7763343777581048E-2</v>
      </c>
      <c r="I996">
        <f t="shared" ca="1" si="108"/>
        <v>0.1874292835991952</v>
      </c>
      <c r="J996">
        <f t="shared" ca="1" si="109"/>
        <v>0.1589356884991644</v>
      </c>
      <c r="K996">
        <f t="shared" ca="1" si="110"/>
        <v>18.652479359759841</v>
      </c>
      <c r="L996">
        <f t="shared" ca="1" si="111"/>
        <v>20.577869365615065</v>
      </c>
      <c r="M996">
        <f t="shared" ca="1" si="112"/>
        <v>0</v>
      </c>
      <c r="N996">
        <f t="shared" ca="1" si="113"/>
        <v>0</v>
      </c>
    </row>
    <row r="997" spans="6:14" x14ac:dyDescent="0.75">
      <c r="F997">
        <v>992</v>
      </c>
      <c r="G997">
        <f t="shared" ca="1" si="107"/>
        <v>-1.0209676373745935</v>
      </c>
      <c r="H997">
        <f t="shared" ca="1" si="107"/>
        <v>0.37768637172196656</v>
      </c>
      <c r="I997">
        <f t="shared" ca="1" si="108"/>
        <v>-1.0209676373745935</v>
      </c>
      <c r="J997">
        <f t="shared" ca="1" si="109"/>
        <v>-0.51590967474228977</v>
      </c>
      <c r="K997">
        <f t="shared" ca="1" si="110"/>
        <v>13.7891196296485</v>
      </c>
      <c r="L997">
        <f t="shared" ca="1" si="111"/>
        <v>17.383210991423947</v>
      </c>
      <c r="M997">
        <f t="shared" ca="1" si="112"/>
        <v>0</v>
      </c>
      <c r="N997">
        <f t="shared" ca="1" si="113"/>
        <v>0</v>
      </c>
    </row>
    <row r="998" spans="6:14" x14ac:dyDescent="0.75">
      <c r="F998">
        <v>993</v>
      </c>
      <c r="G998">
        <f t="shared" ca="1" si="107"/>
        <v>-0.27258473792637522</v>
      </c>
      <c r="H998">
        <f t="shared" ca="1" si="107"/>
        <v>-0.66778825132602115</v>
      </c>
      <c r="I998">
        <f t="shared" ca="1" si="108"/>
        <v>-0.27258473792637522</v>
      </c>
      <c r="J998">
        <f t="shared" ca="1" si="109"/>
        <v>-0.6461389638096191</v>
      </c>
      <c r="K998">
        <f t="shared" ca="1" si="110"/>
        <v>16.626130320180888</v>
      </c>
      <c r="L998">
        <f t="shared" ca="1" si="111"/>
        <v>16.826373936311164</v>
      </c>
      <c r="M998">
        <f t="shared" ca="1" si="112"/>
        <v>0</v>
      </c>
      <c r="N998">
        <f t="shared" ca="1" si="113"/>
        <v>0</v>
      </c>
    </row>
    <row r="999" spans="6:14" x14ac:dyDescent="0.75">
      <c r="F999">
        <v>994</v>
      </c>
      <c r="G999">
        <f t="shared" ca="1" si="107"/>
        <v>0.82890199293248412</v>
      </c>
      <c r="H999">
        <f t="shared" ca="1" si="107"/>
        <v>-1.2697386976631229</v>
      </c>
      <c r="I999">
        <f t="shared" ca="1" si="108"/>
        <v>0.82890199293248412</v>
      </c>
      <c r="J999">
        <f t="shared" ca="1" si="109"/>
        <v>-0.21817671131355021</v>
      </c>
      <c r="K999">
        <f t="shared" ca="1" si="110"/>
        <v>21.896947775535111</v>
      </c>
      <c r="L999">
        <f t="shared" ca="1" si="111"/>
        <v>18.726471212178556</v>
      </c>
      <c r="M999">
        <f t="shared" ca="1" si="112"/>
        <v>0.24975461957836842</v>
      </c>
      <c r="N999">
        <f t="shared" ca="1" si="113"/>
        <v>0.31170949385683144</v>
      </c>
    </row>
    <row r="1000" spans="6:14" x14ac:dyDescent="0.75">
      <c r="F1000">
        <v>995</v>
      </c>
      <c r="G1000">
        <f t="shared" ca="1" si="107"/>
        <v>-0.94212215402954602</v>
      </c>
      <c r="H1000">
        <f t="shared" ca="1" si="107"/>
        <v>-1.1200928238300196</v>
      </c>
      <c r="I1000">
        <f t="shared" ca="1" si="108"/>
        <v>-0.94212215402954602</v>
      </c>
      <c r="J1000">
        <f t="shared" ca="1" si="109"/>
        <v>-1.4474633798127381</v>
      </c>
      <c r="K1000">
        <f t="shared" ca="1" si="110"/>
        <v>14.063618567636482</v>
      </c>
      <c r="L1000">
        <f t="shared" ca="1" si="111"/>
        <v>13.771709181461615</v>
      </c>
      <c r="M1000">
        <f t="shared" ca="1" si="112"/>
        <v>0</v>
      </c>
      <c r="N1000">
        <f t="shared" ca="1" si="113"/>
        <v>0</v>
      </c>
    </row>
    <row r="1001" spans="6:14" x14ac:dyDescent="0.75">
      <c r="F1001">
        <v>996</v>
      </c>
      <c r="G1001">
        <f t="shared" ca="1" si="107"/>
        <v>-1.1386213086081249</v>
      </c>
      <c r="H1001">
        <f t="shared" ca="1" si="107"/>
        <v>-0.78413526606819595</v>
      </c>
      <c r="I1001">
        <f t="shared" ca="1" si="108"/>
        <v>-1.1386213086081249</v>
      </c>
      <c r="J1001">
        <f t="shared" ca="1" si="109"/>
        <v>-1.3726227085190716</v>
      </c>
      <c r="K1001">
        <f t="shared" ca="1" si="110"/>
        <v>13.389441260897572</v>
      </c>
      <c r="L1001">
        <f t="shared" ca="1" si="111"/>
        <v>14.031805809610686</v>
      </c>
      <c r="M1001">
        <f t="shared" ca="1" si="112"/>
        <v>0</v>
      </c>
      <c r="N1001">
        <f t="shared" ca="1" si="113"/>
        <v>0</v>
      </c>
    </row>
    <row r="1002" spans="6:14" x14ac:dyDescent="0.75">
      <c r="F1002">
        <v>997</v>
      </c>
      <c r="G1002">
        <f t="shared" ca="1" si="107"/>
        <v>-1.4239475812569953</v>
      </c>
      <c r="H1002">
        <f t="shared" ca="1" si="107"/>
        <v>-7.8155480668079522E-2</v>
      </c>
      <c r="I1002">
        <f t="shared" ca="1" si="108"/>
        <v>-1.4239475812569953</v>
      </c>
      <c r="J1002">
        <f t="shared" ca="1" si="109"/>
        <v>-1.1196556773038602</v>
      </c>
      <c r="K1002">
        <f t="shared" ca="1" si="110"/>
        <v>12.46761974023752</v>
      </c>
      <c r="L1002">
        <f t="shared" ca="1" si="111"/>
        <v>14.947863115883131</v>
      </c>
      <c r="M1002">
        <f t="shared" ca="1" si="112"/>
        <v>0</v>
      </c>
      <c r="N1002">
        <f t="shared" ca="1" si="113"/>
        <v>0</v>
      </c>
    </row>
    <row r="1003" spans="6:14" x14ac:dyDescent="0.75">
      <c r="F1003">
        <v>998</v>
      </c>
      <c r="G1003">
        <f t="shared" ca="1" si="107"/>
        <v>0.26231084164766222</v>
      </c>
      <c r="H1003">
        <f t="shared" ca="1" si="107"/>
        <v>-0.52356421124308172</v>
      </c>
      <c r="I1003">
        <f t="shared" ca="1" si="108"/>
        <v>0.26231084164766222</v>
      </c>
      <c r="J1003">
        <f t="shared" ca="1" si="109"/>
        <v>-0.14957204334497382</v>
      </c>
      <c r="K1003">
        <f t="shared" ca="1" si="110"/>
        <v>19.004949938365762</v>
      </c>
      <c r="L1003">
        <f t="shared" ca="1" si="111"/>
        <v>19.050422174490883</v>
      </c>
      <c r="M1003">
        <f t="shared" ca="1" si="112"/>
        <v>0</v>
      </c>
      <c r="N1003">
        <f t="shared" ca="1" si="113"/>
        <v>0</v>
      </c>
    </row>
    <row r="1004" spans="6:14" x14ac:dyDescent="0.75">
      <c r="F1004">
        <v>999</v>
      </c>
      <c r="G1004">
        <f t="shared" ca="1" si="107"/>
        <v>0.1202549199002855</v>
      </c>
      <c r="H1004">
        <f t="shared" ca="1" si="107"/>
        <v>-4.9230390826154519E-2</v>
      </c>
      <c r="I1004">
        <f t="shared" ca="1" si="108"/>
        <v>0.1202549199002855</v>
      </c>
      <c r="J1004">
        <f t="shared" ca="1" si="109"/>
        <v>5.7628347157084002E-2</v>
      </c>
      <c r="K1004">
        <f t="shared" ca="1" si="110"/>
        <v>18.341852819512408</v>
      </c>
      <c r="L1004">
        <f t="shared" ca="1" si="111"/>
        <v>20.063241512729228</v>
      </c>
      <c r="M1004">
        <f t="shared" ca="1" si="112"/>
        <v>0</v>
      </c>
      <c r="N1004">
        <f t="shared" ca="1" si="113"/>
        <v>0</v>
      </c>
    </row>
    <row r="1005" spans="6:14" x14ac:dyDescent="0.75">
      <c r="F1005">
        <v>1000</v>
      </c>
      <c r="G1005">
        <f t="shared" ca="1" si="107"/>
        <v>-0.56697209363512091</v>
      </c>
      <c r="H1005">
        <f t="shared" ca="1" si="107"/>
        <v>0.15169820983880145</v>
      </c>
      <c r="I1005">
        <f t="shared" ca="1" si="108"/>
        <v>-0.56697209363512091</v>
      </c>
      <c r="J1005">
        <f t="shared" ca="1" si="109"/>
        <v>-0.32489013583455062</v>
      </c>
      <c r="K1005">
        <f t="shared" ca="1" si="110"/>
        <v>15.446442755746085</v>
      </c>
      <c r="L1005">
        <f t="shared" ca="1" si="111"/>
        <v>18.233485014065355</v>
      </c>
      <c r="M1005">
        <f t="shared" ca="1" si="112"/>
        <v>0</v>
      </c>
      <c r="N1005">
        <f t="shared" ca="1" si="11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Vainilla</vt:lpstr>
      <vt:lpstr>Asiatica</vt:lpstr>
      <vt:lpstr>Barrera</vt:lpstr>
      <vt:lpstr>Basket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Gutiérrez Serrano</dc:creator>
  <cp:lastModifiedBy>Miriam Gutiérrez Serrano</cp:lastModifiedBy>
  <dcterms:created xsi:type="dcterms:W3CDTF">2025-05-09T09:18:40Z</dcterms:created>
  <dcterms:modified xsi:type="dcterms:W3CDTF">2025-05-09T11:49:09Z</dcterms:modified>
</cp:coreProperties>
</file>