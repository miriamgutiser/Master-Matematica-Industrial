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Master\SoftFin\German\"/>
    </mc:Choice>
  </mc:AlternateContent>
  <xr:revisionPtr revIDLastSave="0" documentId="13_ncr:1_{8000AD83-9571-4080-BA7C-B28BDC3B9DBD}" xr6:coauthVersionLast="47" xr6:coauthVersionMax="47" xr10:uidLastSave="{00000000-0000-0000-0000-000000000000}"/>
  <bookViews>
    <workbookView xWindow="-90" yWindow="-90" windowWidth="19380" windowHeight="10260" xr2:uid="{B273316D-579F-4E7E-AB8E-3D548257D411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1" l="1"/>
  <c r="J11" i="1"/>
  <c r="D4" i="1"/>
  <c r="C4" i="1"/>
  <c r="F16" i="1" a="1"/>
  <c r="F14" i="1" a="1"/>
  <c r="F14" i="1" l="1"/>
  <c r="F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<sst xmlns="http://schemas.openxmlformats.org/spreadsheetml/2006/main" count="24" uniqueCount="21">
  <si>
    <t>T</t>
  </si>
  <si>
    <t>sigma</t>
  </si>
  <si>
    <t>S</t>
  </si>
  <si>
    <t xml:space="preserve">R </t>
  </si>
  <si>
    <t>K</t>
  </si>
  <si>
    <t>SigmaExcel</t>
  </si>
  <si>
    <t>M</t>
  </si>
  <si>
    <t>Matriz Correlaciones</t>
  </si>
  <si>
    <t>kappa</t>
  </si>
  <si>
    <t>theta</t>
  </si>
  <si>
    <t>S0</t>
  </si>
  <si>
    <t>V0</t>
  </si>
  <si>
    <t>R</t>
  </si>
  <si>
    <t xml:space="preserve">T </t>
  </si>
  <si>
    <t>N</t>
  </si>
  <si>
    <t>Parámetros Ejercicio 2</t>
  </si>
  <si>
    <t>Parámetros Ejercicio 1</t>
  </si>
  <si>
    <t>V0 = (sigma)^2, varianzas</t>
  </si>
  <si>
    <t>Ejercicio 1:</t>
  </si>
  <si>
    <t>Ejercicio 2:</t>
  </si>
  <si>
    <t>Resultados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</si>
</sst>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2" borderId="3" xfId="0" applyFill="1" applyBorder="1"/>
    <xf numFmtId="0" fontId="0" fillId="0" borderId="4" xfId="0" applyBorder="1"/>
    <xf numFmtId="0" fontId="0" fillId="2" borderId="4" xfId="0" applyFill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9CE3-7C3B-47D6-A02E-B58EFB396707}">
  <sheetPr codeName="Hoja1"/>
  <dimension ref="B1:L17"/>
  <sheetViews>
    <sheetView tabSelected="1" zoomScale="101" workbookViewId="0">
      <selection activeCell="F15" sqref="F15"/>
    </sheetView>
  </sheetViews>
  <sheetFormatPr baseColWidth="10" defaultRowHeight="14.75" x14ac:dyDescent="0.75"/>
  <sheetData>
    <row r="1" spans="2:12" x14ac:dyDescent="0.75">
      <c r="B1" s="1" t="s">
        <v>16</v>
      </c>
      <c r="C1" s="1"/>
      <c r="I1" s="1" t="s">
        <v>15</v>
      </c>
      <c r="J1" s="1"/>
    </row>
    <row r="2" spans="2:12" x14ac:dyDescent="0.75">
      <c r="B2" s="4" t="s">
        <v>2</v>
      </c>
      <c r="C2">
        <v>43.31</v>
      </c>
      <c r="D2">
        <v>20.58</v>
      </c>
      <c r="I2" s="1" t="s">
        <v>7</v>
      </c>
      <c r="J2" s="1"/>
    </row>
    <row r="3" spans="2:12" x14ac:dyDescent="0.75">
      <c r="B3" s="1" t="s">
        <v>0</v>
      </c>
      <c r="C3">
        <v>1</v>
      </c>
      <c r="I3">
        <v>1</v>
      </c>
      <c r="J3">
        <v>0.5</v>
      </c>
      <c r="K3">
        <v>0.75</v>
      </c>
      <c r="L3">
        <v>0</v>
      </c>
    </row>
    <row r="4" spans="2:12" x14ac:dyDescent="0.75">
      <c r="B4" s="1" t="s">
        <v>1</v>
      </c>
      <c r="C4">
        <f>32.7/100</f>
        <v>0.32700000000000001</v>
      </c>
      <c r="D4">
        <f>21/100</f>
        <v>0.21</v>
      </c>
      <c r="I4">
        <v>0.5</v>
      </c>
      <c r="J4">
        <v>1</v>
      </c>
      <c r="K4">
        <v>0</v>
      </c>
      <c r="L4">
        <v>0.25</v>
      </c>
    </row>
    <row r="5" spans="2:12" x14ac:dyDescent="0.75">
      <c r="B5" s="1" t="s">
        <v>3</v>
      </c>
      <c r="C5">
        <v>0.03</v>
      </c>
      <c r="I5">
        <v>0.75</v>
      </c>
      <c r="J5">
        <v>0</v>
      </c>
      <c r="K5">
        <v>1</v>
      </c>
      <c r="L5">
        <v>0</v>
      </c>
    </row>
    <row r="6" spans="2:12" x14ac:dyDescent="0.75">
      <c r="B6" s="1" t="s">
        <v>4</v>
      </c>
      <c r="C6">
        <v>10</v>
      </c>
      <c r="I6">
        <v>0</v>
      </c>
      <c r="J6">
        <v>0.25</v>
      </c>
      <c r="K6">
        <v>0</v>
      </c>
      <c r="L6">
        <v>1</v>
      </c>
    </row>
    <row r="7" spans="2:12" x14ac:dyDescent="0.75">
      <c r="B7" s="2" t="s">
        <v>5</v>
      </c>
    </row>
    <row r="8" spans="2:12" x14ac:dyDescent="0.75">
      <c r="B8">
        <v>1</v>
      </c>
      <c r="C8">
        <v>0.75</v>
      </c>
      <c r="I8" s="1" t="s">
        <v>8</v>
      </c>
      <c r="J8">
        <v>1.5</v>
      </c>
    </row>
    <row r="9" spans="2:12" x14ac:dyDescent="0.75">
      <c r="B9" s="3">
        <v>0.75</v>
      </c>
      <c r="C9">
        <v>1</v>
      </c>
      <c r="F9" s="7"/>
      <c r="I9" s="1" t="s">
        <v>9</v>
      </c>
      <c r="J9">
        <v>0.04</v>
      </c>
    </row>
    <row r="10" spans="2:12" x14ac:dyDescent="0.75">
      <c r="I10" s="1" t="s">
        <v>10</v>
      </c>
      <c r="J10">
        <v>43.31</v>
      </c>
      <c r="K10">
        <v>20.58</v>
      </c>
    </row>
    <row r="11" spans="2:12" x14ac:dyDescent="0.75">
      <c r="B11" s="1" t="s">
        <v>6</v>
      </c>
      <c r="C11">
        <v>10000</v>
      </c>
      <c r="F11" s="5" t="s">
        <v>20</v>
      </c>
      <c r="I11" s="1" t="s">
        <v>11</v>
      </c>
      <c r="J11">
        <f>0.227^2</f>
        <v>5.1529000000000005E-2</v>
      </c>
      <c r="K11">
        <f>0.21^2</f>
        <v>4.4099999999999993E-2</v>
      </c>
      <c r="L11" t="s">
        <v>17</v>
      </c>
    </row>
    <row r="12" spans="2:12" x14ac:dyDescent="0.75">
      <c r="I12" s="1" t="s">
        <v>4</v>
      </c>
      <c r="J12">
        <v>10</v>
      </c>
    </row>
    <row r="13" spans="2:12" x14ac:dyDescent="0.75">
      <c r="F13" s="6" t="s">
        <v>18</v>
      </c>
      <c r="I13" s="1" t="s">
        <v>1</v>
      </c>
      <c r="J13">
        <v>0.22700000000000001</v>
      </c>
      <c r="K13">
        <v>0.21</v>
      </c>
    </row>
    <row r="14" spans="2:12" x14ac:dyDescent="0.75">
      <c r="F14" cm="1">
        <f t="array" ref="F14">monteCarloBasketAritmetica(C2:D2,C6,C5,C4:D4,C3,C11,B8:C9)</f>
        <v>2.4677600291107118</v>
      </c>
      <c r="I14" s="1" t="s">
        <v>12</v>
      </c>
      <c r="J14">
        <v>0.03</v>
      </c>
    </row>
    <row r="15" spans="2:12" x14ac:dyDescent="0.75">
      <c r="F15" s="6" t="s">
        <v>19</v>
      </c>
      <c r="I15" s="1" t="s">
        <v>13</v>
      </c>
      <c r="J15">
        <v>1</v>
      </c>
    </row>
    <row r="16" spans="2:12" x14ac:dyDescent="0.75">
      <c r="F16" cm="1">
        <f t="array" ref="F16">monteCarloHestonBasketVBA(J10:K10,J11:K11,J12,0.03,J13:K13,J15,J8,J9,J16,J17,I3:L6)</f>
        <v>2.5787228921146901</v>
      </c>
      <c r="I16" s="1" t="s">
        <v>6</v>
      </c>
      <c r="J16">
        <v>10000</v>
      </c>
    </row>
    <row r="17" spans="9:10" x14ac:dyDescent="0.75">
      <c r="I17" s="1" t="s">
        <v>14</v>
      </c>
      <c r="J17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Miriam Gutiérrez Serrano</dc:creator>
  <cp:lastModifiedBy>Miriam Gutiérrez Serrano</cp:lastModifiedBy>
  <dcterms:created xsi:type="dcterms:W3CDTF">2025-05-16T15:22:07Z</dcterms:created>
  <dcterms:modified xsi:type="dcterms:W3CDTF">2025-05-28T16:58:56Z</dcterms:modified>
</cp:coreProperties>
</file>